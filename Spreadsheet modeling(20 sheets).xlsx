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5.xml" ContentType="application/vnd.openxmlformats-officedocument.drawing+xml"/>
  <Override PartName="/xl/ctrlProps/ctrlProp3.xml" ContentType="application/vnd.ms-excel.controlproperti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D:\JOBS\excel work\"/>
    </mc:Choice>
  </mc:AlternateContent>
  <xr:revisionPtr revIDLastSave="0" documentId="13_ncr:1_{BE022E41-0AC2-435B-968A-A97BF49593CC}" xr6:coauthVersionLast="47" xr6:coauthVersionMax="47" xr10:uidLastSave="{00000000-0000-0000-0000-000000000000}"/>
  <bookViews>
    <workbookView xWindow="-110" yWindow="-110" windowWidth="25820" windowHeight="13900" xr2:uid="{009654DB-E2D5-40B1-BB4B-47B3016536EE}"/>
  </bookViews>
  <sheets>
    <sheet name="Set 1" sheetId="1" r:id="rId1"/>
    <sheet name="IF" sheetId="2" r:id="rId2"/>
    <sheet name="Grades" sheetId="3" r:id="rId3"/>
    <sheet name="IFS" sheetId="4" r:id="rId4"/>
    <sheet name="XLookup" sheetId="5" r:id="rId5"/>
    <sheet name="VLookup" sheetId="6" r:id="rId6"/>
    <sheet name="slicers" sheetId="7" r:id="rId7"/>
    <sheet name="Data" sheetId="9" r:id="rId8"/>
    <sheet name="pivot" sheetId="10" r:id="rId9"/>
    <sheet name="finance" sheetId="11" r:id="rId10"/>
    <sheet name="Log" sheetId="12" r:id="rId11"/>
    <sheet name="VBA" sheetId="13" r:id="rId12"/>
    <sheet name="Text" sheetId="14" r:id="rId13"/>
    <sheet name="VBA code" sheetId="15" r:id="rId14"/>
    <sheet name="weighted average forecast" sheetId="16" r:id="rId15"/>
    <sheet name="exer1" sheetId="17" r:id="rId16"/>
    <sheet name="exer2" sheetId="18" r:id="rId17"/>
    <sheet name="exer3" sheetId="19" r:id="rId18"/>
    <sheet name="Data (2)" sheetId="21" r:id="rId19"/>
    <sheet name="Parameters and Calculations" sheetId="22" r:id="rId20"/>
  </sheets>
  <externalReferences>
    <externalReference r:id="rId21"/>
    <externalReference r:id="rId22"/>
  </externalReferences>
  <definedNames>
    <definedName name="_xlnm._FilterDatabase" localSheetId="16" hidden="1">exer2!$A$10:$A$331</definedName>
    <definedName name="_xlnm._FilterDatabase" localSheetId="1" hidden="1">IF!$D$1:$D$28</definedName>
    <definedName name="_xlchart.v1.0" hidden="1">Log!$B$1</definedName>
    <definedName name="_xlchart.v1.1" hidden="1">Log!$B$2:$B$401</definedName>
    <definedName name="Employee">Data!$D$2:$D$1227</definedName>
    <definedName name="Forwardsize">'Parameters and Calculations'!$B$3</definedName>
    <definedName name="numSKU">'Parameters and Calculations'!$B$9</definedName>
    <definedName name="Period">Data!$A$2:$A$1227</definedName>
    <definedName name="Products">Data!$B$2:$B$1227</definedName>
    <definedName name="replcost">'Parameters and Calculations'!$B$7</definedName>
    <definedName name="savingsperpick">'Parameters and Calculations'!$B$6</definedName>
    <definedName name="Slicer_Employee">#N/A</definedName>
    <definedName name="Slicer_Employee1">#N/A</definedName>
    <definedName name="Slicer_Product">#N/A</definedName>
    <definedName name="Slicer_Product1">#N/A</definedName>
    <definedName name="Slicer_Region">#N/A</definedName>
    <definedName name="Units">Data!$F$2:$F$1227</definedName>
    <definedName name="Weights">[1]Set2!$A$2:$A$93</definedName>
  </definedNames>
  <calcPr calcId="191029"/>
  <pivotCaches>
    <pivotCache cacheId="0" r:id="rId23"/>
  </pivotCaches>
  <extLs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6"/>
        <x14:slicerCache r:id="rId27"/>
        <x14:slicerCache r:id="rId2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2" l="1"/>
  <c r="B6" i="22" s="1"/>
  <c r="M1" i="22"/>
  <c r="M2" i="22" s="1"/>
  <c r="L1" i="22"/>
  <c r="K1" i="22"/>
  <c r="K2" i="22" s="1"/>
  <c r="J1" i="22"/>
  <c r="J2" i="22" s="1"/>
  <c r="I1" i="22"/>
  <c r="I2" i="22" s="1"/>
  <c r="H1" i="22"/>
  <c r="H2" i="22" s="1"/>
  <c r="G1" i="22"/>
  <c r="G2" i="22" s="1"/>
  <c r="F26" i="21"/>
  <c r="E26" i="21"/>
  <c r="E25" i="21"/>
  <c r="F25" i="21" s="1"/>
  <c r="I24" i="21"/>
  <c r="F24" i="21"/>
  <c r="E24" i="21"/>
  <c r="E23" i="21"/>
  <c r="F23" i="21" s="1"/>
  <c r="E22" i="21"/>
  <c r="F22" i="21" s="1"/>
  <c r="F21" i="21"/>
  <c r="I21" i="21" s="1"/>
  <c r="E21" i="21"/>
  <c r="F20" i="21"/>
  <c r="E20" i="21"/>
  <c r="F19" i="21"/>
  <c r="I19" i="21" s="1"/>
  <c r="E19" i="21"/>
  <c r="F18" i="21"/>
  <c r="E18" i="21"/>
  <c r="E17" i="21"/>
  <c r="F17" i="21" s="1"/>
  <c r="I16" i="21"/>
  <c r="F16" i="21"/>
  <c r="E16" i="21"/>
  <c r="E15" i="21"/>
  <c r="F15" i="21" s="1"/>
  <c r="E14" i="21"/>
  <c r="F14" i="21" s="1"/>
  <c r="F13" i="21"/>
  <c r="I13" i="21" s="1"/>
  <c r="E13" i="21"/>
  <c r="F12" i="21"/>
  <c r="E12" i="21"/>
  <c r="F11" i="21"/>
  <c r="I11" i="21" s="1"/>
  <c r="E11" i="21"/>
  <c r="F10" i="21"/>
  <c r="E10" i="21"/>
  <c r="E9" i="21"/>
  <c r="F9" i="21" s="1"/>
  <c r="I8" i="21"/>
  <c r="F8" i="21"/>
  <c r="E8" i="21"/>
  <c r="E7" i="21"/>
  <c r="F7" i="21" s="1"/>
  <c r="E6" i="21"/>
  <c r="F6" i="21" s="1"/>
  <c r="F5" i="21"/>
  <c r="I5" i="21" s="1"/>
  <c r="E5" i="21"/>
  <c r="E4" i="21"/>
  <c r="F4" i="21" s="1"/>
  <c r="E3" i="21"/>
  <c r="F3" i="21" s="1"/>
  <c r="E2" i="21"/>
  <c r="F2" i="21" s="1"/>
  <c r="N1" i="22" l="1"/>
  <c r="I25" i="21"/>
  <c r="I2" i="21"/>
  <c r="J19" i="21" s="1"/>
  <c r="K19" i="21" s="1"/>
  <c r="I17" i="21"/>
  <c r="I9" i="21"/>
  <c r="J9" i="21" s="1"/>
  <c r="K9" i="21" s="1"/>
  <c r="M9" i="21" s="1"/>
  <c r="N9" i="21" s="1"/>
  <c r="I3" i="21"/>
  <c r="J3" i="21" s="1"/>
  <c r="K3" i="21" s="1"/>
  <c r="M3" i="21" s="1"/>
  <c r="N3" i="21" s="1"/>
  <c r="I4" i="21"/>
  <c r="I23" i="21"/>
  <c r="I14" i="21"/>
  <c r="I7" i="21"/>
  <c r="I22" i="21"/>
  <c r="I15" i="21"/>
  <c r="I6" i="21"/>
  <c r="I10" i="21"/>
  <c r="I18" i="21"/>
  <c r="I26" i="21"/>
  <c r="L2" i="22"/>
  <c r="I12" i="21"/>
  <c r="I20" i="21"/>
  <c r="M19" i="21" l="1"/>
  <c r="N19" i="21" s="1"/>
  <c r="L19" i="21"/>
  <c r="J7" i="21"/>
  <c r="K7" i="21" s="1"/>
  <c r="L9" i="21"/>
  <c r="J6" i="21"/>
  <c r="K6" i="21" s="1"/>
  <c r="J23" i="21"/>
  <c r="K23" i="21" s="1"/>
  <c r="L3" i="21"/>
  <c r="J11" i="21"/>
  <c r="K11" i="21" s="1"/>
  <c r="J14" i="21"/>
  <c r="K14" i="21" s="1"/>
  <c r="J26" i="21"/>
  <c r="K26" i="21" s="1"/>
  <c r="J18" i="21"/>
  <c r="K18" i="21" s="1"/>
  <c r="J22" i="21"/>
  <c r="K22" i="21" s="1"/>
  <c r="J13" i="21"/>
  <c r="K13" i="21" s="1"/>
  <c r="G3" i="21" s="1"/>
  <c r="H3" i="21" s="1"/>
  <c r="J17" i="21"/>
  <c r="K17" i="21" s="1"/>
  <c r="J20" i="21"/>
  <c r="K20" i="21" s="1"/>
  <c r="J12" i="21"/>
  <c r="K12" i="21" s="1"/>
  <c r="J8" i="21"/>
  <c r="K8" i="21" s="1"/>
  <c r="J24" i="21"/>
  <c r="K24" i="21" s="1"/>
  <c r="J16" i="21"/>
  <c r="K16" i="21" s="1"/>
  <c r="J2" i="21"/>
  <c r="K2" i="21" s="1"/>
  <c r="G19" i="21" s="1"/>
  <c r="H19" i="21" s="1"/>
  <c r="J10" i="21"/>
  <c r="K10" i="21" s="1"/>
  <c r="J15" i="21"/>
  <c r="K15" i="21" s="1"/>
  <c r="J4" i="21"/>
  <c r="K4" i="21" s="1"/>
  <c r="J21" i="21"/>
  <c r="K21" i="21" s="1"/>
  <c r="J5" i="21"/>
  <c r="K5" i="21" s="1"/>
  <c r="J25" i="21"/>
  <c r="K25" i="21" s="1"/>
  <c r="M22" i="21" l="1"/>
  <c r="N22" i="21" s="1"/>
  <c r="G22" i="21"/>
  <c r="H22" i="21" s="1"/>
  <c r="L22" i="21"/>
  <c r="G14" i="21"/>
  <c r="H14" i="21" s="1"/>
  <c r="M14" i="21" s="1"/>
  <c r="N14" i="21" s="1"/>
  <c r="L14" i="21"/>
  <c r="M15" i="21"/>
  <c r="N15" i="21" s="1"/>
  <c r="G15" i="21"/>
  <c r="H15" i="21" s="1"/>
  <c r="L15" i="21"/>
  <c r="M13" i="21"/>
  <c r="N13" i="21" s="1"/>
  <c r="L13" i="21"/>
  <c r="G13" i="21"/>
  <c r="H13" i="21" s="1"/>
  <c r="L5" i="21"/>
  <c r="G5" i="21"/>
  <c r="H5" i="21" s="1"/>
  <c r="M5" i="21" s="1"/>
  <c r="N5" i="21" s="1"/>
  <c r="M4" i="21"/>
  <c r="N4" i="21" s="1"/>
  <c r="G4" i="21"/>
  <c r="H4" i="21" s="1"/>
  <c r="L4" i="21"/>
  <c r="M2" i="21"/>
  <c r="N2" i="21" s="1"/>
  <c r="G2" i="21"/>
  <c r="H2" i="21" s="1"/>
  <c r="L2" i="21"/>
  <c r="M25" i="21"/>
  <c r="N25" i="21" s="1"/>
  <c r="G25" i="21"/>
  <c r="H25" i="21" s="1"/>
  <c r="L25" i="21"/>
  <c r="M26" i="21"/>
  <c r="N26" i="21" s="1"/>
  <c r="G26" i="21"/>
  <c r="H26" i="21" s="1"/>
  <c r="L26" i="21"/>
  <c r="M21" i="21"/>
  <c r="N21" i="21" s="1"/>
  <c r="G21" i="21"/>
  <c r="H21" i="21" s="1"/>
  <c r="L21" i="21"/>
  <c r="M23" i="21"/>
  <c r="N23" i="21" s="1"/>
  <c r="L23" i="21"/>
  <c r="G23" i="21"/>
  <c r="H23" i="21" s="1"/>
  <c r="M7" i="21"/>
  <c r="N7" i="21" s="1"/>
  <c r="G7" i="21"/>
  <c r="H7" i="21" s="1"/>
  <c r="L7" i="21"/>
  <c r="M17" i="21"/>
  <c r="N17" i="21" s="1"/>
  <c r="L17" i="21"/>
  <c r="G17" i="21"/>
  <c r="H17" i="21" s="1"/>
  <c r="M18" i="21"/>
  <c r="N18" i="21" s="1"/>
  <c r="L18" i="21"/>
  <c r="G18" i="21"/>
  <c r="H18" i="21" s="1"/>
  <c r="G11" i="21"/>
  <c r="H11" i="21" s="1"/>
  <c r="M11" i="21" s="1"/>
  <c r="N11" i="21" s="1"/>
  <c r="L11" i="21"/>
  <c r="M10" i="21"/>
  <c r="N10" i="21" s="1"/>
  <c r="L10" i="21"/>
  <c r="G10" i="21"/>
  <c r="H10" i="21" s="1"/>
  <c r="M6" i="21"/>
  <c r="N6" i="21" s="1"/>
  <c r="L6" i="21"/>
  <c r="G6" i="21"/>
  <c r="H6" i="21" s="1"/>
  <c r="M16" i="21"/>
  <c r="N16" i="21" s="1"/>
  <c r="G16" i="21"/>
  <c r="H16" i="21" s="1"/>
  <c r="L16" i="21"/>
  <c r="G9" i="21"/>
  <c r="H9" i="21" s="1"/>
  <c r="M24" i="21"/>
  <c r="N24" i="21" s="1"/>
  <c r="L24" i="21"/>
  <c r="G24" i="21"/>
  <c r="H24" i="21" s="1"/>
  <c r="L8" i="21"/>
  <c r="G8" i="21"/>
  <c r="H8" i="21" s="1"/>
  <c r="M8" i="21" s="1"/>
  <c r="N8" i="21" s="1"/>
  <c r="M12" i="21"/>
  <c r="N12" i="21" s="1"/>
  <c r="L12" i="21"/>
  <c r="G12" i="21"/>
  <c r="H12" i="21" s="1"/>
  <c r="G20" i="21"/>
  <c r="H20" i="21" s="1"/>
  <c r="M20" i="21" s="1"/>
  <c r="N20" i="21" s="1"/>
  <c r="L20" i="21"/>
  <c r="B13" i="22" l="1"/>
  <c r="B12" i="22"/>
  <c r="B15" i="22" s="1"/>
  <c r="F5" i="22" s="1"/>
  <c r="N248" i="19" l="1"/>
  <c r="O248" i="19" s="1"/>
  <c r="N247" i="19"/>
  <c r="O247" i="19" s="1"/>
  <c r="N246" i="19"/>
  <c r="O246" i="19" s="1"/>
  <c r="N245" i="19"/>
  <c r="O245" i="19" s="1"/>
  <c r="N244" i="19"/>
  <c r="O244" i="19" s="1"/>
  <c r="N243" i="19"/>
  <c r="O243" i="19" s="1"/>
  <c r="N242" i="19"/>
  <c r="O242" i="19" s="1"/>
  <c r="N241" i="19"/>
  <c r="O241" i="19" s="1"/>
  <c r="N240" i="19"/>
  <c r="O240" i="19" s="1"/>
  <c r="N239" i="19"/>
  <c r="O239" i="19" s="1"/>
  <c r="N238" i="19"/>
  <c r="O238" i="19" s="1"/>
  <c r="N237" i="19"/>
  <c r="O237" i="19" s="1"/>
  <c r="N236" i="19"/>
  <c r="O236" i="19" s="1"/>
  <c r="N235" i="19"/>
  <c r="O235" i="19" s="1"/>
  <c r="N234" i="19"/>
  <c r="O234" i="19" s="1"/>
  <c r="V22" i="19" s="1"/>
  <c r="N233" i="19"/>
  <c r="O233" i="19" s="1"/>
  <c r="N232" i="19"/>
  <c r="O232" i="19" s="1"/>
  <c r="N231" i="19"/>
  <c r="O231" i="19" s="1"/>
  <c r="N230" i="19"/>
  <c r="O230" i="19" s="1"/>
  <c r="N229" i="19"/>
  <c r="O229" i="19" s="1"/>
  <c r="N228" i="19"/>
  <c r="O228" i="19" s="1"/>
  <c r="N227" i="19"/>
  <c r="O227" i="19" s="1"/>
  <c r="N226" i="19"/>
  <c r="O226" i="19" s="1"/>
  <c r="N225" i="19"/>
  <c r="O225" i="19" s="1"/>
  <c r="N224" i="19"/>
  <c r="O224" i="19" s="1"/>
  <c r="N223" i="19"/>
  <c r="O223" i="19" s="1"/>
  <c r="N222" i="19"/>
  <c r="O222" i="19" s="1"/>
  <c r="N221" i="19"/>
  <c r="O221" i="19" s="1"/>
  <c r="N220" i="19"/>
  <c r="O220" i="19" s="1"/>
  <c r="N219" i="19"/>
  <c r="O219" i="19" s="1"/>
  <c r="N218" i="19"/>
  <c r="O218" i="19" s="1"/>
  <c r="N217" i="19"/>
  <c r="O217" i="19" s="1"/>
  <c r="N216" i="19"/>
  <c r="O216" i="19" s="1"/>
  <c r="N215" i="19"/>
  <c r="O215" i="19" s="1"/>
  <c r="N214" i="19"/>
  <c r="O214" i="19" s="1"/>
  <c r="N213" i="19"/>
  <c r="O213" i="19" s="1"/>
  <c r="N212" i="19"/>
  <c r="O212" i="19" s="1"/>
  <c r="N211" i="19"/>
  <c r="O211" i="19" s="1"/>
  <c r="N210" i="19"/>
  <c r="O210" i="19" s="1"/>
  <c r="N209" i="19"/>
  <c r="O209" i="19" s="1"/>
  <c r="N208" i="19"/>
  <c r="O208" i="19" s="1"/>
  <c r="N207" i="19"/>
  <c r="O207" i="19" s="1"/>
  <c r="N206" i="19"/>
  <c r="O206" i="19" s="1"/>
  <c r="N205" i="19"/>
  <c r="O205" i="19" s="1"/>
  <c r="N204" i="19"/>
  <c r="O204" i="19" s="1"/>
  <c r="N203" i="19"/>
  <c r="O203" i="19" s="1"/>
  <c r="N202" i="19"/>
  <c r="O202" i="19" s="1"/>
  <c r="N201" i="19"/>
  <c r="O201" i="19" s="1"/>
  <c r="N200" i="19"/>
  <c r="O200" i="19" s="1"/>
  <c r="N199" i="19"/>
  <c r="O199" i="19" s="1"/>
  <c r="N198" i="19"/>
  <c r="O198" i="19" s="1"/>
  <c r="N197" i="19"/>
  <c r="O197" i="19" s="1"/>
  <c r="N196" i="19"/>
  <c r="O196" i="19" s="1"/>
  <c r="N195" i="19"/>
  <c r="O195" i="19" s="1"/>
  <c r="N194" i="19"/>
  <c r="O194" i="19" s="1"/>
  <c r="N193" i="19"/>
  <c r="O193" i="19" s="1"/>
  <c r="N192" i="19"/>
  <c r="O192" i="19" s="1"/>
  <c r="N191" i="19"/>
  <c r="O191" i="19" s="1"/>
  <c r="N190" i="19"/>
  <c r="O190" i="19" s="1"/>
  <c r="N189" i="19"/>
  <c r="O189" i="19" s="1"/>
  <c r="N188" i="19"/>
  <c r="O188" i="19" s="1"/>
  <c r="N187" i="19"/>
  <c r="O187" i="19" s="1"/>
  <c r="N186" i="19"/>
  <c r="O186" i="19" s="1"/>
  <c r="N185" i="19"/>
  <c r="O185" i="19" s="1"/>
  <c r="N184" i="19"/>
  <c r="O184" i="19" s="1"/>
  <c r="N183" i="19"/>
  <c r="O183" i="19" s="1"/>
  <c r="N182" i="19"/>
  <c r="O182" i="19" s="1"/>
  <c r="N181" i="19"/>
  <c r="O181" i="19" s="1"/>
  <c r="N180" i="19"/>
  <c r="O180" i="19" s="1"/>
  <c r="N179" i="19"/>
  <c r="O179" i="19" s="1"/>
  <c r="N178" i="19"/>
  <c r="O178" i="19" s="1"/>
  <c r="N177" i="19"/>
  <c r="O177" i="19" s="1"/>
  <c r="N176" i="19"/>
  <c r="O176" i="19" s="1"/>
  <c r="N175" i="19"/>
  <c r="O175" i="19" s="1"/>
  <c r="N174" i="19"/>
  <c r="O174" i="19" s="1"/>
  <c r="N173" i="19"/>
  <c r="O173" i="19" s="1"/>
  <c r="N172" i="19"/>
  <c r="O172" i="19" s="1"/>
  <c r="N171" i="19"/>
  <c r="O171" i="19" s="1"/>
  <c r="N170" i="19"/>
  <c r="O170" i="19" s="1"/>
  <c r="N169" i="19"/>
  <c r="O169" i="19" s="1"/>
  <c r="N168" i="19"/>
  <c r="O168" i="19" s="1"/>
  <c r="N167" i="19"/>
  <c r="O167" i="19" s="1"/>
  <c r="N166" i="19"/>
  <c r="O166" i="19" s="1"/>
  <c r="N165" i="19"/>
  <c r="O165" i="19" s="1"/>
  <c r="N164" i="19"/>
  <c r="O164" i="19" s="1"/>
  <c r="N163" i="19"/>
  <c r="O163" i="19" s="1"/>
  <c r="N162" i="19"/>
  <c r="O162" i="19" s="1"/>
  <c r="N161" i="19"/>
  <c r="O161" i="19" s="1"/>
  <c r="N160" i="19"/>
  <c r="O160" i="19" s="1"/>
  <c r="N159" i="19"/>
  <c r="O159" i="19" s="1"/>
  <c r="N158" i="19"/>
  <c r="O158" i="19" s="1"/>
  <c r="N157" i="19"/>
  <c r="O157" i="19" s="1"/>
  <c r="N156" i="19"/>
  <c r="O156" i="19" s="1"/>
  <c r="N155" i="19"/>
  <c r="O155" i="19" s="1"/>
  <c r="N154" i="19"/>
  <c r="O154" i="19" s="1"/>
  <c r="N153" i="19"/>
  <c r="O153" i="19" s="1"/>
  <c r="N152" i="19"/>
  <c r="O152" i="19" s="1"/>
  <c r="N151" i="19"/>
  <c r="O151" i="19" s="1"/>
  <c r="N150" i="19"/>
  <c r="O150" i="19" s="1"/>
  <c r="N149" i="19"/>
  <c r="O149" i="19" s="1"/>
  <c r="N148" i="19"/>
  <c r="O148" i="19" s="1"/>
  <c r="N147" i="19"/>
  <c r="O147" i="19" s="1"/>
  <c r="N146" i="19"/>
  <c r="O146" i="19" s="1"/>
  <c r="N145" i="19"/>
  <c r="O145" i="19" s="1"/>
  <c r="N144" i="19"/>
  <c r="O144" i="19" s="1"/>
  <c r="N143" i="19"/>
  <c r="O143" i="19" s="1"/>
  <c r="N142" i="19"/>
  <c r="O142" i="19" s="1"/>
  <c r="N141" i="19"/>
  <c r="O141" i="19" s="1"/>
  <c r="N140" i="19"/>
  <c r="O140" i="19" s="1"/>
  <c r="N139" i="19"/>
  <c r="O139" i="19" s="1"/>
  <c r="N138" i="19"/>
  <c r="O138" i="19" s="1"/>
  <c r="N137" i="19"/>
  <c r="O137" i="19" s="1"/>
  <c r="N136" i="19"/>
  <c r="O136" i="19" s="1"/>
  <c r="N135" i="19"/>
  <c r="O135" i="19" s="1"/>
  <c r="N134" i="19"/>
  <c r="O134" i="19" s="1"/>
  <c r="N133" i="19"/>
  <c r="O133" i="19" s="1"/>
  <c r="N132" i="19"/>
  <c r="O132" i="19" s="1"/>
  <c r="N131" i="19"/>
  <c r="O131" i="19" s="1"/>
  <c r="N130" i="19"/>
  <c r="O130" i="19" s="1"/>
  <c r="N129" i="19"/>
  <c r="O129" i="19" s="1"/>
  <c r="N128" i="19"/>
  <c r="O128" i="19" s="1"/>
  <c r="N127" i="19"/>
  <c r="O127" i="19" s="1"/>
  <c r="N126" i="19"/>
  <c r="O126" i="19" s="1"/>
  <c r="N125" i="19"/>
  <c r="O125" i="19" s="1"/>
  <c r="N124" i="19"/>
  <c r="O124" i="19" s="1"/>
  <c r="N123" i="19"/>
  <c r="O123" i="19" s="1"/>
  <c r="N122" i="19"/>
  <c r="O122" i="19" s="1"/>
  <c r="N121" i="19"/>
  <c r="O121" i="19" s="1"/>
  <c r="N120" i="19"/>
  <c r="O120" i="19" s="1"/>
  <c r="N119" i="19"/>
  <c r="O119" i="19" s="1"/>
  <c r="N118" i="19"/>
  <c r="O118" i="19" s="1"/>
  <c r="N117" i="19"/>
  <c r="O117" i="19" s="1"/>
  <c r="N116" i="19"/>
  <c r="O116" i="19" s="1"/>
  <c r="N115" i="19"/>
  <c r="O115" i="19" s="1"/>
  <c r="N114" i="19"/>
  <c r="O114" i="19" s="1"/>
  <c r="N113" i="19"/>
  <c r="O113" i="19" s="1"/>
  <c r="N112" i="19"/>
  <c r="O112" i="19" s="1"/>
  <c r="N111" i="19"/>
  <c r="O111" i="19" s="1"/>
  <c r="N110" i="19"/>
  <c r="O110" i="19" s="1"/>
  <c r="N109" i="19"/>
  <c r="O109" i="19" s="1"/>
  <c r="N108" i="19"/>
  <c r="O108" i="19" s="1"/>
  <c r="N107" i="19"/>
  <c r="O107" i="19" s="1"/>
  <c r="N106" i="19"/>
  <c r="O106" i="19" s="1"/>
  <c r="N105" i="19"/>
  <c r="O105" i="19" s="1"/>
  <c r="N104" i="19"/>
  <c r="O104" i="19" s="1"/>
  <c r="N103" i="19"/>
  <c r="O103" i="19" s="1"/>
  <c r="N102" i="19"/>
  <c r="O102" i="19" s="1"/>
  <c r="N101" i="19"/>
  <c r="O101" i="19" s="1"/>
  <c r="N100" i="19"/>
  <c r="O100" i="19" s="1"/>
  <c r="N99" i="19"/>
  <c r="O99" i="19" s="1"/>
  <c r="N98" i="19"/>
  <c r="O98" i="19" s="1"/>
  <c r="N97" i="19"/>
  <c r="O97" i="19" s="1"/>
  <c r="N96" i="19"/>
  <c r="O96" i="19" s="1"/>
  <c r="N95" i="19"/>
  <c r="O95" i="19" s="1"/>
  <c r="N94" i="19"/>
  <c r="O94" i="19" s="1"/>
  <c r="N93" i="19"/>
  <c r="O93" i="19" s="1"/>
  <c r="N92" i="19"/>
  <c r="O92" i="19" s="1"/>
  <c r="N91" i="19"/>
  <c r="O91" i="19" s="1"/>
  <c r="N90" i="19"/>
  <c r="O90" i="19" s="1"/>
  <c r="N89" i="19"/>
  <c r="O89" i="19" s="1"/>
  <c r="N88" i="19"/>
  <c r="O88" i="19" s="1"/>
  <c r="N87" i="19"/>
  <c r="O87" i="19" s="1"/>
  <c r="N86" i="19"/>
  <c r="O86" i="19" s="1"/>
  <c r="N85" i="19"/>
  <c r="O85" i="19" s="1"/>
  <c r="N84" i="19"/>
  <c r="O84" i="19" s="1"/>
  <c r="N83" i="19"/>
  <c r="O83" i="19" s="1"/>
  <c r="N82" i="19"/>
  <c r="O82" i="19" s="1"/>
  <c r="N81" i="19"/>
  <c r="O81" i="19" s="1"/>
  <c r="N80" i="19"/>
  <c r="O80" i="19" s="1"/>
  <c r="N79" i="19"/>
  <c r="O79" i="19" s="1"/>
  <c r="N78" i="19"/>
  <c r="O78" i="19" s="1"/>
  <c r="N77" i="19"/>
  <c r="O77" i="19" s="1"/>
  <c r="N76" i="19"/>
  <c r="O76" i="19" s="1"/>
  <c r="N75" i="19"/>
  <c r="O75" i="19" s="1"/>
  <c r="N74" i="19"/>
  <c r="O74" i="19" s="1"/>
  <c r="N73" i="19"/>
  <c r="O73" i="19" s="1"/>
  <c r="N72" i="19"/>
  <c r="O72" i="19" s="1"/>
  <c r="N71" i="19"/>
  <c r="O71" i="19" s="1"/>
  <c r="N70" i="19"/>
  <c r="O70" i="19" s="1"/>
  <c r="N69" i="19"/>
  <c r="O69" i="19" s="1"/>
  <c r="N68" i="19"/>
  <c r="O68" i="19" s="1"/>
  <c r="N67" i="19"/>
  <c r="O67" i="19" s="1"/>
  <c r="N66" i="19"/>
  <c r="O66" i="19" s="1"/>
  <c r="N65" i="19"/>
  <c r="O65" i="19" s="1"/>
  <c r="N64" i="19"/>
  <c r="O64" i="19" s="1"/>
  <c r="N63" i="19"/>
  <c r="O63" i="19" s="1"/>
  <c r="N62" i="19"/>
  <c r="O62" i="19" s="1"/>
  <c r="N61" i="19"/>
  <c r="O61" i="19" s="1"/>
  <c r="N60" i="19"/>
  <c r="O60" i="19" s="1"/>
  <c r="N59" i="19"/>
  <c r="O59" i="19" s="1"/>
  <c r="N58" i="19"/>
  <c r="O58" i="19" s="1"/>
  <c r="N57" i="19"/>
  <c r="O57" i="19" s="1"/>
  <c r="N56" i="19"/>
  <c r="O56" i="19" s="1"/>
  <c r="N55" i="19"/>
  <c r="O55" i="19" s="1"/>
  <c r="N54" i="19"/>
  <c r="O54" i="19" s="1"/>
  <c r="N53" i="19"/>
  <c r="O53" i="19" s="1"/>
  <c r="N52" i="19"/>
  <c r="O52" i="19" s="1"/>
  <c r="N51" i="19"/>
  <c r="O51" i="19" s="1"/>
  <c r="N50" i="19"/>
  <c r="O50" i="19" s="1"/>
  <c r="N49" i="19"/>
  <c r="O49" i="19" s="1"/>
  <c r="N48" i="19"/>
  <c r="O48" i="19" s="1"/>
  <c r="N47" i="19"/>
  <c r="O47" i="19" s="1"/>
  <c r="N46" i="19"/>
  <c r="O46" i="19" s="1"/>
  <c r="N45" i="19"/>
  <c r="O45" i="19" s="1"/>
  <c r="N44" i="19"/>
  <c r="O44" i="19" s="1"/>
  <c r="N43" i="19"/>
  <c r="O43" i="19" s="1"/>
  <c r="N42" i="19"/>
  <c r="O42" i="19" s="1"/>
  <c r="N41" i="19"/>
  <c r="O41" i="19" s="1"/>
  <c r="N40" i="19"/>
  <c r="O40" i="19" s="1"/>
  <c r="N39" i="19"/>
  <c r="O39" i="19" s="1"/>
  <c r="N38" i="19"/>
  <c r="O38" i="19" s="1"/>
  <c r="N37" i="19"/>
  <c r="O37" i="19" s="1"/>
  <c r="N36" i="19"/>
  <c r="O36" i="19" s="1"/>
  <c r="N35" i="19"/>
  <c r="O35" i="19" s="1"/>
  <c r="N34" i="19"/>
  <c r="O34" i="19" s="1"/>
  <c r="N33" i="19"/>
  <c r="O33" i="19" s="1"/>
  <c r="N32" i="19"/>
  <c r="O32" i="19" s="1"/>
  <c r="N31" i="19"/>
  <c r="O31" i="19" s="1"/>
  <c r="N30" i="19"/>
  <c r="O30" i="19" s="1"/>
  <c r="N29" i="19"/>
  <c r="O29" i="19" s="1"/>
  <c r="N28" i="19"/>
  <c r="O28" i="19" s="1"/>
  <c r="N27" i="19"/>
  <c r="O27" i="19" s="1"/>
  <c r="N26" i="19"/>
  <c r="O26" i="19" s="1"/>
  <c r="N25" i="19"/>
  <c r="O25" i="19" s="1"/>
  <c r="N24" i="19"/>
  <c r="O24" i="19" s="1"/>
  <c r="N23" i="19"/>
  <c r="O23" i="19" s="1"/>
  <c r="T22" i="19"/>
  <c r="N22" i="19"/>
  <c r="O22" i="19" s="1"/>
  <c r="W21" i="19" a="1"/>
  <c r="W21" i="19" s="1"/>
  <c r="T21" i="19" a="1"/>
  <c r="T21" i="19" s="1"/>
  <c r="N21" i="19"/>
  <c r="O21" i="19" s="1"/>
  <c r="O20" i="19"/>
  <c r="N20" i="19"/>
  <c r="N19" i="19"/>
  <c r="O19" i="19" s="1"/>
  <c r="N18" i="19"/>
  <c r="O18" i="19" s="1"/>
  <c r="N17" i="19"/>
  <c r="O17" i="19" s="1"/>
  <c r="N16" i="19"/>
  <c r="O16" i="19" s="1"/>
  <c r="N15" i="19"/>
  <c r="O15" i="19" s="1"/>
  <c r="N14" i="19"/>
  <c r="O14" i="19" s="1"/>
  <c r="O13" i="19"/>
  <c r="N13" i="19"/>
  <c r="T12" i="19"/>
  <c r="V12" i="19" s="1"/>
  <c r="W12" i="19" s="1"/>
  <c r="N12" i="19"/>
  <c r="O12" i="19" s="1"/>
  <c r="V11" i="19"/>
  <c r="W11" i="19" s="1"/>
  <c r="T11" i="19"/>
  <c r="O11" i="19"/>
  <c r="N11" i="19"/>
  <c r="X10" i="19"/>
  <c r="V10" i="19"/>
  <c r="W10" i="19" s="1"/>
  <c r="W13" i="19" s="1"/>
  <c r="T10" i="19"/>
  <c r="O10" i="19"/>
  <c r="N10" i="19"/>
  <c r="N9" i="19"/>
  <c r="T19" i="19" s="1"/>
  <c r="H331" i="18"/>
  <c r="I331" i="18" s="1"/>
  <c r="G331" i="18"/>
  <c r="G330" i="18"/>
  <c r="H330" i="18" s="1"/>
  <c r="I330" i="18" s="1"/>
  <c r="H329" i="18"/>
  <c r="I329" i="18" s="1"/>
  <c r="G329" i="18"/>
  <c r="G328" i="18"/>
  <c r="H328" i="18" s="1"/>
  <c r="I328" i="18" s="1"/>
  <c r="H327" i="18"/>
  <c r="I327" i="18" s="1"/>
  <c r="G327" i="18"/>
  <c r="G326" i="18"/>
  <c r="H326" i="18" s="1"/>
  <c r="I326" i="18" s="1"/>
  <c r="H325" i="18"/>
  <c r="I325" i="18" s="1"/>
  <c r="G325" i="18"/>
  <c r="G324" i="18"/>
  <c r="H324" i="18" s="1"/>
  <c r="I324" i="18" s="1"/>
  <c r="H323" i="18"/>
  <c r="I323" i="18" s="1"/>
  <c r="G323" i="18"/>
  <c r="G322" i="18"/>
  <c r="H322" i="18" s="1"/>
  <c r="I322" i="18" s="1"/>
  <c r="H321" i="18"/>
  <c r="I321" i="18" s="1"/>
  <c r="G321" i="18"/>
  <c r="G320" i="18"/>
  <c r="H320" i="18" s="1"/>
  <c r="I320" i="18" s="1"/>
  <c r="H319" i="18"/>
  <c r="I319" i="18" s="1"/>
  <c r="G319" i="18"/>
  <c r="G318" i="18"/>
  <c r="H318" i="18" s="1"/>
  <c r="I318" i="18" s="1"/>
  <c r="H317" i="18"/>
  <c r="I317" i="18" s="1"/>
  <c r="G317" i="18"/>
  <c r="G316" i="18"/>
  <c r="H316" i="18" s="1"/>
  <c r="I316" i="18" s="1"/>
  <c r="H315" i="18"/>
  <c r="I315" i="18" s="1"/>
  <c r="G315" i="18"/>
  <c r="G314" i="18"/>
  <c r="H314" i="18" s="1"/>
  <c r="I314" i="18" s="1"/>
  <c r="H313" i="18"/>
  <c r="I313" i="18" s="1"/>
  <c r="G313" i="18"/>
  <c r="G312" i="18"/>
  <c r="H312" i="18" s="1"/>
  <c r="I312" i="18" s="1"/>
  <c r="H311" i="18"/>
  <c r="I311" i="18" s="1"/>
  <c r="G311" i="18"/>
  <c r="G310" i="18"/>
  <c r="H310" i="18" s="1"/>
  <c r="I310" i="18" s="1"/>
  <c r="H309" i="18"/>
  <c r="I309" i="18" s="1"/>
  <c r="N21" i="18" s="1"/>
  <c r="G309" i="18"/>
  <c r="G308" i="18"/>
  <c r="H308" i="18" s="1"/>
  <c r="I308" i="18" s="1"/>
  <c r="H307" i="18"/>
  <c r="I307" i="18" s="1"/>
  <c r="G307" i="18"/>
  <c r="G306" i="18"/>
  <c r="H306" i="18" s="1"/>
  <c r="I306" i="18" s="1"/>
  <c r="H305" i="18"/>
  <c r="I305" i="18" s="1"/>
  <c r="G305" i="18"/>
  <c r="G304" i="18"/>
  <c r="H304" i="18" s="1"/>
  <c r="I304" i="18" s="1"/>
  <c r="H303" i="18"/>
  <c r="I303" i="18" s="1"/>
  <c r="G303" i="18"/>
  <c r="G302" i="18"/>
  <c r="H302" i="18" s="1"/>
  <c r="I302" i="18" s="1"/>
  <c r="H301" i="18"/>
  <c r="I301" i="18" s="1"/>
  <c r="G301" i="18"/>
  <c r="G300" i="18"/>
  <c r="H300" i="18" s="1"/>
  <c r="I300" i="18" s="1"/>
  <c r="H299" i="18"/>
  <c r="I299" i="18" s="1"/>
  <c r="G299" i="18"/>
  <c r="G298" i="18"/>
  <c r="H298" i="18" s="1"/>
  <c r="I298" i="18" s="1"/>
  <c r="H297" i="18"/>
  <c r="I297" i="18" s="1"/>
  <c r="G297" i="18"/>
  <c r="G296" i="18"/>
  <c r="H296" i="18" s="1"/>
  <c r="I296" i="18" s="1"/>
  <c r="H295" i="18"/>
  <c r="I295" i="18" s="1"/>
  <c r="G295" i="18"/>
  <c r="G294" i="18"/>
  <c r="H294" i="18" s="1"/>
  <c r="I294" i="18" s="1"/>
  <c r="H293" i="18"/>
  <c r="I293" i="18" s="1"/>
  <c r="G293" i="18"/>
  <c r="G292" i="18"/>
  <c r="H292" i="18" s="1"/>
  <c r="I292" i="18" s="1"/>
  <c r="H291" i="18"/>
  <c r="I291" i="18" s="1"/>
  <c r="G291" i="18"/>
  <c r="G290" i="18"/>
  <c r="H290" i="18" s="1"/>
  <c r="I290" i="18" s="1"/>
  <c r="H289" i="18"/>
  <c r="I289" i="18" s="1"/>
  <c r="G289" i="18"/>
  <c r="G288" i="18"/>
  <c r="H288" i="18" s="1"/>
  <c r="I288" i="18" s="1"/>
  <c r="H287" i="18"/>
  <c r="I287" i="18" s="1"/>
  <c r="G287" i="18"/>
  <c r="G286" i="18"/>
  <c r="H286" i="18" s="1"/>
  <c r="I286" i="18" s="1"/>
  <c r="H285" i="18"/>
  <c r="I285" i="18" s="1"/>
  <c r="G285" i="18"/>
  <c r="G284" i="18"/>
  <c r="H284" i="18" s="1"/>
  <c r="I284" i="18" s="1"/>
  <c r="H283" i="18"/>
  <c r="I283" i="18" s="1"/>
  <c r="G283" i="18"/>
  <c r="G282" i="18"/>
  <c r="H282" i="18" s="1"/>
  <c r="I282" i="18" s="1"/>
  <c r="H281" i="18"/>
  <c r="I281" i="18" s="1"/>
  <c r="G281" i="18"/>
  <c r="G280" i="18"/>
  <c r="H280" i="18" s="1"/>
  <c r="I280" i="18" s="1"/>
  <c r="H279" i="18"/>
  <c r="I279" i="18" s="1"/>
  <c r="G279" i="18"/>
  <c r="G278" i="18"/>
  <c r="H278" i="18" s="1"/>
  <c r="I278" i="18" s="1"/>
  <c r="H277" i="18"/>
  <c r="I277" i="18" s="1"/>
  <c r="G277" i="18"/>
  <c r="G276" i="18"/>
  <c r="H276" i="18" s="1"/>
  <c r="I276" i="18" s="1"/>
  <c r="H275" i="18"/>
  <c r="I275" i="18" s="1"/>
  <c r="G275" i="18"/>
  <c r="G274" i="18"/>
  <c r="H274" i="18" s="1"/>
  <c r="I274" i="18" s="1"/>
  <c r="H273" i="18"/>
  <c r="I273" i="18" s="1"/>
  <c r="G273" i="18"/>
  <c r="G272" i="18"/>
  <c r="H272" i="18" s="1"/>
  <c r="I272" i="18" s="1"/>
  <c r="H271" i="18"/>
  <c r="I271" i="18" s="1"/>
  <c r="G271" i="18"/>
  <c r="G270" i="18"/>
  <c r="H270" i="18" s="1"/>
  <c r="I270" i="18" s="1"/>
  <c r="H269" i="18"/>
  <c r="I269" i="18" s="1"/>
  <c r="G269" i="18"/>
  <c r="G268" i="18"/>
  <c r="H268" i="18" s="1"/>
  <c r="I268" i="18" s="1"/>
  <c r="H267" i="18"/>
  <c r="I267" i="18" s="1"/>
  <c r="G267" i="18"/>
  <c r="G266" i="18"/>
  <c r="H266" i="18" s="1"/>
  <c r="I266" i="18" s="1"/>
  <c r="H265" i="18"/>
  <c r="I265" i="18" s="1"/>
  <c r="G265" i="18"/>
  <c r="G264" i="18"/>
  <c r="H264" i="18" s="1"/>
  <c r="I264" i="18" s="1"/>
  <c r="H263" i="18"/>
  <c r="I263" i="18" s="1"/>
  <c r="G263" i="18"/>
  <c r="G262" i="18"/>
  <c r="H262" i="18" s="1"/>
  <c r="I262" i="18" s="1"/>
  <c r="H261" i="18"/>
  <c r="I261" i="18" s="1"/>
  <c r="G261" i="18"/>
  <c r="G260" i="18"/>
  <c r="H260" i="18" s="1"/>
  <c r="I260" i="18" s="1"/>
  <c r="H259" i="18"/>
  <c r="I259" i="18" s="1"/>
  <c r="G259" i="18"/>
  <c r="G258" i="18"/>
  <c r="H258" i="18" s="1"/>
  <c r="I258" i="18" s="1"/>
  <c r="H257" i="18"/>
  <c r="I257" i="18" s="1"/>
  <c r="G257" i="18"/>
  <c r="G256" i="18"/>
  <c r="H256" i="18" s="1"/>
  <c r="I256" i="18" s="1"/>
  <c r="H255" i="18"/>
  <c r="I255" i="18" s="1"/>
  <c r="G255" i="18"/>
  <c r="G254" i="18"/>
  <c r="H254" i="18" s="1"/>
  <c r="I254" i="18" s="1"/>
  <c r="H253" i="18"/>
  <c r="I253" i="18" s="1"/>
  <c r="G253" i="18"/>
  <c r="G252" i="18"/>
  <c r="H252" i="18" s="1"/>
  <c r="I252" i="18" s="1"/>
  <c r="H251" i="18"/>
  <c r="I251" i="18" s="1"/>
  <c r="G251" i="18"/>
  <c r="G250" i="18"/>
  <c r="H250" i="18" s="1"/>
  <c r="I250" i="18" s="1"/>
  <c r="H249" i="18"/>
  <c r="I249" i="18" s="1"/>
  <c r="G249" i="18"/>
  <c r="G248" i="18"/>
  <c r="H248" i="18" s="1"/>
  <c r="I248" i="18" s="1"/>
  <c r="H247" i="18"/>
  <c r="I247" i="18" s="1"/>
  <c r="G247" i="18"/>
  <c r="G246" i="18"/>
  <c r="H246" i="18" s="1"/>
  <c r="I246" i="18" s="1"/>
  <c r="H245" i="18"/>
  <c r="I245" i="18" s="1"/>
  <c r="G245" i="18"/>
  <c r="G244" i="18"/>
  <c r="H244" i="18" s="1"/>
  <c r="I244" i="18" s="1"/>
  <c r="H243" i="18"/>
  <c r="I243" i="18" s="1"/>
  <c r="G243" i="18"/>
  <c r="G242" i="18"/>
  <c r="H242" i="18" s="1"/>
  <c r="I242" i="18" s="1"/>
  <c r="H241" i="18"/>
  <c r="I241" i="18" s="1"/>
  <c r="G241" i="18"/>
  <c r="G240" i="18"/>
  <c r="H240" i="18" s="1"/>
  <c r="I240" i="18" s="1"/>
  <c r="H239" i="18"/>
  <c r="I239" i="18" s="1"/>
  <c r="G239" i="18"/>
  <c r="G238" i="18"/>
  <c r="H238" i="18" s="1"/>
  <c r="I238" i="18" s="1"/>
  <c r="H237" i="18"/>
  <c r="I237" i="18" s="1"/>
  <c r="G237" i="18"/>
  <c r="G236" i="18"/>
  <c r="H236" i="18" s="1"/>
  <c r="I236" i="18" s="1"/>
  <c r="H235" i="18"/>
  <c r="I235" i="18" s="1"/>
  <c r="G235" i="18"/>
  <c r="G234" i="18"/>
  <c r="H234" i="18" s="1"/>
  <c r="I234" i="18" s="1"/>
  <c r="H233" i="18"/>
  <c r="I233" i="18" s="1"/>
  <c r="G233" i="18"/>
  <c r="G232" i="18"/>
  <c r="H232" i="18" s="1"/>
  <c r="I232" i="18" s="1"/>
  <c r="H231" i="18"/>
  <c r="I231" i="18" s="1"/>
  <c r="G231" i="18"/>
  <c r="G230" i="18"/>
  <c r="H230" i="18" s="1"/>
  <c r="I230" i="18" s="1"/>
  <c r="H229" i="18"/>
  <c r="I229" i="18" s="1"/>
  <c r="G229" i="18"/>
  <c r="G228" i="18"/>
  <c r="H228" i="18" s="1"/>
  <c r="I228" i="18" s="1"/>
  <c r="H227" i="18"/>
  <c r="I227" i="18" s="1"/>
  <c r="G227" i="18"/>
  <c r="G226" i="18"/>
  <c r="H226" i="18" s="1"/>
  <c r="I226" i="18" s="1"/>
  <c r="H225" i="18"/>
  <c r="I225" i="18" s="1"/>
  <c r="G225" i="18"/>
  <c r="G224" i="18"/>
  <c r="H224" i="18" s="1"/>
  <c r="I224" i="18" s="1"/>
  <c r="H223" i="18"/>
  <c r="I223" i="18" s="1"/>
  <c r="G223" i="18"/>
  <c r="G222" i="18"/>
  <c r="H222" i="18" s="1"/>
  <c r="I222" i="18" s="1"/>
  <c r="H221" i="18"/>
  <c r="I221" i="18" s="1"/>
  <c r="G221" i="18"/>
  <c r="G220" i="18"/>
  <c r="H220" i="18" s="1"/>
  <c r="I220" i="18" s="1"/>
  <c r="H219" i="18"/>
  <c r="I219" i="18" s="1"/>
  <c r="G219" i="18"/>
  <c r="G218" i="18"/>
  <c r="H218" i="18" s="1"/>
  <c r="I218" i="18" s="1"/>
  <c r="H217" i="18"/>
  <c r="I217" i="18" s="1"/>
  <c r="G217" i="18"/>
  <c r="G216" i="18"/>
  <c r="H216" i="18" s="1"/>
  <c r="I216" i="18" s="1"/>
  <c r="H215" i="18"/>
  <c r="I215" i="18" s="1"/>
  <c r="G215" i="18"/>
  <c r="G214" i="18"/>
  <c r="H214" i="18" s="1"/>
  <c r="I214" i="18" s="1"/>
  <c r="H213" i="18"/>
  <c r="I213" i="18" s="1"/>
  <c r="G213" i="18"/>
  <c r="G212" i="18"/>
  <c r="H212" i="18" s="1"/>
  <c r="I212" i="18" s="1"/>
  <c r="H211" i="18"/>
  <c r="I211" i="18" s="1"/>
  <c r="G211" i="18"/>
  <c r="G210" i="18"/>
  <c r="H210" i="18" s="1"/>
  <c r="I210" i="18" s="1"/>
  <c r="H209" i="18"/>
  <c r="I209" i="18" s="1"/>
  <c r="G209" i="18"/>
  <c r="G208" i="18"/>
  <c r="H208" i="18" s="1"/>
  <c r="I208" i="18" s="1"/>
  <c r="H207" i="18"/>
  <c r="I207" i="18" s="1"/>
  <c r="G207" i="18"/>
  <c r="G206" i="18"/>
  <c r="H206" i="18" s="1"/>
  <c r="I206" i="18" s="1"/>
  <c r="H205" i="18"/>
  <c r="I205" i="18" s="1"/>
  <c r="G205" i="18"/>
  <c r="G204" i="18"/>
  <c r="H204" i="18" s="1"/>
  <c r="I204" i="18" s="1"/>
  <c r="H203" i="18"/>
  <c r="I203" i="18" s="1"/>
  <c r="G203" i="18"/>
  <c r="G202" i="18"/>
  <c r="H202" i="18" s="1"/>
  <c r="I202" i="18" s="1"/>
  <c r="H201" i="18"/>
  <c r="I201" i="18" s="1"/>
  <c r="G201" i="18"/>
  <c r="G200" i="18"/>
  <c r="H200" i="18" s="1"/>
  <c r="I200" i="18" s="1"/>
  <c r="H199" i="18"/>
  <c r="I199" i="18" s="1"/>
  <c r="G199" i="18"/>
  <c r="G198" i="18"/>
  <c r="H198" i="18" s="1"/>
  <c r="I198" i="18" s="1"/>
  <c r="H197" i="18"/>
  <c r="I197" i="18" s="1"/>
  <c r="G197" i="18"/>
  <c r="G196" i="18"/>
  <c r="H196" i="18" s="1"/>
  <c r="I196" i="18" s="1"/>
  <c r="H195" i="18"/>
  <c r="I195" i="18" s="1"/>
  <c r="G195" i="18"/>
  <c r="G194" i="18"/>
  <c r="H194" i="18" s="1"/>
  <c r="I194" i="18" s="1"/>
  <c r="H193" i="18"/>
  <c r="I193" i="18" s="1"/>
  <c r="G193" i="18"/>
  <c r="G192" i="18"/>
  <c r="H192" i="18" s="1"/>
  <c r="I192" i="18" s="1"/>
  <c r="H191" i="18"/>
  <c r="I191" i="18" s="1"/>
  <c r="G191" i="18"/>
  <c r="G190" i="18"/>
  <c r="H190" i="18" s="1"/>
  <c r="I190" i="18" s="1"/>
  <c r="H189" i="18"/>
  <c r="I189" i="18" s="1"/>
  <c r="G189" i="18"/>
  <c r="G188" i="18"/>
  <c r="H188" i="18" s="1"/>
  <c r="I188" i="18" s="1"/>
  <c r="H187" i="18"/>
  <c r="I187" i="18" s="1"/>
  <c r="G187" i="18"/>
  <c r="G186" i="18"/>
  <c r="H186" i="18" s="1"/>
  <c r="I186" i="18" s="1"/>
  <c r="H185" i="18"/>
  <c r="I185" i="18" s="1"/>
  <c r="G185" i="18"/>
  <c r="G184" i="18"/>
  <c r="H184" i="18" s="1"/>
  <c r="I184" i="18" s="1"/>
  <c r="H183" i="18"/>
  <c r="I183" i="18" s="1"/>
  <c r="G183" i="18"/>
  <c r="G182" i="18"/>
  <c r="H182" i="18" s="1"/>
  <c r="I182" i="18" s="1"/>
  <c r="H181" i="18"/>
  <c r="I181" i="18" s="1"/>
  <c r="G181" i="18"/>
  <c r="G180" i="18"/>
  <c r="H180" i="18" s="1"/>
  <c r="I180" i="18" s="1"/>
  <c r="H179" i="18"/>
  <c r="I179" i="18" s="1"/>
  <c r="G179" i="18"/>
  <c r="G178" i="18"/>
  <c r="H178" i="18" s="1"/>
  <c r="I178" i="18" s="1"/>
  <c r="H177" i="18"/>
  <c r="I177" i="18" s="1"/>
  <c r="G177" i="18"/>
  <c r="G176" i="18"/>
  <c r="H176" i="18" s="1"/>
  <c r="I176" i="18" s="1"/>
  <c r="H175" i="18"/>
  <c r="I175" i="18" s="1"/>
  <c r="G175" i="18"/>
  <c r="G174" i="18"/>
  <c r="H174" i="18" s="1"/>
  <c r="I174" i="18" s="1"/>
  <c r="H173" i="18"/>
  <c r="I173" i="18" s="1"/>
  <c r="G173" i="18"/>
  <c r="G172" i="18"/>
  <c r="H172" i="18" s="1"/>
  <c r="I172" i="18" s="1"/>
  <c r="H171" i="18"/>
  <c r="I171" i="18" s="1"/>
  <c r="G171" i="18"/>
  <c r="G170" i="18"/>
  <c r="H170" i="18" s="1"/>
  <c r="I170" i="18" s="1"/>
  <c r="H169" i="18"/>
  <c r="I169" i="18" s="1"/>
  <c r="G169" i="18"/>
  <c r="G168" i="18"/>
  <c r="H168" i="18" s="1"/>
  <c r="I168" i="18" s="1"/>
  <c r="H167" i="18"/>
  <c r="I167" i="18" s="1"/>
  <c r="G167" i="18"/>
  <c r="G166" i="18"/>
  <c r="H166" i="18" s="1"/>
  <c r="I166" i="18" s="1"/>
  <c r="H165" i="18"/>
  <c r="I165" i="18" s="1"/>
  <c r="G165" i="18"/>
  <c r="G164" i="18"/>
  <c r="H164" i="18" s="1"/>
  <c r="I164" i="18" s="1"/>
  <c r="H163" i="18"/>
  <c r="I163" i="18" s="1"/>
  <c r="G163" i="18"/>
  <c r="G162" i="18"/>
  <c r="H162" i="18" s="1"/>
  <c r="I162" i="18" s="1"/>
  <c r="H161" i="18"/>
  <c r="I161" i="18" s="1"/>
  <c r="G161" i="18"/>
  <c r="G160" i="18"/>
  <c r="H160" i="18" s="1"/>
  <c r="I160" i="18" s="1"/>
  <c r="H159" i="18"/>
  <c r="I159" i="18" s="1"/>
  <c r="G159" i="18"/>
  <c r="G158" i="18"/>
  <c r="H158" i="18" s="1"/>
  <c r="I158" i="18" s="1"/>
  <c r="H157" i="18"/>
  <c r="I157" i="18" s="1"/>
  <c r="G157" i="18"/>
  <c r="G156" i="18"/>
  <c r="H156" i="18" s="1"/>
  <c r="I156" i="18" s="1"/>
  <c r="H155" i="18"/>
  <c r="I155" i="18" s="1"/>
  <c r="G155" i="18"/>
  <c r="G154" i="18"/>
  <c r="H154" i="18" s="1"/>
  <c r="I154" i="18" s="1"/>
  <c r="H153" i="18"/>
  <c r="I153" i="18" s="1"/>
  <c r="G153" i="18"/>
  <c r="G152" i="18"/>
  <c r="H152" i="18" s="1"/>
  <c r="I152" i="18" s="1"/>
  <c r="H151" i="18"/>
  <c r="I151" i="18" s="1"/>
  <c r="G151" i="18"/>
  <c r="G150" i="18"/>
  <c r="H150" i="18" s="1"/>
  <c r="I150" i="18" s="1"/>
  <c r="H149" i="18"/>
  <c r="I149" i="18" s="1"/>
  <c r="G149" i="18"/>
  <c r="G148" i="18"/>
  <c r="H148" i="18" s="1"/>
  <c r="I148" i="18" s="1"/>
  <c r="H147" i="18"/>
  <c r="I147" i="18" s="1"/>
  <c r="G147" i="18"/>
  <c r="G146" i="18"/>
  <c r="H146" i="18" s="1"/>
  <c r="I146" i="18" s="1"/>
  <c r="H145" i="18"/>
  <c r="I145" i="18" s="1"/>
  <c r="G145" i="18"/>
  <c r="G144" i="18"/>
  <c r="H144" i="18" s="1"/>
  <c r="I144" i="18" s="1"/>
  <c r="H143" i="18"/>
  <c r="I143" i="18" s="1"/>
  <c r="G143" i="18"/>
  <c r="G142" i="18"/>
  <c r="H142" i="18" s="1"/>
  <c r="I142" i="18" s="1"/>
  <c r="H141" i="18"/>
  <c r="I141" i="18" s="1"/>
  <c r="G141" i="18"/>
  <c r="G140" i="18"/>
  <c r="H140" i="18" s="1"/>
  <c r="I140" i="18" s="1"/>
  <c r="H139" i="18"/>
  <c r="I139" i="18" s="1"/>
  <c r="G139" i="18"/>
  <c r="G138" i="18"/>
  <c r="H138" i="18" s="1"/>
  <c r="I138" i="18" s="1"/>
  <c r="H137" i="18"/>
  <c r="I137" i="18" s="1"/>
  <c r="G137" i="18"/>
  <c r="G136" i="18"/>
  <c r="H136" i="18" s="1"/>
  <c r="I136" i="18" s="1"/>
  <c r="H135" i="18"/>
  <c r="I135" i="18" s="1"/>
  <c r="G135" i="18"/>
  <c r="G134" i="18"/>
  <c r="H134" i="18" s="1"/>
  <c r="I134" i="18" s="1"/>
  <c r="H133" i="18"/>
  <c r="I133" i="18" s="1"/>
  <c r="G133" i="18"/>
  <c r="G132" i="18"/>
  <c r="H132" i="18" s="1"/>
  <c r="I132" i="18" s="1"/>
  <c r="H131" i="18"/>
  <c r="I131" i="18" s="1"/>
  <c r="G131" i="18"/>
  <c r="G130" i="18"/>
  <c r="H130" i="18" s="1"/>
  <c r="I130" i="18" s="1"/>
  <c r="H129" i="18"/>
  <c r="I129" i="18" s="1"/>
  <c r="G129" i="18"/>
  <c r="G128" i="18"/>
  <c r="H128" i="18" s="1"/>
  <c r="I128" i="18" s="1"/>
  <c r="H127" i="18"/>
  <c r="I127" i="18" s="1"/>
  <c r="G127" i="18"/>
  <c r="G126" i="18"/>
  <c r="H126" i="18" s="1"/>
  <c r="I126" i="18" s="1"/>
  <c r="H125" i="18"/>
  <c r="I125" i="18" s="1"/>
  <c r="L21" i="18" s="1"/>
  <c r="G125" i="18"/>
  <c r="G124" i="18"/>
  <c r="H124" i="18" s="1"/>
  <c r="I124" i="18" s="1"/>
  <c r="H123" i="18"/>
  <c r="I123" i="18" s="1"/>
  <c r="G123" i="18"/>
  <c r="G122" i="18"/>
  <c r="H122" i="18" s="1"/>
  <c r="I122" i="18" s="1"/>
  <c r="H121" i="18"/>
  <c r="I121" i="18" s="1"/>
  <c r="G121" i="18"/>
  <c r="G120" i="18"/>
  <c r="H120" i="18" s="1"/>
  <c r="I120" i="18" s="1"/>
  <c r="H119" i="18"/>
  <c r="I119" i="18" s="1"/>
  <c r="G119" i="18"/>
  <c r="G118" i="18"/>
  <c r="H118" i="18" s="1"/>
  <c r="I118" i="18" s="1"/>
  <c r="H117" i="18"/>
  <c r="I117" i="18" s="1"/>
  <c r="G117" i="18"/>
  <c r="G116" i="18"/>
  <c r="H116" i="18" s="1"/>
  <c r="I116" i="18" s="1"/>
  <c r="H115" i="18"/>
  <c r="I115" i="18" s="1"/>
  <c r="G115" i="18"/>
  <c r="G114" i="18"/>
  <c r="H114" i="18" s="1"/>
  <c r="I114" i="18" s="1"/>
  <c r="H113" i="18"/>
  <c r="I113" i="18" s="1"/>
  <c r="G113" i="18"/>
  <c r="G112" i="18"/>
  <c r="H112" i="18" s="1"/>
  <c r="I112" i="18" s="1"/>
  <c r="H111" i="18"/>
  <c r="I111" i="18" s="1"/>
  <c r="G111" i="18"/>
  <c r="G110" i="18"/>
  <c r="H110" i="18" s="1"/>
  <c r="I110" i="18" s="1"/>
  <c r="H109" i="18"/>
  <c r="I109" i="18" s="1"/>
  <c r="G109" i="18"/>
  <c r="G108" i="18"/>
  <c r="H108" i="18" s="1"/>
  <c r="I108" i="18" s="1"/>
  <c r="H107" i="18"/>
  <c r="I107" i="18" s="1"/>
  <c r="G107" i="18"/>
  <c r="G106" i="18"/>
  <c r="H106" i="18" s="1"/>
  <c r="I106" i="18" s="1"/>
  <c r="H105" i="18"/>
  <c r="I105" i="18" s="1"/>
  <c r="G105" i="18"/>
  <c r="G104" i="18"/>
  <c r="H104" i="18" s="1"/>
  <c r="I104" i="18" s="1"/>
  <c r="H103" i="18"/>
  <c r="I103" i="18" s="1"/>
  <c r="G103" i="18"/>
  <c r="G102" i="18"/>
  <c r="H102" i="18" s="1"/>
  <c r="I102" i="18" s="1"/>
  <c r="H101" i="18"/>
  <c r="I101" i="18" s="1"/>
  <c r="G101" i="18"/>
  <c r="G100" i="18"/>
  <c r="H100" i="18" s="1"/>
  <c r="I100" i="18" s="1"/>
  <c r="H99" i="18"/>
  <c r="I99" i="18" s="1"/>
  <c r="G99" i="18"/>
  <c r="G98" i="18"/>
  <c r="H98" i="18" s="1"/>
  <c r="I98" i="18" s="1"/>
  <c r="H97" i="18"/>
  <c r="I97" i="18" s="1"/>
  <c r="G97" i="18"/>
  <c r="G96" i="18"/>
  <c r="H96" i="18" s="1"/>
  <c r="I96" i="18" s="1"/>
  <c r="H95" i="18"/>
  <c r="I95" i="18" s="1"/>
  <c r="G95" i="18"/>
  <c r="G94" i="18"/>
  <c r="H94" i="18" s="1"/>
  <c r="I94" i="18" s="1"/>
  <c r="H93" i="18"/>
  <c r="I93" i="18" s="1"/>
  <c r="G93" i="18"/>
  <c r="G92" i="18"/>
  <c r="H92" i="18" s="1"/>
  <c r="I92" i="18" s="1"/>
  <c r="H91" i="18"/>
  <c r="I91" i="18" s="1"/>
  <c r="G91" i="18"/>
  <c r="G90" i="18"/>
  <c r="H90" i="18" s="1"/>
  <c r="I90" i="18" s="1"/>
  <c r="H89" i="18"/>
  <c r="I89" i="18" s="1"/>
  <c r="G89" i="18"/>
  <c r="G88" i="18"/>
  <c r="H88" i="18" s="1"/>
  <c r="I88" i="18" s="1"/>
  <c r="H87" i="18"/>
  <c r="I87" i="18" s="1"/>
  <c r="G87" i="18"/>
  <c r="G86" i="18"/>
  <c r="H86" i="18" s="1"/>
  <c r="I86" i="18" s="1"/>
  <c r="H85" i="18"/>
  <c r="I85" i="18" s="1"/>
  <c r="G85" i="18"/>
  <c r="G84" i="18"/>
  <c r="H84" i="18" s="1"/>
  <c r="I84" i="18" s="1"/>
  <c r="H83" i="18"/>
  <c r="I83" i="18" s="1"/>
  <c r="G83" i="18"/>
  <c r="G82" i="18"/>
  <c r="H82" i="18" s="1"/>
  <c r="I82" i="18" s="1"/>
  <c r="H81" i="18"/>
  <c r="I81" i="18" s="1"/>
  <c r="G81" i="18"/>
  <c r="G80" i="18"/>
  <c r="H80" i="18" s="1"/>
  <c r="I80" i="18" s="1"/>
  <c r="H79" i="18"/>
  <c r="I79" i="18" s="1"/>
  <c r="G79" i="18"/>
  <c r="G78" i="18"/>
  <c r="H78" i="18" s="1"/>
  <c r="I78" i="18" s="1"/>
  <c r="H77" i="18"/>
  <c r="I77" i="18" s="1"/>
  <c r="G77" i="18"/>
  <c r="G76" i="18"/>
  <c r="H76" i="18" s="1"/>
  <c r="I76" i="18" s="1"/>
  <c r="H75" i="18"/>
  <c r="I75" i="18" s="1"/>
  <c r="G75" i="18"/>
  <c r="G74" i="18"/>
  <c r="H74" i="18" s="1"/>
  <c r="I74" i="18" s="1"/>
  <c r="H73" i="18"/>
  <c r="I73" i="18" s="1"/>
  <c r="G73" i="18"/>
  <c r="G72" i="18"/>
  <c r="H72" i="18" s="1"/>
  <c r="I72" i="18" s="1"/>
  <c r="H71" i="18"/>
  <c r="I71" i="18" s="1"/>
  <c r="G71" i="18"/>
  <c r="G70" i="18"/>
  <c r="H70" i="18" s="1"/>
  <c r="I70" i="18" s="1"/>
  <c r="H69" i="18"/>
  <c r="I69" i="18" s="1"/>
  <c r="G69" i="18"/>
  <c r="G68" i="18"/>
  <c r="H68" i="18" s="1"/>
  <c r="I68" i="18" s="1"/>
  <c r="H67" i="18"/>
  <c r="I67" i="18" s="1"/>
  <c r="G67" i="18"/>
  <c r="G66" i="18"/>
  <c r="H66" i="18" s="1"/>
  <c r="I66" i="18" s="1"/>
  <c r="H65" i="18"/>
  <c r="I65" i="18" s="1"/>
  <c r="G65" i="18"/>
  <c r="G64" i="18"/>
  <c r="H64" i="18" s="1"/>
  <c r="I64" i="18" s="1"/>
  <c r="H63" i="18"/>
  <c r="I63" i="18" s="1"/>
  <c r="G63" i="18"/>
  <c r="G62" i="18"/>
  <c r="H62" i="18" s="1"/>
  <c r="I62" i="18" s="1"/>
  <c r="H61" i="18"/>
  <c r="I61" i="18" s="1"/>
  <c r="G61" i="18"/>
  <c r="G60" i="18"/>
  <c r="H60" i="18" s="1"/>
  <c r="I60" i="18" s="1"/>
  <c r="H59" i="18"/>
  <c r="I59" i="18" s="1"/>
  <c r="G59" i="18"/>
  <c r="G58" i="18"/>
  <c r="H58" i="18" s="1"/>
  <c r="I58" i="18" s="1"/>
  <c r="H57" i="18"/>
  <c r="I57" i="18" s="1"/>
  <c r="G57" i="18"/>
  <c r="G56" i="18"/>
  <c r="H56" i="18" s="1"/>
  <c r="I56" i="18" s="1"/>
  <c r="H55" i="18"/>
  <c r="I55" i="18" s="1"/>
  <c r="G55" i="18"/>
  <c r="G54" i="18"/>
  <c r="H54" i="18" s="1"/>
  <c r="I54" i="18" s="1"/>
  <c r="H53" i="18"/>
  <c r="I53" i="18" s="1"/>
  <c r="G53" i="18"/>
  <c r="G52" i="18"/>
  <c r="H52" i="18" s="1"/>
  <c r="I52" i="18" s="1"/>
  <c r="H51" i="18"/>
  <c r="I51" i="18" s="1"/>
  <c r="G51" i="18"/>
  <c r="G50" i="18"/>
  <c r="H50" i="18" s="1"/>
  <c r="I50" i="18" s="1"/>
  <c r="H49" i="18"/>
  <c r="I49" i="18" s="1"/>
  <c r="G49" i="18"/>
  <c r="G48" i="18"/>
  <c r="H48" i="18" s="1"/>
  <c r="I48" i="18" s="1"/>
  <c r="H47" i="18"/>
  <c r="I47" i="18" s="1"/>
  <c r="G47" i="18"/>
  <c r="G46" i="18"/>
  <c r="H46" i="18" s="1"/>
  <c r="I46" i="18" s="1"/>
  <c r="H45" i="18"/>
  <c r="I45" i="18" s="1"/>
  <c r="G45" i="18"/>
  <c r="G44" i="18"/>
  <c r="H44" i="18" s="1"/>
  <c r="I44" i="18" s="1"/>
  <c r="H43" i="18"/>
  <c r="I43" i="18" s="1"/>
  <c r="N24" i="18" s="1"/>
  <c r="G43" i="18"/>
  <c r="G42" i="18"/>
  <c r="H42" i="18" s="1"/>
  <c r="I42" i="18" s="1"/>
  <c r="H41" i="18"/>
  <c r="I41" i="18" s="1"/>
  <c r="G41" i="18"/>
  <c r="G40" i="18"/>
  <c r="H40" i="18" s="1"/>
  <c r="I40" i="18" s="1"/>
  <c r="H39" i="18"/>
  <c r="I39" i="18" s="1"/>
  <c r="G39" i="18"/>
  <c r="G38" i="18"/>
  <c r="H38" i="18" s="1"/>
  <c r="I38" i="18" s="1"/>
  <c r="H37" i="18"/>
  <c r="I37" i="18" s="1"/>
  <c r="G37" i="18"/>
  <c r="G36" i="18"/>
  <c r="H36" i="18" s="1"/>
  <c r="I36" i="18" s="1"/>
  <c r="H35" i="18"/>
  <c r="I35" i="18" s="1"/>
  <c r="G35" i="18"/>
  <c r="G34" i="18"/>
  <c r="H34" i="18" s="1"/>
  <c r="I34" i="18" s="1"/>
  <c r="H33" i="18"/>
  <c r="I33" i="18" s="1"/>
  <c r="G33" i="18"/>
  <c r="G32" i="18"/>
  <c r="H32" i="18" s="1"/>
  <c r="I32" i="18" s="1"/>
  <c r="H31" i="18"/>
  <c r="I31" i="18" s="1"/>
  <c r="G31" i="18"/>
  <c r="G30" i="18"/>
  <c r="H30" i="18" s="1"/>
  <c r="I30" i="18" s="1"/>
  <c r="H29" i="18"/>
  <c r="I29" i="18" s="1"/>
  <c r="G29" i="18"/>
  <c r="G28" i="18"/>
  <c r="H28" i="18" s="1"/>
  <c r="I28" i="18" s="1"/>
  <c r="H27" i="18"/>
  <c r="I27" i="18" s="1"/>
  <c r="G27" i="18"/>
  <c r="G26" i="18"/>
  <c r="H26" i="18" s="1"/>
  <c r="G25" i="18"/>
  <c r="H25" i="18" s="1"/>
  <c r="I25" i="18" s="1"/>
  <c r="H24" i="18"/>
  <c r="I24" i="18" s="1"/>
  <c r="G24" i="18"/>
  <c r="H23" i="18"/>
  <c r="I23" i="18" s="1"/>
  <c r="G23" i="18"/>
  <c r="N22" i="18"/>
  <c r="G22" i="18"/>
  <c r="H22" i="18" s="1"/>
  <c r="I22" i="18" s="1"/>
  <c r="H21" i="18"/>
  <c r="I21" i="18" s="1"/>
  <c r="G21" i="18"/>
  <c r="G20" i="18"/>
  <c r="H20" i="18" s="1"/>
  <c r="I20" i="18" s="1"/>
  <c r="H19" i="18"/>
  <c r="I19" i="18" s="1"/>
  <c r="G19" i="18"/>
  <c r="G18" i="18"/>
  <c r="H18" i="18" s="1"/>
  <c r="I18" i="18" s="1"/>
  <c r="H17" i="18"/>
  <c r="I17" i="18" s="1"/>
  <c r="G17" i="18"/>
  <c r="G16" i="18"/>
  <c r="H16" i="18" s="1"/>
  <c r="I16" i="18" s="1"/>
  <c r="H15" i="18"/>
  <c r="I15" i="18" s="1"/>
  <c r="G15" i="18"/>
  <c r="G14" i="18"/>
  <c r="H14" i="18" s="1"/>
  <c r="I14" i="18" s="1"/>
  <c r="H13" i="18"/>
  <c r="I13" i="18" s="1"/>
  <c r="G13" i="18"/>
  <c r="G12" i="18"/>
  <c r="H12" i="18" s="1"/>
  <c r="I12" i="18" s="1"/>
  <c r="G11" i="18"/>
  <c r="L24" i="18" l="1"/>
  <c r="I26" i="18"/>
  <c r="L23" i="18" s="1"/>
  <c r="L22" i="18"/>
  <c r="V24" i="19"/>
  <c r="T24" i="19"/>
  <c r="V23" i="19"/>
  <c r="T23" i="19"/>
  <c r="L25" i="18" a="1"/>
  <c r="L25" i="18" s="1"/>
  <c r="N25" i="18"/>
  <c r="T20" i="19"/>
  <c r="H96" i="17" l="1" a="1"/>
  <c r="H96" i="17" s="1"/>
  <c r="I96" i="17" s="1" a="1"/>
  <c r="I96" i="17" s="1"/>
  <c r="C96" i="17"/>
  <c r="H95" i="17" a="1"/>
  <c r="H95" i="17" s="1"/>
  <c r="I95" i="17" s="1" a="1"/>
  <c r="I95" i="17" s="1"/>
  <c r="C95" i="17"/>
  <c r="H94" i="17" a="1"/>
  <c r="H94" i="17" s="1"/>
  <c r="I94" i="17" s="1" a="1"/>
  <c r="I94" i="17" s="1"/>
  <c r="C94" i="17"/>
  <c r="H93" i="17" a="1"/>
  <c r="H93" i="17" s="1"/>
  <c r="I93" i="17" s="1" a="1"/>
  <c r="I93" i="17" s="1"/>
  <c r="C93" i="17"/>
  <c r="H92" i="17" a="1"/>
  <c r="H92" i="17" s="1"/>
  <c r="I92" i="17" s="1" a="1"/>
  <c r="I92" i="17" s="1"/>
  <c r="C92" i="17"/>
  <c r="H91" i="17" a="1"/>
  <c r="H91" i="17" s="1"/>
  <c r="I91" i="17" s="1" a="1"/>
  <c r="I91" i="17" s="1"/>
  <c r="C91" i="17"/>
  <c r="H90" i="17" a="1"/>
  <c r="H90" i="17" s="1"/>
  <c r="I90" i="17" s="1" a="1"/>
  <c r="I90" i="17" s="1"/>
  <c r="C90" i="17"/>
  <c r="H89" i="17" a="1"/>
  <c r="H89" i="17" s="1"/>
  <c r="I89" i="17" s="1" a="1"/>
  <c r="I89" i="17" s="1"/>
  <c r="C89" i="17"/>
  <c r="H88" i="17" a="1"/>
  <c r="H88" i="17" s="1"/>
  <c r="I88" i="17" s="1" a="1"/>
  <c r="I88" i="17" s="1"/>
  <c r="C88" i="17"/>
  <c r="I87" i="17"/>
  <c r="I87" i="17" a="1"/>
  <c r="H87" i="17"/>
  <c r="H87" i="17" a="1"/>
  <c r="C87" i="17"/>
  <c r="H86" i="17"/>
  <c r="I86" i="17" s="1" a="1"/>
  <c r="I86" i="17" s="1"/>
  <c r="H86" i="17" a="1"/>
  <c r="C86" i="17"/>
  <c r="H85" i="17" a="1"/>
  <c r="H85" i="17" s="1"/>
  <c r="I85" i="17" s="1" a="1"/>
  <c r="I85" i="17" s="1"/>
  <c r="C85" i="17"/>
  <c r="I84" i="17" a="1"/>
  <c r="I84" i="17" s="1"/>
  <c r="H84" i="17"/>
  <c r="H84" i="17" a="1"/>
  <c r="C84" i="17"/>
  <c r="H83" i="17" a="1"/>
  <c r="H83" i="17" s="1"/>
  <c r="I83" i="17" s="1" a="1"/>
  <c r="I83" i="17" s="1"/>
  <c r="C83" i="17"/>
  <c r="H82" i="17" a="1"/>
  <c r="H82" i="17" s="1"/>
  <c r="I82" i="17" s="1" a="1"/>
  <c r="I82" i="17" s="1"/>
  <c r="C82" i="17"/>
  <c r="H81" i="17"/>
  <c r="I81" i="17" s="1" a="1"/>
  <c r="I81" i="17" s="1"/>
  <c r="H81" i="17" a="1"/>
  <c r="C81" i="17"/>
  <c r="H80" i="17" a="1"/>
  <c r="H80" i="17" s="1"/>
  <c r="I80" i="17" s="1" a="1"/>
  <c r="I80" i="17" s="1"/>
  <c r="C80" i="17"/>
  <c r="H79" i="17" a="1"/>
  <c r="H79" i="17" s="1"/>
  <c r="I79" i="17" s="1" a="1"/>
  <c r="I79" i="17" s="1"/>
  <c r="C79" i="17"/>
  <c r="H78" i="17" a="1"/>
  <c r="H78" i="17" s="1"/>
  <c r="I78" i="17" s="1" a="1"/>
  <c r="I78" i="17" s="1"/>
  <c r="C78" i="17"/>
  <c r="H77" i="17" a="1"/>
  <c r="H77" i="17" s="1"/>
  <c r="I77" i="17" s="1" a="1"/>
  <c r="I77" i="17" s="1"/>
  <c r="C77" i="17"/>
  <c r="H76" i="17" a="1"/>
  <c r="H76" i="17" s="1"/>
  <c r="I76" i="17" s="1" a="1"/>
  <c r="I76" i="17" s="1"/>
  <c r="C76" i="17"/>
  <c r="H75" i="17" a="1"/>
  <c r="H75" i="17" s="1"/>
  <c r="I75" i="17" s="1" a="1"/>
  <c r="I75" i="17" s="1"/>
  <c r="C75" i="17"/>
  <c r="H74" i="17" a="1"/>
  <c r="H74" i="17" s="1"/>
  <c r="I74" i="17" s="1" a="1"/>
  <c r="I74" i="17" s="1"/>
  <c r="C74" i="17"/>
  <c r="H73" i="17" a="1"/>
  <c r="H73" i="17" s="1"/>
  <c r="I73" i="17" s="1" a="1"/>
  <c r="I73" i="17" s="1"/>
  <c r="C73" i="17"/>
  <c r="H72" i="17" a="1"/>
  <c r="H72" i="17" s="1"/>
  <c r="I72" i="17" s="1" a="1"/>
  <c r="I72" i="17" s="1"/>
  <c r="C72" i="17"/>
  <c r="I71" i="17"/>
  <c r="I71" i="17" a="1"/>
  <c r="H71" i="17"/>
  <c r="H71" i="17" a="1"/>
  <c r="C71" i="17"/>
  <c r="H70" i="17"/>
  <c r="I70" i="17" s="1" a="1"/>
  <c r="I70" i="17" s="1"/>
  <c r="H70" i="17" a="1"/>
  <c r="C70" i="17"/>
  <c r="H69" i="17" a="1"/>
  <c r="H69" i="17" s="1"/>
  <c r="I69" i="17" s="1" a="1"/>
  <c r="I69" i="17" s="1"/>
  <c r="C69" i="17"/>
  <c r="I68" i="17" a="1"/>
  <c r="I68" i="17" s="1"/>
  <c r="H68" i="17"/>
  <c r="H68" i="17" a="1"/>
  <c r="C68" i="17"/>
  <c r="H67" i="17" a="1"/>
  <c r="H67" i="17" s="1"/>
  <c r="I67" i="17" s="1" a="1"/>
  <c r="I67" i="17" s="1"/>
  <c r="C67" i="17"/>
  <c r="H66" i="17" a="1"/>
  <c r="H66" i="17" s="1"/>
  <c r="I66" i="17" s="1" a="1"/>
  <c r="I66" i="17" s="1"/>
  <c r="C66" i="17"/>
  <c r="H65" i="17"/>
  <c r="I65" i="17" s="1" a="1"/>
  <c r="I65" i="17" s="1"/>
  <c r="H65" i="17" a="1"/>
  <c r="C65" i="17"/>
  <c r="H64" i="17" a="1"/>
  <c r="H64" i="17" s="1"/>
  <c r="I64" i="17" s="1" a="1"/>
  <c r="I64" i="17" s="1"/>
  <c r="C64" i="17"/>
  <c r="H63" i="17" a="1"/>
  <c r="H63" i="17" s="1"/>
  <c r="I63" i="17" s="1" a="1"/>
  <c r="I63" i="17" s="1"/>
  <c r="C63" i="17"/>
  <c r="H62" i="17" a="1"/>
  <c r="H62" i="17" s="1"/>
  <c r="I62" i="17" s="1" a="1"/>
  <c r="I62" i="17" s="1"/>
  <c r="C62" i="17"/>
  <c r="H61" i="17" a="1"/>
  <c r="H61" i="17" s="1"/>
  <c r="I61" i="17" s="1" a="1"/>
  <c r="I61" i="17" s="1"/>
  <c r="C61" i="17"/>
  <c r="H60" i="17" a="1"/>
  <c r="H60" i="17" s="1"/>
  <c r="I60" i="17" s="1" a="1"/>
  <c r="I60" i="17" s="1"/>
  <c r="C60" i="17"/>
  <c r="H59" i="17" a="1"/>
  <c r="H59" i="17" s="1"/>
  <c r="I59" i="17" s="1" a="1"/>
  <c r="I59" i="17" s="1"/>
  <c r="C59" i="17"/>
  <c r="H58" i="17" a="1"/>
  <c r="H58" i="17" s="1"/>
  <c r="I58" i="17" s="1" a="1"/>
  <c r="I58" i="17" s="1"/>
  <c r="C58" i="17"/>
  <c r="H57" i="17" a="1"/>
  <c r="H57" i="17" s="1"/>
  <c r="I57" i="17" s="1" a="1"/>
  <c r="I57" i="17" s="1"/>
  <c r="C57" i="17"/>
  <c r="H56" i="17" a="1"/>
  <c r="H56" i="17" s="1"/>
  <c r="I56" i="17" s="1" a="1"/>
  <c r="I56" i="17" s="1"/>
  <c r="C56" i="17"/>
  <c r="I55" i="17"/>
  <c r="I55" i="17" a="1"/>
  <c r="H55" i="17"/>
  <c r="H55" i="17" a="1"/>
  <c r="C55" i="17"/>
  <c r="H54" i="17"/>
  <c r="I54" i="17" s="1" a="1"/>
  <c r="I54" i="17" s="1"/>
  <c r="H54" i="17" a="1"/>
  <c r="C54" i="17"/>
  <c r="H53" i="17" a="1"/>
  <c r="H53" i="17" s="1"/>
  <c r="I53" i="17" s="1" a="1"/>
  <c r="I53" i="17" s="1"/>
  <c r="C53" i="17"/>
  <c r="I52" i="17" a="1"/>
  <c r="I52" i="17" s="1"/>
  <c r="H52" i="17"/>
  <c r="H52" i="17" a="1"/>
  <c r="C52" i="17"/>
  <c r="H51" i="17" a="1"/>
  <c r="H51" i="17" s="1"/>
  <c r="I51" i="17" s="1" a="1"/>
  <c r="I51" i="17" s="1"/>
  <c r="C51" i="17"/>
  <c r="H50" i="17" a="1"/>
  <c r="H50" i="17" s="1"/>
  <c r="I50" i="17" s="1" a="1"/>
  <c r="I50" i="17" s="1"/>
  <c r="C50" i="17"/>
  <c r="H49" i="17"/>
  <c r="I49" i="17" s="1" a="1"/>
  <c r="I49" i="17" s="1"/>
  <c r="H49" i="17" a="1"/>
  <c r="C49" i="17"/>
  <c r="H48" i="17" a="1"/>
  <c r="H48" i="17" s="1"/>
  <c r="I48" i="17" s="1" a="1"/>
  <c r="I48" i="17" s="1"/>
  <c r="C48" i="17"/>
  <c r="H47" i="17" a="1"/>
  <c r="H47" i="17" s="1"/>
  <c r="I47" i="17" s="1" a="1"/>
  <c r="I47" i="17" s="1"/>
  <c r="C47" i="17"/>
  <c r="H46" i="17"/>
  <c r="I46" i="17" s="1" a="1"/>
  <c r="I46" i="17" s="1"/>
  <c r="H46" i="17" a="1"/>
  <c r="C46" i="17"/>
  <c r="H45" i="17" a="1"/>
  <c r="H45" i="17" s="1"/>
  <c r="I45" i="17" s="1" a="1"/>
  <c r="I45" i="17" s="1"/>
  <c r="C45" i="17"/>
  <c r="H44" i="17" a="1"/>
  <c r="H44" i="17" s="1"/>
  <c r="I44" i="17" s="1" a="1"/>
  <c r="I44" i="17" s="1"/>
  <c r="C44" i="17"/>
  <c r="W43" i="17"/>
  <c r="I43" i="17" a="1"/>
  <c r="I43" i="17" s="1"/>
  <c r="H43" i="17"/>
  <c r="H43" i="17" a="1"/>
  <c r="C43" i="17"/>
  <c r="H42" i="17" a="1"/>
  <c r="H42" i="17" s="1"/>
  <c r="I42" i="17" s="1" a="1"/>
  <c r="I42" i="17" s="1"/>
  <c r="C42" i="17"/>
  <c r="H41" i="17" a="1"/>
  <c r="H41" i="17" s="1"/>
  <c r="I41" i="17" s="1" a="1"/>
  <c r="I41" i="17" s="1"/>
  <c r="C41" i="17"/>
  <c r="I40" i="17" a="1"/>
  <c r="I40" i="17" s="1"/>
  <c r="H40" i="17"/>
  <c r="H40" i="17" a="1"/>
  <c r="C40" i="17"/>
  <c r="R39" i="17"/>
  <c r="O39" i="17"/>
  <c r="H39" i="17"/>
  <c r="I39" i="17" s="1" a="1"/>
  <c r="I39" i="17" s="1"/>
  <c r="H39" i="17" a="1"/>
  <c r="C39" i="17"/>
  <c r="H38" i="17"/>
  <c r="I38" i="17" s="1" a="1"/>
  <c r="I38" i="17" s="1"/>
  <c r="H38" i="17" a="1"/>
  <c r="C38" i="17"/>
  <c r="I37" i="17"/>
  <c r="I37" i="17" a="1"/>
  <c r="H37" i="17"/>
  <c r="H37" i="17" a="1"/>
  <c r="C37" i="17"/>
  <c r="H36" i="17" a="1"/>
  <c r="H36" i="17" s="1"/>
  <c r="I36" i="17" s="1" a="1"/>
  <c r="I36" i="17" s="1"/>
  <c r="C36" i="17"/>
  <c r="H35" i="17" a="1"/>
  <c r="H35" i="17" s="1"/>
  <c r="I35" i="17" s="1" a="1"/>
  <c r="I35" i="17" s="1"/>
  <c r="C35" i="17"/>
  <c r="I34" i="17" a="1"/>
  <c r="I34" i="17" s="1"/>
  <c r="H34" i="17"/>
  <c r="H34" i="17" a="1"/>
  <c r="C34" i="17"/>
  <c r="H33" i="17" a="1"/>
  <c r="H33" i="17" s="1"/>
  <c r="I33" i="17" s="1" a="1"/>
  <c r="I33" i="17" s="1"/>
  <c r="C33" i="17"/>
  <c r="H32" i="17" a="1"/>
  <c r="H32" i="17" s="1"/>
  <c r="I32" i="17" s="1" a="1"/>
  <c r="I32" i="17" s="1"/>
  <c r="C32" i="17"/>
  <c r="N31" i="17"/>
  <c r="O30" i="17" s="1"/>
  <c r="I31" i="17" a="1"/>
  <c r="I31" i="17" s="1"/>
  <c r="H31" i="17"/>
  <c r="H31" i="17" a="1"/>
  <c r="C31" i="17"/>
  <c r="H30" i="17" a="1"/>
  <c r="H30" i="17" s="1"/>
  <c r="I30" i="17" s="1" a="1"/>
  <c r="I30" i="17" s="1"/>
  <c r="C30" i="17"/>
  <c r="H29" i="17" a="1"/>
  <c r="H29" i="17" s="1"/>
  <c r="I29" i="17" s="1" a="1"/>
  <c r="I29" i="17" s="1"/>
  <c r="C29" i="17"/>
  <c r="O28" i="17"/>
  <c r="I28" i="17"/>
  <c r="I28" i="17" a="1"/>
  <c r="H28" i="17"/>
  <c r="H28" i="17" a="1"/>
  <c r="C28" i="17"/>
  <c r="H27" i="17" a="1"/>
  <c r="H27" i="17" s="1"/>
  <c r="I27" i="17" s="1" a="1"/>
  <c r="I27" i="17" s="1"/>
  <c r="C27" i="17"/>
  <c r="Q26" i="17"/>
  <c r="O26" i="17"/>
  <c r="H26" i="17" a="1"/>
  <c r="H26" i="17" s="1"/>
  <c r="I26" i="17" s="1" a="1"/>
  <c r="I26" i="17" s="1"/>
  <c r="C26" i="17"/>
  <c r="H25" i="17" a="1"/>
  <c r="H25" i="17" s="1"/>
  <c r="I25" i="17" s="1" a="1"/>
  <c r="I25" i="17" s="1"/>
  <c r="C25" i="17"/>
  <c r="O24" i="17"/>
  <c r="H24" i="17" a="1"/>
  <c r="H24" i="17" s="1"/>
  <c r="I24" i="17" s="1" a="1"/>
  <c r="I24" i="17" s="1"/>
  <c r="C24" i="17"/>
  <c r="H23" i="17" a="1"/>
  <c r="H23" i="17" s="1"/>
  <c r="I23" i="17" s="1" a="1"/>
  <c r="I23" i="17" s="1"/>
  <c r="C23" i="17"/>
  <c r="Q22" i="17"/>
  <c r="O22" i="17"/>
  <c r="H22" i="17" a="1"/>
  <c r="H22" i="17" s="1"/>
  <c r="I22" i="17" s="1" a="1"/>
  <c r="I22" i="17" s="1"/>
  <c r="C22" i="17"/>
  <c r="H21" i="17" a="1"/>
  <c r="H21" i="17" s="1"/>
  <c r="I21" i="17" s="1" a="1"/>
  <c r="I21" i="17" s="1"/>
  <c r="C21" i="17"/>
  <c r="O20" i="17"/>
  <c r="H20" i="17" a="1"/>
  <c r="H20" i="17" s="1"/>
  <c r="I20" i="17" s="1" a="1"/>
  <c r="I20" i="17" s="1"/>
  <c r="C20" i="17"/>
  <c r="H19" i="17" a="1"/>
  <c r="H19" i="17" s="1"/>
  <c r="I19" i="17" s="1" a="1"/>
  <c r="I19" i="17" s="1"/>
  <c r="C19" i="17"/>
  <c r="H18" i="17" a="1"/>
  <c r="H18" i="17" s="1"/>
  <c r="I18" i="17" s="1" a="1"/>
  <c r="I18" i="17" s="1"/>
  <c r="C18" i="17"/>
  <c r="H17" i="17" a="1"/>
  <c r="H17" i="17" s="1"/>
  <c r="I17" i="17" s="1" a="1"/>
  <c r="I17" i="17" s="1"/>
  <c r="C17" i="17"/>
  <c r="H16" i="17"/>
  <c r="I16" i="17" s="1" a="1"/>
  <c r="I16" i="17" s="1"/>
  <c r="H16" i="17" a="1"/>
  <c r="C16" i="17"/>
  <c r="H15" i="17" a="1"/>
  <c r="H15" i="17" s="1"/>
  <c r="I15" i="17" s="1" a="1"/>
  <c r="I15" i="17" s="1"/>
  <c r="C15" i="17"/>
  <c r="H14" i="17" a="1"/>
  <c r="H14" i="17" s="1"/>
  <c r="I14" i="17" s="1" a="1"/>
  <c r="I14" i="17" s="1"/>
  <c r="C14" i="17"/>
  <c r="H13" i="17" a="1"/>
  <c r="H13" i="17" s="1"/>
  <c r="I13" i="17" s="1" a="1"/>
  <c r="I13" i="17" s="1"/>
  <c r="C13" i="17"/>
  <c r="H12" i="17"/>
  <c r="I12" i="17" s="1" a="1"/>
  <c r="I12" i="17" s="1"/>
  <c r="H12" i="17" a="1"/>
  <c r="C12" i="17"/>
  <c r="H11" i="17"/>
  <c r="I11" i="17" s="1" a="1"/>
  <c r="I11" i="17" s="1"/>
  <c r="H11" i="17" a="1"/>
  <c r="C11" i="17"/>
  <c r="I10" i="17" a="1"/>
  <c r="I10" i="17" s="1"/>
  <c r="H10" i="17"/>
  <c r="H10" i="17" a="1"/>
  <c r="C10" i="17"/>
  <c r="H9" i="17" a="1"/>
  <c r="H9" i="17" s="1"/>
  <c r="I9" i="17" s="1" a="1"/>
  <c r="I9" i="17" s="1"/>
  <c r="C9" i="17"/>
  <c r="H8" i="17" a="1"/>
  <c r="H8" i="17" s="1"/>
  <c r="I8" i="17" s="1" a="1"/>
  <c r="I8" i="17" s="1"/>
  <c r="C8" i="17"/>
  <c r="H7" i="17"/>
  <c r="I7" i="17" s="1" a="1"/>
  <c r="I7" i="17" s="1"/>
  <c r="H7" i="17" a="1"/>
  <c r="C7" i="17"/>
  <c r="H6" i="17"/>
  <c r="I6" i="17" s="1" a="1"/>
  <c r="I6" i="17" s="1"/>
  <c r="H6" i="17" a="1"/>
  <c r="C6" i="17"/>
  <c r="H5" i="17"/>
  <c r="I5" i="17" s="1" a="1"/>
  <c r="I5" i="17" s="1"/>
  <c r="H5" i="17" a="1"/>
  <c r="C5" i="17"/>
  <c r="H4" i="17" a="1"/>
  <c r="H4" i="17" s="1"/>
  <c r="I4" i="17" s="1" a="1"/>
  <c r="I4" i="17" s="1"/>
  <c r="C4" i="17"/>
  <c r="C3" i="17"/>
  <c r="C2" i="17"/>
  <c r="O42" i="17" s="1"/>
  <c r="O46" i="17" l="1"/>
  <c r="O44" i="17"/>
  <c r="G4" i="16" l="1"/>
  <c r="C24" i="16" s="1" a="1"/>
  <c r="C24" i="16" s="1"/>
  <c r="D24" i="16" s="1"/>
  <c r="F24" i="16" l="1"/>
  <c r="E24" i="16"/>
  <c r="C21" i="16" a="1"/>
  <c r="C21" i="16" s="1"/>
  <c r="D21" i="16" s="1"/>
  <c r="C18" i="16" a="1"/>
  <c r="C18" i="16" s="1"/>
  <c r="D18" i="16" s="1"/>
  <c r="C15" i="16" a="1"/>
  <c r="C15" i="16" s="1"/>
  <c r="D15" i="16" s="1"/>
  <c r="C28" i="16" a="1"/>
  <c r="C28" i="16" s="1"/>
  <c r="D28" i="16" s="1"/>
  <c r="C25" i="16" a="1"/>
  <c r="C25" i="16" s="1"/>
  <c r="D25" i="16" s="1"/>
  <c r="C12" i="16" a="1"/>
  <c r="C12" i="16" s="1"/>
  <c r="D12" i="16" s="1"/>
  <c r="C22" i="16" a="1"/>
  <c r="C22" i="16" s="1"/>
  <c r="D22" i="16" s="1"/>
  <c r="C19" i="16" a="1"/>
  <c r="C19" i="16" s="1"/>
  <c r="D19" i="16" s="1"/>
  <c r="C11" i="16" a="1"/>
  <c r="C11" i="16" s="1"/>
  <c r="D11" i="16" s="1"/>
  <c r="C16" i="16" a="1"/>
  <c r="C16" i="16" s="1"/>
  <c r="D16" i="16" s="1"/>
  <c r="C13" i="16" a="1"/>
  <c r="C13" i="16" s="1"/>
  <c r="D13" i="16" s="1"/>
  <c r="C29" i="16" a="1"/>
  <c r="C29" i="16" s="1"/>
  <c r="D29" i="16" s="1"/>
  <c r="C26" i="16" a="1"/>
  <c r="C26" i="16" s="1"/>
  <c r="D26" i="16" s="1"/>
  <c r="C23" i="16" a="1"/>
  <c r="C23" i="16" s="1"/>
  <c r="D23" i="16" s="1"/>
  <c r="C20" i="16" a="1"/>
  <c r="C20" i="16" s="1"/>
  <c r="D20" i="16" s="1"/>
  <c r="C17" i="16" a="1"/>
  <c r="C17" i="16" s="1"/>
  <c r="D17" i="16" s="1"/>
  <c r="C14" i="16" a="1"/>
  <c r="C14" i="16" s="1"/>
  <c r="D14" i="16" s="1"/>
  <c r="C27" i="16" a="1"/>
  <c r="C27" i="16" s="1"/>
  <c r="D27" i="16" s="1"/>
  <c r="F16" i="16" l="1"/>
  <c r="E16" i="16"/>
  <c r="F29" i="16"/>
  <c r="E29" i="16"/>
  <c r="E23" i="16"/>
  <c r="F23" i="16"/>
  <c r="F19" i="16"/>
  <c r="E19" i="16"/>
  <c r="F28" i="16"/>
  <c r="E28" i="16"/>
  <c r="E15" i="16"/>
  <c r="F15" i="16"/>
  <c r="D30" i="16"/>
  <c r="E11" i="16"/>
  <c r="E30" i="16" s="1"/>
  <c r="F11" i="16"/>
  <c r="F30" i="16" s="1"/>
  <c r="F27" i="16"/>
  <c r="E27" i="16"/>
  <c r="E18" i="16"/>
  <c r="F18" i="16"/>
  <c r="F26" i="16"/>
  <c r="E26" i="16"/>
  <c r="F22" i="16"/>
  <c r="E22" i="16"/>
  <c r="F14" i="16"/>
  <c r="E14" i="16"/>
  <c r="E21" i="16"/>
  <c r="F21" i="16"/>
  <c r="F12" i="16"/>
  <c r="E12" i="16"/>
  <c r="E17" i="16"/>
  <c r="F17" i="16"/>
  <c r="F13" i="16"/>
  <c r="E13" i="16"/>
  <c r="F25" i="16"/>
  <c r="E25" i="16"/>
  <c r="E20" i="16"/>
  <c r="F20" i="16"/>
  <c r="C401" i="12" l="1"/>
  <c r="B401" i="12"/>
  <c r="C400" i="12"/>
  <c r="B400" i="12"/>
  <c r="D7" i="12" s="1"/>
  <c r="C399" i="12"/>
  <c r="B399" i="12"/>
  <c r="C398" i="12"/>
  <c r="B398" i="12"/>
  <c r="C397" i="12"/>
  <c r="B397" i="12"/>
  <c r="C396" i="12"/>
  <c r="B396" i="12"/>
  <c r="C395" i="12"/>
  <c r="B395" i="12"/>
  <c r="C394" i="12"/>
  <c r="B394" i="12"/>
  <c r="C393" i="12"/>
  <c r="B393" i="12"/>
  <c r="C392" i="12"/>
  <c r="B392" i="12"/>
  <c r="C391" i="12"/>
  <c r="B391" i="12"/>
  <c r="C390" i="12"/>
  <c r="B390" i="12"/>
  <c r="C389" i="12"/>
  <c r="B389" i="12"/>
  <c r="C388" i="12"/>
  <c r="B388" i="12"/>
  <c r="C387" i="12"/>
  <c r="B387" i="12"/>
  <c r="C386" i="12"/>
  <c r="B386" i="12"/>
  <c r="C385" i="12"/>
  <c r="B385" i="12"/>
  <c r="C384" i="12"/>
  <c r="B384" i="12"/>
  <c r="C383" i="12"/>
  <c r="B383" i="12"/>
  <c r="C382" i="12"/>
  <c r="B382" i="12"/>
  <c r="C381" i="12"/>
  <c r="B381" i="12"/>
  <c r="C380" i="12"/>
  <c r="B380" i="12"/>
  <c r="C379" i="12"/>
  <c r="B379" i="12"/>
  <c r="C378" i="12"/>
  <c r="B378" i="12"/>
  <c r="C377" i="12"/>
  <c r="B377" i="12"/>
  <c r="C376" i="12"/>
  <c r="B376" i="12"/>
  <c r="C375" i="12"/>
  <c r="B375" i="12"/>
  <c r="C374" i="12"/>
  <c r="B374" i="12"/>
  <c r="C373" i="12"/>
  <c r="B373" i="12"/>
  <c r="C372" i="12"/>
  <c r="B372" i="12"/>
  <c r="C371" i="12"/>
  <c r="B371" i="12"/>
  <c r="C370" i="12"/>
  <c r="B370" i="12"/>
  <c r="C369" i="12"/>
  <c r="B369" i="12"/>
  <c r="C368" i="12"/>
  <c r="B368" i="12"/>
  <c r="C367" i="12"/>
  <c r="B367" i="12"/>
  <c r="C366" i="12"/>
  <c r="B366" i="12"/>
  <c r="C365" i="12"/>
  <c r="B365" i="12"/>
  <c r="C364" i="12"/>
  <c r="B364" i="12"/>
  <c r="C363" i="12"/>
  <c r="B363" i="12"/>
  <c r="C362" i="12"/>
  <c r="B362" i="12"/>
  <c r="C361" i="12"/>
  <c r="B361" i="12"/>
  <c r="C360" i="12"/>
  <c r="B360" i="12"/>
  <c r="C359" i="12"/>
  <c r="B359" i="12"/>
  <c r="C358" i="12"/>
  <c r="B358" i="12"/>
  <c r="C357" i="12"/>
  <c r="B357" i="12"/>
  <c r="C356" i="12"/>
  <c r="B356" i="12"/>
  <c r="C355" i="12"/>
  <c r="B355" i="12"/>
  <c r="C354" i="12"/>
  <c r="B354" i="12"/>
  <c r="C353" i="12"/>
  <c r="B353" i="12"/>
  <c r="C352" i="12"/>
  <c r="B352" i="12"/>
  <c r="C351" i="12"/>
  <c r="B351" i="12"/>
  <c r="C350" i="12"/>
  <c r="B350" i="12"/>
  <c r="C349" i="12"/>
  <c r="B349" i="12"/>
  <c r="C348" i="12"/>
  <c r="B348" i="12"/>
  <c r="C347" i="12"/>
  <c r="B347" i="12"/>
  <c r="C346" i="12"/>
  <c r="B346" i="12"/>
  <c r="C345" i="12"/>
  <c r="B345" i="12"/>
  <c r="C344" i="12"/>
  <c r="B344" i="12"/>
  <c r="C343" i="12"/>
  <c r="B343" i="12"/>
  <c r="C342" i="12"/>
  <c r="B342" i="12"/>
  <c r="C341" i="12"/>
  <c r="B341" i="12"/>
  <c r="C340" i="12"/>
  <c r="B340" i="12"/>
  <c r="C339" i="12"/>
  <c r="B339" i="12"/>
  <c r="C338" i="12"/>
  <c r="B338" i="12"/>
  <c r="C337" i="12"/>
  <c r="B337" i="12"/>
  <c r="C336" i="12"/>
  <c r="B336" i="12"/>
  <c r="C335" i="12"/>
  <c r="B335" i="12"/>
  <c r="C334" i="12"/>
  <c r="B334" i="12"/>
  <c r="C333" i="12"/>
  <c r="B333" i="12"/>
  <c r="C332" i="12"/>
  <c r="B332" i="12"/>
  <c r="C331" i="12"/>
  <c r="B331" i="12"/>
  <c r="C330" i="12"/>
  <c r="B330" i="12"/>
  <c r="C329" i="12"/>
  <c r="B329" i="12"/>
  <c r="C328" i="12"/>
  <c r="B328" i="12"/>
  <c r="C327" i="12"/>
  <c r="B327" i="12"/>
  <c r="C326" i="12"/>
  <c r="B326" i="12"/>
  <c r="C325" i="12"/>
  <c r="B325" i="12"/>
  <c r="C324" i="12"/>
  <c r="B324" i="12"/>
  <c r="C323" i="12"/>
  <c r="B323" i="12"/>
  <c r="C322" i="12"/>
  <c r="B322" i="12"/>
  <c r="C321" i="12"/>
  <c r="B321" i="12"/>
  <c r="C320" i="12"/>
  <c r="B320" i="12"/>
  <c r="C319" i="12"/>
  <c r="B319" i="12"/>
  <c r="C318" i="12"/>
  <c r="B318" i="12"/>
  <c r="C317" i="12"/>
  <c r="B317" i="12"/>
  <c r="C316" i="12"/>
  <c r="B316" i="12"/>
  <c r="C315" i="12"/>
  <c r="B315" i="12"/>
  <c r="C314" i="12"/>
  <c r="B314" i="12"/>
  <c r="C313" i="12"/>
  <c r="B313" i="12"/>
  <c r="C312" i="12"/>
  <c r="B312" i="12"/>
  <c r="C311" i="12"/>
  <c r="B311" i="12"/>
  <c r="C310" i="12"/>
  <c r="B310" i="12"/>
  <c r="C309" i="12"/>
  <c r="B309" i="12"/>
  <c r="C308" i="12"/>
  <c r="B308" i="12"/>
  <c r="C307" i="12"/>
  <c r="B307" i="12"/>
  <c r="C306" i="12"/>
  <c r="B306" i="12"/>
  <c r="C305" i="12"/>
  <c r="B305" i="12"/>
  <c r="C304" i="12"/>
  <c r="B304" i="12"/>
  <c r="C303" i="12"/>
  <c r="B303" i="12"/>
  <c r="C302" i="12"/>
  <c r="B302" i="12"/>
  <c r="C301" i="12"/>
  <c r="B301" i="12"/>
  <c r="C300" i="12"/>
  <c r="B300" i="12"/>
  <c r="C299" i="12"/>
  <c r="B299" i="12"/>
  <c r="C298" i="12"/>
  <c r="B298" i="12"/>
  <c r="C297" i="12"/>
  <c r="B297" i="12"/>
  <c r="C296" i="12"/>
  <c r="B296" i="12"/>
  <c r="C295" i="12"/>
  <c r="B295" i="12"/>
  <c r="C294" i="12"/>
  <c r="B294" i="12"/>
  <c r="C293" i="12"/>
  <c r="B293" i="12"/>
  <c r="C292" i="12"/>
  <c r="B292" i="12"/>
  <c r="C291" i="12"/>
  <c r="B291" i="12"/>
  <c r="C290" i="12"/>
  <c r="B290" i="12"/>
  <c r="C289" i="12"/>
  <c r="B289" i="12"/>
  <c r="C288" i="12"/>
  <c r="B288" i="12"/>
  <c r="C287" i="12"/>
  <c r="B287" i="12"/>
  <c r="C286" i="12"/>
  <c r="B286" i="12"/>
  <c r="C285" i="12"/>
  <c r="B285" i="12"/>
  <c r="C284" i="12"/>
  <c r="B284" i="12"/>
  <c r="C283" i="12"/>
  <c r="B283" i="12"/>
  <c r="C282" i="12"/>
  <c r="B282" i="12"/>
  <c r="C281" i="12"/>
  <c r="B281" i="12"/>
  <c r="C280" i="12"/>
  <c r="B280" i="12"/>
  <c r="C279" i="12"/>
  <c r="B279" i="12"/>
  <c r="C278" i="12"/>
  <c r="B278" i="12"/>
  <c r="C277" i="12"/>
  <c r="B277" i="12"/>
  <c r="C276" i="12"/>
  <c r="B276" i="12"/>
  <c r="C275" i="12"/>
  <c r="B275" i="12"/>
  <c r="C274" i="12"/>
  <c r="B274" i="12"/>
  <c r="C273" i="12"/>
  <c r="B273" i="12"/>
  <c r="C272" i="12"/>
  <c r="B272" i="12"/>
  <c r="C271" i="12"/>
  <c r="B271" i="12"/>
  <c r="C270" i="12"/>
  <c r="B270" i="12"/>
  <c r="C269" i="12"/>
  <c r="B269" i="12"/>
  <c r="C268" i="12"/>
  <c r="B268" i="12"/>
  <c r="C267" i="12"/>
  <c r="B267" i="12"/>
  <c r="C266" i="12"/>
  <c r="B266" i="12"/>
  <c r="C265" i="12"/>
  <c r="B265" i="12"/>
  <c r="C264" i="12"/>
  <c r="B264" i="12"/>
  <c r="C263" i="12"/>
  <c r="B263" i="12"/>
  <c r="C262" i="12"/>
  <c r="B262" i="12"/>
  <c r="C261" i="12"/>
  <c r="B261" i="12"/>
  <c r="C260" i="12"/>
  <c r="B260" i="12"/>
  <c r="C259" i="12"/>
  <c r="B259" i="12"/>
  <c r="C258" i="12"/>
  <c r="B258" i="12"/>
  <c r="C257" i="12"/>
  <c r="B257" i="12"/>
  <c r="C256" i="12"/>
  <c r="B256" i="12"/>
  <c r="C255" i="12"/>
  <c r="B255" i="12"/>
  <c r="C254" i="12"/>
  <c r="B254" i="12"/>
  <c r="C253" i="12"/>
  <c r="B253" i="12"/>
  <c r="C252" i="12"/>
  <c r="B252" i="12"/>
  <c r="C251" i="12"/>
  <c r="B251" i="12"/>
  <c r="C250" i="12"/>
  <c r="B250" i="12"/>
  <c r="C249" i="12"/>
  <c r="B249" i="12"/>
  <c r="C248" i="12"/>
  <c r="B248" i="12"/>
  <c r="C247" i="12"/>
  <c r="B247" i="12"/>
  <c r="C246" i="12"/>
  <c r="B246" i="12"/>
  <c r="C245" i="12"/>
  <c r="B245" i="12"/>
  <c r="C244" i="12"/>
  <c r="B244" i="12"/>
  <c r="C243" i="12"/>
  <c r="B243" i="12"/>
  <c r="C242" i="12"/>
  <c r="B242" i="12"/>
  <c r="C241" i="12"/>
  <c r="B241" i="12"/>
  <c r="C240" i="12"/>
  <c r="B240" i="12"/>
  <c r="C239" i="12"/>
  <c r="B239" i="12"/>
  <c r="C238" i="12"/>
  <c r="B238" i="12"/>
  <c r="C237" i="12"/>
  <c r="B237" i="12"/>
  <c r="C236" i="12"/>
  <c r="B236" i="12"/>
  <c r="C235" i="12"/>
  <c r="B235" i="12"/>
  <c r="C234" i="12"/>
  <c r="B234" i="12"/>
  <c r="C233" i="12"/>
  <c r="B233" i="12"/>
  <c r="C232" i="12"/>
  <c r="B232" i="12"/>
  <c r="C231" i="12"/>
  <c r="B231" i="12"/>
  <c r="C230" i="12"/>
  <c r="B230" i="12"/>
  <c r="C229" i="12"/>
  <c r="B229" i="12"/>
  <c r="C228" i="12"/>
  <c r="B228" i="12"/>
  <c r="C227" i="12"/>
  <c r="B227" i="12"/>
  <c r="C226" i="12"/>
  <c r="B226" i="12"/>
  <c r="C225" i="12"/>
  <c r="B225" i="12"/>
  <c r="C224" i="12"/>
  <c r="B224" i="12"/>
  <c r="C223" i="12"/>
  <c r="B223" i="12"/>
  <c r="C222" i="12"/>
  <c r="B222" i="12"/>
  <c r="C221" i="12"/>
  <c r="B221" i="12"/>
  <c r="C220" i="12"/>
  <c r="B220" i="12"/>
  <c r="C219" i="12"/>
  <c r="B219" i="12"/>
  <c r="C218" i="12"/>
  <c r="B218" i="12"/>
  <c r="C217" i="12"/>
  <c r="B217" i="12"/>
  <c r="C216" i="12"/>
  <c r="B216" i="12"/>
  <c r="C215" i="12"/>
  <c r="B215" i="12"/>
  <c r="C214" i="12"/>
  <c r="B214" i="12"/>
  <c r="C213" i="12"/>
  <c r="B213" i="12"/>
  <c r="C212" i="12"/>
  <c r="B212" i="12"/>
  <c r="C211" i="12"/>
  <c r="B211" i="12"/>
  <c r="C210" i="12"/>
  <c r="B210" i="12"/>
  <c r="C209" i="12"/>
  <c r="B209" i="12"/>
  <c r="C208" i="12"/>
  <c r="B208" i="12"/>
  <c r="C207" i="12"/>
  <c r="B207" i="12"/>
  <c r="C206" i="12"/>
  <c r="B206" i="12"/>
  <c r="C205" i="12"/>
  <c r="B205" i="12"/>
  <c r="C204" i="12"/>
  <c r="B204" i="12"/>
  <c r="C203" i="12"/>
  <c r="B203" i="12"/>
  <c r="C202" i="12"/>
  <c r="B202" i="12"/>
  <c r="C201" i="12"/>
  <c r="B201" i="12"/>
  <c r="C200" i="12"/>
  <c r="B200" i="12"/>
  <c r="C199" i="12"/>
  <c r="B199" i="12"/>
  <c r="C198" i="12"/>
  <c r="B198" i="12"/>
  <c r="C197" i="12"/>
  <c r="B197" i="12"/>
  <c r="C196" i="12"/>
  <c r="B196" i="12"/>
  <c r="C195" i="12"/>
  <c r="B195" i="12"/>
  <c r="C194" i="12"/>
  <c r="B194" i="12"/>
  <c r="C193" i="12"/>
  <c r="B193" i="12"/>
  <c r="C192" i="12"/>
  <c r="B192" i="12"/>
  <c r="C191" i="12"/>
  <c r="B191" i="12"/>
  <c r="C190" i="12"/>
  <c r="B190" i="12"/>
  <c r="C189" i="12"/>
  <c r="B189" i="12"/>
  <c r="C188" i="12"/>
  <c r="B188" i="12"/>
  <c r="C187" i="12"/>
  <c r="B187" i="12"/>
  <c r="C186" i="12"/>
  <c r="B186" i="12"/>
  <c r="C185" i="12"/>
  <c r="B185" i="12"/>
  <c r="C184" i="12"/>
  <c r="B184" i="12"/>
  <c r="C183" i="12"/>
  <c r="B183" i="12"/>
  <c r="C182" i="12"/>
  <c r="B182" i="12"/>
  <c r="C181" i="12"/>
  <c r="B181" i="12"/>
  <c r="C180" i="12"/>
  <c r="B180" i="12"/>
  <c r="C179" i="12"/>
  <c r="B179" i="12"/>
  <c r="C178" i="12"/>
  <c r="B178" i="12"/>
  <c r="C177" i="12"/>
  <c r="B177" i="12"/>
  <c r="C176" i="12"/>
  <c r="B176" i="12"/>
  <c r="C175" i="12"/>
  <c r="B175" i="12"/>
  <c r="C174" i="12"/>
  <c r="B174" i="12"/>
  <c r="C173" i="12"/>
  <c r="B173" i="12"/>
  <c r="C172" i="12"/>
  <c r="B172" i="12"/>
  <c r="C171" i="12"/>
  <c r="B171" i="12"/>
  <c r="C170" i="12"/>
  <c r="B170" i="12"/>
  <c r="C169" i="12"/>
  <c r="B169" i="12"/>
  <c r="C168" i="12"/>
  <c r="B168" i="12"/>
  <c r="C167" i="12"/>
  <c r="B167" i="12"/>
  <c r="C166" i="12"/>
  <c r="B166" i="12"/>
  <c r="C165" i="12"/>
  <c r="B165" i="12"/>
  <c r="C164" i="12"/>
  <c r="B164" i="12"/>
  <c r="C163" i="12"/>
  <c r="B163" i="12"/>
  <c r="C162" i="12"/>
  <c r="B162" i="12"/>
  <c r="C161" i="12"/>
  <c r="B161" i="12"/>
  <c r="C160" i="12"/>
  <c r="B160" i="12"/>
  <c r="C159" i="12"/>
  <c r="B159" i="12"/>
  <c r="C158" i="12"/>
  <c r="B158" i="12"/>
  <c r="C157" i="12"/>
  <c r="B157" i="12"/>
  <c r="C156" i="12"/>
  <c r="B156" i="12"/>
  <c r="C155" i="12"/>
  <c r="B155" i="12"/>
  <c r="C154" i="12"/>
  <c r="B154" i="12"/>
  <c r="C153" i="12"/>
  <c r="B153" i="12"/>
  <c r="C152" i="12"/>
  <c r="B152" i="12"/>
  <c r="C151" i="12"/>
  <c r="B151" i="12"/>
  <c r="C150" i="12"/>
  <c r="B150" i="12"/>
  <c r="C149" i="12"/>
  <c r="B149" i="12"/>
  <c r="C148" i="12"/>
  <c r="B148" i="12"/>
  <c r="C147" i="12"/>
  <c r="B147" i="12"/>
  <c r="C146" i="12"/>
  <c r="B146" i="12"/>
  <c r="C145" i="12"/>
  <c r="B145" i="12"/>
  <c r="C144" i="12"/>
  <c r="B144" i="12"/>
  <c r="C143" i="12"/>
  <c r="B143" i="12"/>
  <c r="C142" i="12"/>
  <c r="B142" i="12"/>
  <c r="C141" i="12"/>
  <c r="B141" i="12"/>
  <c r="C140" i="12"/>
  <c r="B140" i="12"/>
  <c r="C139" i="12"/>
  <c r="B139" i="12"/>
  <c r="C138" i="12"/>
  <c r="B138" i="12"/>
  <c r="C137" i="12"/>
  <c r="B137" i="12"/>
  <c r="C136" i="12"/>
  <c r="B136" i="12"/>
  <c r="C135" i="12"/>
  <c r="B135" i="12"/>
  <c r="C134" i="12"/>
  <c r="B134" i="12"/>
  <c r="C133" i="12"/>
  <c r="B133" i="12"/>
  <c r="C132" i="12"/>
  <c r="B132" i="12"/>
  <c r="C131" i="12"/>
  <c r="B131" i="12"/>
  <c r="C130" i="12"/>
  <c r="B130" i="12"/>
  <c r="C129" i="12"/>
  <c r="B129" i="12"/>
  <c r="C128" i="12"/>
  <c r="B128" i="12"/>
  <c r="C127" i="12"/>
  <c r="B127" i="12"/>
  <c r="C126" i="12"/>
  <c r="B126" i="12"/>
  <c r="C125" i="12"/>
  <c r="B125" i="12"/>
  <c r="C124" i="12"/>
  <c r="B124" i="12"/>
  <c r="C123" i="12"/>
  <c r="B123" i="12"/>
  <c r="C122" i="12"/>
  <c r="B122" i="12"/>
  <c r="C121" i="12"/>
  <c r="B121" i="12"/>
  <c r="C120" i="12"/>
  <c r="B120" i="12"/>
  <c r="C119" i="12"/>
  <c r="B119" i="12"/>
  <c r="C118" i="12"/>
  <c r="B118" i="12"/>
  <c r="C117" i="12"/>
  <c r="B117" i="12"/>
  <c r="C116" i="12"/>
  <c r="B116" i="12"/>
  <c r="C115" i="12"/>
  <c r="B115" i="12"/>
  <c r="C114" i="12"/>
  <c r="B114" i="12"/>
  <c r="C113" i="12"/>
  <c r="B113" i="12"/>
  <c r="C112" i="12"/>
  <c r="B112" i="12"/>
  <c r="C111" i="12"/>
  <c r="B111" i="12"/>
  <c r="C110" i="12"/>
  <c r="B110" i="12"/>
  <c r="C109" i="12"/>
  <c r="B109" i="12"/>
  <c r="C108" i="12"/>
  <c r="B108" i="12"/>
  <c r="C107" i="12"/>
  <c r="B107" i="12"/>
  <c r="C106" i="12"/>
  <c r="B106" i="12"/>
  <c r="C105" i="12"/>
  <c r="B105" i="12"/>
  <c r="C104" i="12"/>
  <c r="B104" i="12"/>
  <c r="C103" i="12"/>
  <c r="B103" i="12"/>
  <c r="C102" i="12"/>
  <c r="B102" i="12"/>
  <c r="C101" i="12"/>
  <c r="B101" i="12"/>
  <c r="C100" i="12"/>
  <c r="B100" i="12"/>
  <c r="C99" i="12"/>
  <c r="B99" i="12"/>
  <c r="C98" i="12"/>
  <c r="B98" i="12"/>
  <c r="C97" i="12"/>
  <c r="B97" i="12"/>
  <c r="C96" i="12"/>
  <c r="B96" i="12"/>
  <c r="C95" i="12"/>
  <c r="B95" i="12"/>
  <c r="C94" i="12"/>
  <c r="B94" i="12"/>
  <c r="C93" i="12"/>
  <c r="B93" i="12"/>
  <c r="C92" i="12"/>
  <c r="B92" i="12"/>
  <c r="C91" i="12"/>
  <c r="B91" i="12"/>
  <c r="C90" i="12"/>
  <c r="B90" i="12"/>
  <c r="C89" i="12"/>
  <c r="B89" i="12"/>
  <c r="C88" i="12"/>
  <c r="B88" i="12"/>
  <c r="C87" i="12"/>
  <c r="B87" i="12"/>
  <c r="C86" i="12"/>
  <c r="B86" i="12"/>
  <c r="C85" i="12"/>
  <c r="B85" i="12"/>
  <c r="C84" i="12"/>
  <c r="B84" i="12"/>
  <c r="C83" i="12"/>
  <c r="B83" i="12"/>
  <c r="C82" i="12"/>
  <c r="B82" i="12"/>
  <c r="C81" i="12"/>
  <c r="B81" i="12"/>
  <c r="C80" i="12"/>
  <c r="B80" i="12"/>
  <c r="C79" i="12"/>
  <c r="B79" i="12"/>
  <c r="C78" i="12"/>
  <c r="B78" i="12"/>
  <c r="C77" i="12"/>
  <c r="B77" i="12"/>
  <c r="C76" i="12"/>
  <c r="B76" i="12"/>
  <c r="C75" i="12"/>
  <c r="B75" i="12"/>
  <c r="C74" i="12"/>
  <c r="B74" i="12"/>
  <c r="C73" i="12"/>
  <c r="B73" i="12"/>
  <c r="C72" i="12"/>
  <c r="B72" i="12"/>
  <c r="C71" i="12"/>
  <c r="B71" i="12"/>
  <c r="C70" i="12"/>
  <c r="B70" i="12"/>
  <c r="C69" i="12"/>
  <c r="B69" i="12"/>
  <c r="C68" i="12"/>
  <c r="B68" i="12"/>
  <c r="C67" i="12"/>
  <c r="B67" i="12"/>
  <c r="C66" i="12"/>
  <c r="B66" i="12"/>
  <c r="C65" i="12"/>
  <c r="B65" i="12"/>
  <c r="C64" i="12"/>
  <c r="B64" i="12"/>
  <c r="C63" i="12"/>
  <c r="B63" i="12"/>
  <c r="C62" i="12"/>
  <c r="B62" i="12"/>
  <c r="C61" i="12"/>
  <c r="B61" i="12"/>
  <c r="C60" i="12"/>
  <c r="B60" i="12"/>
  <c r="C59" i="12"/>
  <c r="B59" i="12"/>
  <c r="C58" i="12"/>
  <c r="B58" i="12"/>
  <c r="C57" i="12"/>
  <c r="B57" i="12"/>
  <c r="C56" i="12"/>
  <c r="B56" i="12"/>
  <c r="C55" i="12"/>
  <c r="B55" i="12"/>
  <c r="C54" i="12"/>
  <c r="B54" i="12"/>
  <c r="C53" i="12"/>
  <c r="B53" i="12"/>
  <c r="C52" i="12"/>
  <c r="B52" i="12"/>
  <c r="C51" i="12"/>
  <c r="B51" i="12"/>
  <c r="C50" i="12"/>
  <c r="B50" i="12"/>
  <c r="C49" i="12"/>
  <c r="B49" i="12"/>
  <c r="C48" i="12"/>
  <c r="B48" i="12"/>
  <c r="C47" i="12"/>
  <c r="B47" i="12"/>
  <c r="C46" i="12"/>
  <c r="B46" i="12"/>
  <c r="C45" i="12"/>
  <c r="B45" i="12"/>
  <c r="C44" i="12"/>
  <c r="B44" i="12"/>
  <c r="C43" i="12"/>
  <c r="B43" i="12"/>
  <c r="C42" i="12"/>
  <c r="B42" i="12"/>
  <c r="C41" i="12"/>
  <c r="B41" i="12"/>
  <c r="C40" i="12"/>
  <c r="B40" i="12"/>
  <c r="C39" i="12"/>
  <c r="B39" i="12"/>
  <c r="C38" i="12"/>
  <c r="B38" i="12"/>
  <c r="C37" i="12"/>
  <c r="B37" i="12"/>
  <c r="C36" i="12"/>
  <c r="B36" i="12"/>
  <c r="C35" i="12"/>
  <c r="B35" i="12"/>
  <c r="C34" i="12"/>
  <c r="B34" i="12"/>
  <c r="C33" i="12"/>
  <c r="B33" i="12"/>
  <c r="C32" i="12"/>
  <c r="B32" i="12"/>
  <c r="C31" i="12"/>
  <c r="B31" i="12"/>
  <c r="C30" i="12"/>
  <c r="B30" i="12"/>
  <c r="C29" i="12"/>
  <c r="B29" i="12"/>
  <c r="C28" i="12"/>
  <c r="B28" i="12"/>
  <c r="C27" i="12"/>
  <c r="B27" i="12"/>
  <c r="C26" i="12"/>
  <c r="B26" i="12"/>
  <c r="C25" i="12"/>
  <c r="B25" i="12"/>
  <c r="C24" i="12"/>
  <c r="B24" i="12"/>
  <c r="C23" i="12"/>
  <c r="B23" i="12"/>
  <c r="C22" i="12"/>
  <c r="B22" i="12"/>
  <c r="C21" i="12"/>
  <c r="B21" i="12"/>
  <c r="C20" i="12"/>
  <c r="B20" i="12"/>
  <c r="C19" i="12"/>
  <c r="B19" i="12"/>
  <c r="C18" i="12"/>
  <c r="B18" i="12"/>
  <c r="C17" i="12"/>
  <c r="B17" i="12"/>
  <c r="C16" i="12"/>
  <c r="B16" i="12"/>
  <c r="C15" i="12"/>
  <c r="B15" i="12"/>
  <c r="C14" i="12"/>
  <c r="B14" i="12"/>
  <c r="C13" i="12"/>
  <c r="B13" i="12"/>
  <c r="C12" i="12"/>
  <c r="B12" i="12"/>
  <c r="C11" i="12"/>
  <c r="B11" i="12"/>
  <c r="C10" i="12"/>
  <c r="B10" i="12"/>
  <c r="C9" i="12"/>
  <c r="B9" i="12"/>
  <c r="C8" i="12"/>
  <c r="B8" i="12"/>
  <c r="C7" i="12"/>
  <c r="B7" i="12"/>
  <c r="C6" i="12"/>
  <c r="B6" i="12"/>
  <c r="C5" i="12"/>
  <c r="B5" i="12"/>
  <c r="C4" i="12"/>
  <c r="B4" i="12"/>
  <c r="C3" i="12"/>
  <c r="B3" i="12"/>
  <c r="C2" i="12"/>
  <c r="B2" i="12"/>
  <c r="E373" i="11"/>
  <c r="E372" i="11"/>
  <c r="E371" i="11"/>
  <c r="E370" i="11"/>
  <c r="E369" i="11"/>
  <c r="E368" i="11"/>
  <c r="E367" i="11"/>
  <c r="E366" i="11"/>
  <c r="E365" i="11"/>
  <c r="D365" i="11"/>
  <c r="E364" i="11"/>
  <c r="E363" i="11"/>
  <c r="E362" i="11"/>
  <c r="E361" i="11"/>
  <c r="E360" i="11"/>
  <c r="E359" i="11"/>
  <c r="E358" i="11"/>
  <c r="D358" i="11"/>
  <c r="E357" i="11"/>
  <c r="E356" i="11"/>
  <c r="E355" i="11"/>
  <c r="E354" i="11"/>
  <c r="E353" i="11"/>
  <c r="E352" i="11"/>
  <c r="E351" i="11"/>
  <c r="E350" i="11"/>
  <c r="E349" i="11"/>
  <c r="E348" i="11"/>
  <c r="E347" i="11"/>
  <c r="E346" i="11"/>
  <c r="E345" i="11"/>
  <c r="E344" i="11"/>
  <c r="E343" i="11"/>
  <c r="E342" i="11"/>
  <c r="E341" i="11"/>
  <c r="E340" i="11"/>
  <c r="E339" i="11"/>
  <c r="E338" i="11"/>
  <c r="E337" i="11"/>
  <c r="E336" i="11"/>
  <c r="E335" i="11"/>
  <c r="E334" i="11"/>
  <c r="E333" i="11"/>
  <c r="E332" i="11"/>
  <c r="E331" i="11"/>
  <c r="E330" i="11"/>
  <c r="E329" i="11"/>
  <c r="E328" i="11"/>
  <c r="E327" i="11"/>
  <c r="E326" i="11"/>
  <c r="E325" i="11"/>
  <c r="E324" i="11"/>
  <c r="E323" i="11"/>
  <c r="E322" i="11"/>
  <c r="E321" i="11"/>
  <c r="E320" i="11"/>
  <c r="E319" i="11"/>
  <c r="E318" i="11"/>
  <c r="E317" i="11"/>
  <c r="E316" i="11"/>
  <c r="E315" i="11"/>
  <c r="E314" i="11"/>
  <c r="E313" i="11"/>
  <c r="E312" i="11"/>
  <c r="E311" i="11"/>
  <c r="E310" i="11"/>
  <c r="D310" i="11"/>
  <c r="E309" i="11"/>
  <c r="E308" i="11"/>
  <c r="E307" i="11"/>
  <c r="E306" i="11"/>
  <c r="E305" i="11"/>
  <c r="E304" i="11"/>
  <c r="E303" i="11"/>
  <c r="E302" i="11"/>
  <c r="E301" i="11"/>
  <c r="D301" i="11"/>
  <c r="E300" i="11"/>
  <c r="E299" i="11"/>
  <c r="E298" i="11"/>
  <c r="E297" i="11"/>
  <c r="E296" i="11"/>
  <c r="E295" i="11"/>
  <c r="E294" i="11"/>
  <c r="D294" i="11"/>
  <c r="E293" i="11"/>
  <c r="E292" i="11"/>
  <c r="E291" i="11"/>
  <c r="E290" i="11"/>
  <c r="E289" i="11"/>
  <c r="E288" i="11"/>
  <c r="E287" i="11"/>
  <c r="E286" i="11"/>
  <c r="E285" i="11"/>
  <c r="E284" i="11"/>
  <c r="E283" i="11"/>
  <c r="E282" i="11"/>
  <c r="E281" i="11"/>
  <c r="E280" i="11"/>
  <c r="E279" i="11"/>
  <c r="E278" i="11"/>
  <c r="E277" i="11"/>
  <c r="E276" i="11"/>
  <c r="E275" i="11"/>
  <c r="E274" i="11"/>
  <c r="E273" i="11"/>
  <c r="E272" i="11"/>
  <c r="E271" i="11"/>
  <c r="E270" i="11"/>
  <c r="E269" i="11"/>
  <c r="E268" i="11"/>
  <c r="E267" i="11"/>
  <c r="E266" i="11"/>
  <c r="E265" i="11"/>
  <c r="E264" i="11"/>
  <c r="E263" i="11"/>
  <c r="E262" i="11"/>
  <c r="E261" i="11"/>
  <c r="E260" i="11"/>
  <c r="E259" i="11"/>
  <c r="E258" i="11"/>
  <c r="E257" i="11"/>
  <c r="E256" i="11"/>
  <c r="E255" i="11"/>
  <c r="E254" i="11"/>
  <c r="E253" i="11"/>
  <c r="E252" i="11"/>
  <c r="E251" i="11"/>
  <c r="E250" i="11"/>
  <c r="E249" i="11"/>
  <c r="E248" i="11"/>
  <c r="E247" i="11"/>
  <c r="E246" i="11"/>
  <c r="D246" i="11"/>
  <c r="E245" i="11"/>
  <c r="E244" i="11"/>
  <c r="E243" i="11"/>
  <c r="E242" i="11"/>
  <c r="E241" i="11"/>
  <c r="E240" i="11"/>
  <c r="E239" i="11"/>
  <c r="E238" i="11"/>
  <c r="E237" i="11"/>
  <c r="D237" i="11"/>
  <c r="E236" i="11"/>
  <c r="E235" i="11"/>
  <c r="E234" i="11"/>
  <c r="E233" i="11"/>
  <c r="E232" i="11"/>
  <c r="E231" i="11"/>
  <c r="E230" i="11"/>
  <c r="D230" i="11"/>
  <c r="E229" i="11"/>
  <c r="E228" i="11"/>
  <c r="E227" i="11"/>
  <c r="E226" i="11"/>
  <c r="E225" i="11"/>
  <c r="E224" i="11"/>
  <c r="E223" i="11"/>
  <c r="E222" i="11"/>
  <c r="E221" i="11"/>
  <c r="E220" i="11"/>
  <c r="E219" i="11"/>
  <c r="E218" i="11"/>
  <c r="E217" i="11"/>
  <c r="E216" i="11"/>
  <c r="E215" i="11"/>
  <c r="E214" i="11"/>
  <c r="E213" i="11"/>
  <c r="E212" i="11"/>
  <c r="E211" i="11"/>
  <c r="E210" i="11"/>
  <c r="E209" i="11"/>
  <c r="E208" i="11"/>
  <c r="E207" i="11"/>
  <c r="E206" i="11"/>
  <c r="E205" i="11"/>
  <c r="E204" i="11"/>
  <c r="E203" i="11"/>
  <c r="E202" i="11"/>
  <c r="E201" i="11"/>
  <c r="E200" i="11"/>
  <c r="E199" i="11"/>
  <c r="E198" i="11"/>
  <c r="E197" i="11"/>
  <c r="E196" i="11"/>
  <c r="E195" i="11"/>
  <c r="E194" i="11"/>
  <c r="E193" i="11"/>
  <c r="E192" i="11"/>
  <c r="D192" i="11"/>
  <c r="E191" i="11"/>
  <c r="E190" i="11"/>
  <c r="E189" i="11"/>
  <c r="E188" i="11"/>
  <c r="E187" i="11"/>
  <c r="E186" i="11"/>
  <c r="E185" i="11"/>
  <c r="D185" i="11"/>
  <c r="E184" i="11"/>
  <c r="E183" i="11"/>
  <c r="E182" i="11"/>
  <c r="E181" i="11"/>
  <c r="E180" i="11"/>
  <c r="E179" i="11"/>
  <c r="E178" i="11"/>
  <c r="E177" i="11"/>
  <c r="E176" i="11"/>
  <c r="E175" i="11"/>
  <c r="E174" i="11"/>
  <c r="E173" i="11"/>
  <c r="E172" i="11"/>
  <c r="D172" i="11"/>
  <c r="E171" i="11"/>
  <c r="E170" i="11"/>
  <c r="E169" i="11"/>
  <c r="E168" i="11"/>
  <c r="E167" i="11"/>
  <c r="E166" i="11"/>
  <c r="D166" i="11"/>
  <c r="E165" i="11"/>
  <c r="E164" i="11"/>
  <c r="E163" i="11"/>
  <c r="E162" i="11"/>
  <c r="E161" i="11"/>
  <c r="E160" i="11"/>
  <c r="E159" i="11"/>
  <c r="E158" i="11"/>
  <c r="E157" i="11"/>
  <c r="D157" i="11"/>
  <c r="E156" i="11"/>
  <c r="E155" i="11"/>
  <c r="E154" i="11"/>
  <c r="E153" i="11"/>
  <c r="E152" i="11"/>
  <c r="E151" i="11"/>
  <c r="E150" i="11"/>
  <c r="E149" i="11"/>
  <c r="E148" i="11"/>
  <c r="E147" i="11"/>
  <c r="E146" i="11"/>
  <c r="E145" i="11"/>
  <c r="E144" i="11"/>
  <c r="D144" i="11"/>
  <c r="E143" i="11"/>
  <c r="E142" i="11"/>
  <c r="E141" i="11"/>
  <c r="E140" i="11"/>
  <c r="E139" i="11"/>
  <c r="E138" i="11"/>
  <c r="E137" i="11"/>
  <c r="D137" i="11"/>
  <c r="E136" i="11"/>
  <c r="E135" i="11"/>
  <c r="E134" i="11"/>
  <c r="E133" i="11"/>
  <c r="E132" i="11"/>
  <c r="E131" i="11"/>
  <c r="E130" i="11"/>
  <c r="E129" i="11"/>
  <c r="E128" i="11"/>
  <c r="D128" i="11"/>
  <c r="E127" i="11"/>
  <c r="E126" i="11"/>
  <c r="E125" i="11"/>
  <c r="E124" i="11"/>
  <c r="D124" i="11"/>
  <c r="E123" i="11"/>
  <c r="E122" i="11"/>
  <c r="E121" i="11"/>
  <c r="E120" i="11"/>
  <c r="E119" i="11"/>
  <c r="E118" i="11"/>
  <c r="E117" i="11"/>
  <c r="E116" i="11"/>
  <c r="E115" i="11"/>
  <c r="D115" i="11"/>
  <c r="E114" i="11"/>
  <c r="E113" i="11"/>
  <c r="E112" i="11"/>
  <c r="E111" i="11"/>
  <c r="E110" i="11"/>
  <c r="E109" i="11"/>
  <c r="D109" i="11"/>
  <c r="E108" i="11"/>
  <c r="E107" i="11"/>
  <c r="E106" i="11"/>
  <c r="E105" i="11"/>
  <c r="E104" i="11"/>
  <c r="E103" i="11"/>
  <c r="E102" i="11"/>
  <c r="E101" i="11"/>
  <c r="E100" i="11"/>
  <c r="E99" i="11"/>
  <c r="E98" i="11"/>
  <c r="E97" i="11"/>
  <c r="E96" i="11"/>
  <c r="E95" i="11"/>
  <c r="E94" i="11"/>
  <c r="E93" i="11"/>
  <c r="E92" i="11"/>
  <c r="D92" i="11"/>
  <c r="E91" i="11"/>
  <c r="E90" i="11"/>
  <c r="E89" i="11"/>
  <c r="E88" i="11"/>
  <c r="E87" i="11"/>
  <c r="E86" i="11"/>
  <c r="E85" i="11"/>
  <c r="E84" i="11"/>
  <c r="E83" i="11"/>
  <c r="D83" i="11"/>
  <c r="E82" i="11"/>
  <c r="E81" i="11"/>
  <c r="E80" i="11"/>
  <c r="E79" i="11"/>
  <c r="E78" i="11"/>
  <c r="E77" i="11"/>
  <c r="D77" i="11"/>
  <c r="E76" i="11"/>
  <c r="E75" i="11"/>
  <c r="E74" i="11"/>
  <c r="E73" i="11"/>
  <c r="D73" i="11"/>
  <c r="E72" i="11"/>
  <c r="E71" i="11"/>
  <c r="E70" i="11"/>
  <c r="E69" i="11"/>
  <c r="E68" i="11"/>
  <c r="E67" i="11"/>
  <c r="D67" i="11"/>
  <c r="E66" i="11"/>
  <c r="E65" i="11"/>
  <c r="E64" i="11"/>
  <c r="E63" i="11"/>
  <c r="E62" i="11"/>
  <c r="E61" i="11"/>
  <c r="E60" i="11"/>
  <c r="E59" i="11"/>
  <c r="E58" i="11"/>
  <c r="E57" i="11"/>
  <c r="E56" i="11"/>
  <c r="E55" i="11"/>
  <c r="E54" i="11"/>
  <c r="E53" i="11"/>
  <c r="E52" i="11"/>
  <c r="E51" i="11"/>
  <c r="E50" i="11"/>
  <c r="E49" i="11"/>
  <c r="E48" i="11"/>
  <c r="E47" i="11"/>
  <c r="E46" i="11"/>
  <c r="E45" i="11"/>
  <c r="E44" i="11"/>
  <c r="D44" i="11"/>
  <c r="E43" i="11"/>
  <c r="E42" i="11"/>
  <c r="D42" i="11"/>
  <c r="E41" i="11"/>
  <c r="E40" i="11"/>
  <c r="E39" i="11"/>
  <c r="E38" i="11"/>
  <c r="D38" i="11"/>
  <c r="E37" i="11"/>
  <c r="E36" i="11"/>
  <c r="E35" i="11"/>
  <c r="E34" i="11"/>
  <c r="E33" i="11"/>
  <c r="E32" i="11"/>
  <c r="E31" i="11"/>
  <c r="E30" i="11"/>
  <c r="D30" i="11"/>
  <c r="E29" i="11"/>
  <c r="D29" i="11"/>
  <c r="E28" i="11"/>
  <c r="E27" i="11"/>
  <c r="E26" i="11"/>
  <c r="E25" i="11"/>
  <c r="E24" i="11"/>
  <c r="E23" i="11"/>
  <c r="D23" i="11"/>
  <c r="E22" i="11"/>
  <c r="E21" i="11"/>
  <c r="E20" i="11"/>
  <c r="E19" i="11"/>
  <c r="E18" i="11"/>
  <c r="E17" i="11"/>
  <c r="D17" i="11"/>
  <c r="E16" i="11"/>
  <c r="E15" i="11"/>
  <c r="E14" i="11"/>
  <c r="D14" i="11"/>
  <c r="E13" i="11"/>
  <c r="D13" i="11"/>
  <c r="E12" i="11"/>
  <c r="E11" i="11"/>
  <c r="B11" i="11"/>
  <c r="C11" i="11" s="1"/>
  <c r="F10" i="11"/>
  <c r="C6" i="11"/>
  <c r="C5" i="11"/>
  <c r="D367" i="11" l="1"/>
  <c r="D351" i="11"/>
  <c r="D335" i="11"/>
  <c r="D319" i="11"/>
  <c r="D303" i="11"/>
  <c r="D287" i="11"/>
  <c r="D271" i="11"/>
  <c r="D255" i="11"/>
  <c r="D239" i="11"/>
  <c r="D223" i="11"/>
  <c r="D207" i="11"/>
  <c r="D191" i="11"/>
  <c r="D175" i="11"/>
  <c r="D159" i="11"/>
  <c r="D143" i="11"/>
  <c r="D127" i="11"/>
  <c r="D111" i="11"/>
  <c r="D95" i="11"/>
  <c r="D79" i="11"/>
  <c r="D63" i="11"/>
  <c r="D47" i="11"/>
  <c r="D370" i="11"/>
  <c r="D354" i="11"/>
  <c r="D338" i="11"/>
  <c r="D322" i="11"/>
  <c r="D306" i="11"/>
  <c r="D290" i="11"/>
  <c r="D274" i="11"/>
  <c r="D258" i="11"/>
  <c r="D242" i="11"/>
  <c r="D226" i="11"/>
  <c r="D210" i="11"/>
  <c r="D194" i="11"/>
  <c r="D178" i="11"/>
  <c r="D162" i="11"/>
  <c r="D146" i="11"/>
  <c r="D130" i="11"/>
  <c r="D114" i="11"/>
  <c r="D98" i="11"/>
  <c r="D82" i="11"/>
  <c r="D66" i="11"/>
  <c r="D50" i="11"/>
  <c r="D373" i="11"/>
  <c r="D357" i="11"/>
  <c r="D341" i="11"/>
  <c r="D325" i="11"/>
  <c r="D309" i="11"/>
  <c r="D293" i="11"/>
  <c r="D277" i="11"/>
  <c r="D261" i="11"/>
  <c r="D245" i="11"/>
  <c r="D229" i="11"/>
  <c r="D213" i="11"/>
  <c r="D197" i="11"/>
  <c r="D181" i="11"/>
  <c r="D165" i="11"/>
  <c r="D149" i="11"/>
  <c r="D133" i="11"/>
  <c r="D117" i="11"/>
  <c r="D101" i="11"/>
  <c r="D85" i="11"/>
  <c r="D69" i="11"/>
  <c r="D53" i="11"/>
  <c r="D37" i="11"/>
  <c r="D360" i="11"/>
  <c r="D344" i="11"/>
  <c r="D328" i="11"/>
  <c r="D312" i="11"/>
  <c r="D296" i="11"/>
  <c r="D280" i="11"/>
  <c r="D264" i="11"/>
  <c r="D248" i="11"/>
  <c r="D232" i="11"/>
  <c r="D216" i="11"/>
  <c r="D200" i="11"/>
  <c r="D184" i="11"/>
  <c r="D168" i="11"/>
  <c r="D152" i="11"/>
  <c r="D136" i="11"/>
  <c r="D120" i="11"/>
  <c r="D104" i="11"/>
  <c r="D88" i="11"/>
  <c r="D72" i="11"/>
  <c r="D56" i="11"/>
  <c r="D40" i="11"/>
  <c r="D363" i="11"/>
  <c r="D347" i="11"/>
  <c r="D331" i="11"/>
  <c r="D315" i="11"/>
  <c r="D299" i="11"/>
  <c r="D283" i="11"/>
  <c r="D267" i="11"/>
  <c r="D251" i="11"/>
  <c r="D235" i="11"/>
  <c r="D219" i="11"/>
  <c r="D203" i="11"/>
  <c r="D187" i="11"/>
  <c r="D171" i="11"/>
  <c r="D155" i="11"/>
  <c r="D139" i="11"/>
  <c r="D123" i="11"/>
  <c r="D107" i="11"/>
  <c r="D91" i="11"/>
  <c r="D75" i="11"/>
  <c r="D59" i="11"/>
  <c r="D43" i="11"/>
  <c r="D366" i="11"/>
  <c r="D350" i="11"/>
  <c r="D334" i="11"/>
  <c r="D318" i="11"/>
  <c r="D302" i="11"/>
  <c r="D286" i="11"/>
  <c r="D270" i="11"/>
  <c r="D254" i="11"/>
  <c r="D238" i="11"/>
  <c r="D222" i="11"/>
  <c r="D206" i="11"/>
  <c r="D190" i="11"/>
  <c r="D174" i="11"/>
  <c r="D158" i="11"/>
  <c r="D142" i="11"/>
  <c r="D126" i="11"/>
  <c r="D110" i="11"/>
  <c r="D94" i="11"/>
  <c r="D78" i="11"/>
  <c r="D62" i="11"/>
  <c r="D46" i="11"/>
  <c r="D369" i="11"/>
  <c r="D353" i="11"/>
  <c r="D337" i="11"/>
  <c r="D321" i="11"/>
  <c r="D305" i="11"/>
  <c r="D289" i="11"/>
  <c r="D273" i="11"/>
  <c r="D257" i="11"/>
  <c r="D241" i="11"/>
  <c r="D225" i="11"/>
  <c r="D209" i="11"/>
  <c r="D193" i="11"/>
  <c r="D177" i="11"/>
  <c r="D161" i="11"/>
  <c r="D145" i="11"/>
  <c r="D129" i="11"/>
  <c r="D113" i="11"/>
  <c r="D97" i="11"/>
  <c r="D81" i="11"/>
  <c r="D65" i="11"/>
  <c r="D49" i="11"/>
  <c r="D33" i="11"/>
  <c r="D372" i="11"/>
  <c r="D356" i="11"/>
  <c r="D340" i="11"/>
  <c r="D324" i="11"/>
  <c r="D308" i="11"/>
  <c r="D292" i="11"/>
  <c r="D276" i="11"/>
  <c r="D260" i="11"/>
  <c r="D244" i="11"/>
  <c r="D228" i="11"/>
  <c r="D212" i="11"/>
  <c r="D196" i="11"/>
  <c r="D180" i="11"/>
  <c r="D164" i="11"/>
  <c r="D148" i="11"/>
  <c r="D132" i="11"/>
  <c r="D116" i="11"/>
  <c r="D100" i="11"/>
  <c r="D84" i="11"/>
  <c r="D68" i="11"/>
  <c r="D52" i="11"/>
  <c r="D36" i="11"/>
  <c r="D359" i="11"/>
  <c r="D343" i="11"/>
  <c r="D327" i="11"/>
  <c r="D311" i="11"/>
  <c r="D295" i="11"/>
  <c r="D279" i="11"/>
  <c r="D263" i="11"/>
  <c r="D247" i="11"/>
  <c r="D231" i="11"/>
  <c r="D215" i="11"/>
  <c r="D199" i="11"/>
  <c r="D183" i="11"/>
  <c r="D167" i="11"/>
  <c r="D151" i="11"/>
  <c r="D135" i="11"/>
  <c r="D119" i="11"/>
  <c r="D103" i="11"/>
  <c r="D87" i="11"/>
  <c r="D71" i="11"/>
  <c r="D55" i="11"/>
  <c r="D39" i="11"/>
  <c r="D362" i="11"/>
  <c r="D346" i="11"/>
  <c r="D330" i="11"/>
  <c r="D314" i="11"/>
  <c r="D298" i="11"/>
  <c r="D282" i="11"/>
  <c r="D266" i="11"/>
  <c r="D250" i="11"/>
  <c r="D234" i="11"/>
  <c r="D218" i="11"/>
  <c r="D202" i="11"/>
  <c r="D186" i="11"/>
  <c r="D170" i="11"/>
  <c r="D154" i="11"/>
  <c r="D138" i="11"/>
  <c r="D122" i="11"/>
  <c r="D106" i="11"/>
  <c r="D90" i="11"/>
  <c r="D371" i="11"/>
  <c r="D355" i="11"/>
  <c r="D339" i="11"/>
  <c r="D323" i="11"/>
  <c r="D307" i="11"/>
  <c r="D291" i="11"/>
  <c r="D275" i="11"/>
  <c r="D259" i="11"/>
  <c r="D243" i="11"/>
  <c r="D227" i="11"/>
  <c r="D211" i="11"/>
  <c r="D195" i="11"/>
  <c r="D179" i="11"/>
  <c r="D163" i="11"/>
  <c r="D147" i="11"/>
  <c r="D131" i="11"/>
  <c r="D361" i="11"/>
  <c r="D345" i="11"/>
  <c r="D329" i="11"/>
  <c r="D313" i="11"/>
  <c r="D297" i="11"/>
  <c r="D281" i="11"/>
  <c r="D265" i="11"/>
  <c r="D249" i="11"/>
  <c r="D233" i="11"/>
  <c r="D217" i="11"/>
  <c r="D201" i="11"/>
  <c r="D364" i="11"/>
  <c r="D348" i="11"/>
  <c r="D332" i="11"/>
  <c r="D316" i="11"/>
  <c r="D300" i="11"/>
  <c r="D284" i="11"/>
  <c r="D268" i="11"/>
  <c r="D252" i="11"/>
  <c r="D236" i="11"/>
  <c r="D220" i="11"/>
  <c r="D204" i="11"/>
  <c r="D26" i="11"/>
  <c r="D48" i="11"/>
  <c r="D54" i="11"/>
  <c r="D60" i="11"/>
  <c r="D96" i="11"/>
  <c r="D150" i="11"/>
  <c r="D20" i="11"/>
  <c r="D256" i="11"/>
  <c r="D320" i="11"/>
  <c r="D11" i="11"/>
  <c r="F11" i="11" s="1"/>
  <c r="B12" i="11" s="1"/>
  <c r="D27" i="11"/>
  <c r="D61" i="11"/>
  <c r="D105" i="11"/>
  <c r="D173" i="11"/>
  <c r="D188" i="11"/>
  <c r="D221" i="11"/>
  <c r="D285" i="11"/>
  <c r="D349" i="11"/>
  <c r="D24" i="11"/>
  <c r="D86" i="11"/>
  <c r="D118" i="11"/>
  <c r="D240" i="11"/>
  <c r="D304" i="11"/>
  <c r="D368" i="11"/>
  <c r="D21" i="11"/>
  <c r="D34" i="11"/>
  <c r="D99" i="11"/>
  <c r="D153" i="11"/>
  <c r="D160" i="11"/>
  <c r="D214" i="11"/>
  <c r="D278" i="11"/>
  <c r="D342" i="11"/>
  <c r="D18" i="11"/>
  <c r="D51" i="11"/>
  <c r="D57" i="11"/>
  <c r="D80" i="11"/>
  <c r="D112" i="11"/>
  <c r="D182" i="11"/>
  <c r="D15" i="11"/>
  <c r="D31" i="11"/>
  <c r="D45" i="11"/>
  <c r="D74" i="11"/>
  <c r="D93" i="11"/>
  <c r="D125" i="11"/>
  <c r="D140" i="11"/>
  <c r="D189" i="11"/>
  <c r="D205" i="11"/>
  <c r="D269" i="11"/>
  <c r="D333" i="11"/>
  <c r="D12" i="11"/>
  <c r="D28" i="11"/>
  <c r="D224" i="11"/>
  <c r="D288" i="11"/>
  <c r="D352" i="11"/>
  <c r="D25" i="11"/>
  <c r="D169" i="11"/>
  <c r="D176" i="11"/>
  <c r="D198" i="11"/>
  <c r="D262" i="11"/>
  <c r="D326" i="11"/>
  <c r="D22" i="11"/>
  <c r="D35" i="11"/>
  <c r="D41" i="11"/>
  <c r="D64" i="11"/>
  <c r="D70" i="11"/>
  <c r="D76" i="11"/>
  <c r="D108" i="11"/>
  <c r="D134" i="11"/>
  <c r="D19" i="11"/>
  <c r="D58" i="11"/>
  <c r="D89" i="11"/>
  <c r="D121" i="11"/>
  <c r="D141" i="11"/>
  <c r="D156" i="11"/>
  <c r="D253" i="11"/>
  <c r="D317" i="11"/>
  <c r="D16" i="11"/>
  <c r="D32" i="11"/>
  <c r="D102" i="11"/>
  <c r="D208" i="11"/>
  <c r="D272" i="11"/>
  <c r="D336" i="11"/>
  <c r="C12" i="11" l="1"/>
  <c r="F12" i="11" s="1"/>
  <c r="B13" i="11" s="1"/>
  <c r="C13" i="11" l="1"/>
  <c r="F13" i="11" s="1"/>
  <c r="B14" i="11" s="1"/>
  <c r="C14" i="11" l="1"/>
  <c r="F14" i="11" s="1"/>
  <c r="B15" i="11" s="1"/>
  <c r="C15" i="11" l="1"/>
  <c r="F15" i="11" s="1"/>
  <c r="B16" i="11" s="1"/>
  <c r="C16" i="11" l="1"/>
  <c r="F16" i="11"/>
  <c r="B17" i="11" s="1"/>
  <c r="C17" i="11" l="1"/>
  <c r="F17" i="11" s="1"/>
  <c r="B18" i="11" s="1"/>
  <c r="C18" i="11" l="1"/>
  <c r="F18" i="11" s="1"/>
  <c r="B19" i="11" s="1"/>
  <c r="C19" i="11" l="1"/>
  <c r="F19" i="11" s="1"/>
  <c r="B20" i="11" s="1"/>
  <c r="C20" i="11" l="1"/>
  <c r="F20" i="11" s="1"/>
  <c r="B21" i="11" s="1"/>
  <c r="C21" i="11" l="1"/>
  <c r="F21" i="11" s="1"/>
  <c r="B22" i="11" s="1"/>
  <c r="C22" i="11" l="1"/>
  <c r="F22" i="11" s="1"/>
  <c r="B23" i="11" s="1"/>
  <c r="C23" i="11" l="1"/>
  <c r="F23" i="11" s="1"/>
  <c r="B24" i="11" s="1"/>
  <c r="C24" i="11" l="1"/>
  <c r="F24" i="11" s="1"/>
  <c r="B25" i="11" s="1"/>
  <c r="C25" i="11" l="1"/>
  <c r="F25" i="11" s="1"/>
  <c r="B26" i="11" s="1"/>
  <c r="C26" i="11" l="1"/>
  <c r="F26" i="11" s="1"/>
  <c r="B27" i="11" s="1"/>
  <c r="C27" i="11" l="1"/>
  <c r="F27" i="11"/>
  <c r="B28" i="11" s="1"/>
  <c r="C28" i="11" l="1"/>
  <c r="F28" i="11" s="1"/>
  <c r="B29" i="11" s="1"/>
  <c r="C29" i="11" l="1"/>
  <c r="F29" i="11" s="1"/>
  <c r="B30" i="11" s="1"/>
  <c r="C30" i="11" l="1"/>
  <c r="F30" i="11" s="1"/>
  <c r="B31" i="11" s="1"/>
  <c r="C31" i="11" l="1"/>
  <c r="F31" i="11" s="1"/>
  <c r="B32" i="11" s="1"/>
  <c r="C32" i="11" l="1"/>
  <c r="F32" i="11"/>
  <c r="B33" i="11" s="1"/>
  <c r="C33" i="11" l="1"/>
  <c r="F33" i="11" s="1"/>
  <c r="B34" i="11" s="1"/>
  <c r="C34" i="11" l="1"/>
  <c r="F34" i="11" s="1"/>
  <c r="B35" i="11" s="1"/>
  <c r="C35" i="11" l="1"/>
  <c r="F35" i="11" s="1"/>
  <c r="B36" i="11" s="1"/>
  <c r="C36" i="11" l="1"/>
  <c r="F36" i="11" s="1"/>
  <c r="B37" i="11" s="1"/>
  <c r="C37" i="11" l="1"/>
  <c r="F37" i="11" s="1"/>
  <c r="B38" i="11" s="1"/>
  <c r="C38" i="11" l="1"/>
  <c r="F38" i="11"/>
  <c r="B39" i="11" s="1"/>
  <c r="C39" i="11" l="1"/>
  <c r="F39" i="11" s="1"/>
  <c r="B40" i="11" s="1"/>
  <c r="C40" i="11" l="1"/>
  <c r="F40" i="11" s="1"/>
  <c r="B41" i="11" s="1"/>
  <c r="C41" i="11" l="1"/>
  <c r="F41" i="11" s="1"/>
  <c r="B42" i="11" s="1"/>
  <c r="C42" i="11" l="1"/>
  <c r="F42" i="11" s="1"/>
  <c r="B43" i="11" s="1"/>
  <c r="C43" i="11" l="1"/>
  <c r="F43" i="11" s="1"/>
  <c r="B44" i="11" s="1"/>
  <c r="C44" i="11" l="1"/>
  <c r="F44" i="11" s="1"/>
  <c r="B45" i="11" s="1"/>
  <c r="C45" i="11" l="1"/>
  <c r="F45" i="11" s="1"/>
  <c r="B46" i="11" s="1"/>
  <c r="C46" i="11" l="1"/>
  <c r="F46" i="11" s="1"/>
  <c r="B47" i="11" s="1"/>
  <c r="C47" i="11" l="1"/>
  <c r="F47" i="11"/>
  <c r="B48" i="11" s="1"/>
  <c r="C48" i="11" l="1"/>
  <c r="F48" i="11" s="1"/>
  <c r="B49" i="11" s="1"/>
  <c r="C49" i="11" l="1"/>
  <c r="F49" i="11" s="1"/>
  <c r="B50" i="11" s="1"/>
  <c r="C50" i="11" l="1"/>
  <c r="F50" i="11" s="1"/>
  <c r="B51" i="11" s="1"/>
  <c r="C51" i="11" l="1"/>
  <c r="F51" i="11" s="1"/>
  <c r="B52" i="11" s="1"/>
  <c r="C52" i="11" l="1"/>
  <c r="F52" i="11" s="1"/>
  <c r="B53" i="11" s="1"/>
  <c r="C53" i="11" l="1"/>
  <c r="F53" i="11" s="1"/>
  <c r="B54" i="11" s="1"/>
  <c r="C54" i="11" l="1"/>
  <c r="F54" i="11" s="1"/>
  <c r="B55" i="11" s="1"/>
  <c r="C55" i="11" l="1"/>
  <c r="F55" i="11" s="1"/>
  <c r="B56" i="11" s="1"/>
  <c r="C56" i="11" l="1"/>
  <c r="F56" i="11" s="1"/>
  <c r="B57" i="11" s="1"/>
  <c r="C57" i="11" l="1"/>
  <c r="F57" i="11" s="1"/>
  <c r="B58" i="11" s="1"/>
  <c r="C58" i="11" l="1"/>
  <c r="F58" i="11" s="1"/>
  <c r="B59" i="11" s="1"/>
  <c r="C59" i="11" l="1"/>
  <c r="F59" i="11" s="1"/>
  <c r="B60" i="11" s="1"/>
  <c r="C60" i="11" l="1"/>
  <c r="F60" i="11"/>
  <c r="B61" i="11" s="1"/>
  <c r="C61" i="11" l="1"/>
  <c r="F61" i="11" s="1"/>
  <c r="B62" i="11" s="1"/>
  <c r="C62" i="11" l="1"/>
  <c r="F62" i="11" s="1"/>
  <c r="B63" i="11" s="1"/>
  <c r="C63" i="11" l="1"/>
  <c r="F63" i="11"/>
  <c r="B64" i="11" s="1"/>
  <c r="C64" i="11" l="1"/>
  <c r="F64" i="11" s="1"/>
  <c r="B65" i="11" s="1"/>
  <c r="C65" i="11" l="1"/>
  <c r="F65" i="11" s="1"/>
  <c r="B66" i="11" s="1"/>
  <c r="C66" i="11" l="1"/>
  <c r="F66" i="11"/>
  <c r="B67" i="11" s="1"/>
  <c r="C67" i="11" l="1"/>
  <c r="F67" i="11" s="1"/>
  <c r="B68" i="11" s="1"/>
  <c r="C68" i="11" l="1"/>
  <c r="F68" i="11" s="1"/>
  <c r="B69" i="11" s="1"/>
  <c r="C69" i="11" l="1"/>
  <c r="F69" i="11" s="1"/>
  <c r="B70" i="11" s="1"/>
  <c r="C70" i="11" l="1"/>
  <c r="F70" i="11" s="1"/>
  <c r="B71" i="11" s="1"/>
  <c r="C71" i="11" l="1"/>
  <c r="F71" i="11" s="1"/>
  <c r="B72" i="11" s="1"/>
  <c r="C72" i="11" l="1"/>
  <c r="F72" i="11" s="1"/>
  <c r="B73" i="11" s="1"/>
  <c r="C73" i="11" l="1"/>
  <c r="F73" i="11" s="1"/>
  <c r="B74" i="11" s="1"/>
  <c r="C74" i="11" l="1"/>
  <c r="F74" i="11" s="1"/>
  <c r="B75" i="11" s="1"/>
  <c r="C75" i="11" l="1"/>
  <c r="F75" i="11" s="1"/>
  <c r="B76" i="11" s="1"/>
  <c r="C76" i="11" l="1"/>
  <c r="F76" i="11"/>
  <c r="B77" i="11" s="1"/>
  <c r="C77" i="11" l="1"/>
  <c r="F77" i="11" s="1"/>
  <c r="B78" i="11" s="1"/>
  <c r="C78" i="11" l="1"/>
  <c r="F78" i="11" s="1"/>
  <c r="B79" i="11" s="1"/>
  <c r="C79" i="11" l="1"/>
  <c r="F79" i="11"/>
  <c r="B80" i="11" s="1"/>
  <c r="C80" i="11" l="1"/>
  <c r="F80" i="11" s="1"/>
  <c r="B81" i="11" s="1"/>
  <c r="C81" i="11" l="1"/>
  <c r="F81" i="11" s="1"/>
  <c r="B82" i="11" s="1"/>
  <c r="C82" i="11" l="1"/>
  <c r="F82" i="11"/>
  <c r="B83" i="11" s="1"/>
  <c r="C83" i="11" l="1"/>
  <c r="F83" i="11"/>
  <c r="B84" i="11" s="1"/>
  <c r="C84" i="11" l="1"/>
  <c r="F84" i="11" s="1"/>
  <c r="B85" i="11" s="1"/>
  <c r="C85" i="11" l="1"/>
  <c r="F85" i="11" s="1"/>
  <c r="B86" i="11" s="1"/>
  <c r="C86" i="11" l="1"/>
  <c r="F86" i="11" s="1"/>
  <c r="B87" i="11" s="1"/>
  <c r="C87" i="11" l="1"/>
  <c r="F87" i="11" s="1"/>
  <c r="B88" i="11" s="1"/>
  <c r="C88" i="11" l="1"/>
  <c r="F88" i="11" s="1"/>
  <c r="B89" i="11" s="1"/>
  <c r="C89" i="11" l="1"/>
  <c r="F89" i="11"/>
  <c r="B90" i="11" s="1"/>
  <c r="C90" i="11" l="1"/>
  <c r="F90" i="11" s="1"/>
  <c r="B91" i="11" s="1"/>
  <c r="C91" i="11" l="1"/>
  <c r="F91" i="11" s="1"/>
  <c r="B92" i="11" s="1"/>
  <c r="C92" i="11" l="1"/>
  <c r="F92" i="11" s="1"/>
  <c r="B93" i="11" s="1"/>
  <c r="C93" i="11" l="1"/>
  <c r="F93" i="11" s="1"/>
  <c r="B94" i="11" s="1"/>
  <c r="C94" i="11" l="1"/>
  <c r="F94" i="11" s="1"/>
  <c r="B95" i="11" s="1"/>
  <c r="C95" i="11" l="1"/>
  <c r="F95" i="11"/>
  <c r="B96" i="11" s="1"/>
  <c r="C96" i="11" l="1"/>
  <c r="F96" i="11" s="1"/>
  <c r="B97" i="11" s="1"/>
  <c r="C97" i="11" l="1"/>
  <c r="F97" i="11" s="1"/>
  <c r="B98" i="11" s="1"/>
  <c r="C98" i="11" l="1"/>
  <c r="F98" i="11"/>
  <c r="B99" i="11" s="1"/>
  <c r="C99" i="11" l="1"/>
  <c r="F99" i="11" s="1"/>
  <c r="B100" i="11" s="1"/>
  <c r="C100" i="11" l="1"/>
  <c r="F100" i="11" s="1"/>
  <c r="B101" i="11" s="1"/>
  <c r="C101" i="11" l="1"/>
  <c r="F101" i="11" s="1"/>
  <c r="B102" i="11" s="1"/>
  <c r="C102" i="11" l="1"/>
  <c r="F102" i="11" s="1"/>
  <c r="B103" i="11" s="1"/>
  <c r="C103" i="11" l="1"/>
  <c r="F103" i="11" s="1"/>
  <c r="B104" i="11" s="1"/>
  <c r="C104" i="11" l="1"/>
  <c r="F104" i="11" s="1"/>
  <c r="B105" i="11" s="1"/>
  <c r="C105" i="11" l="1"/>
  <c r="F105" i="11"/>
  <c r="B106" i="11" s="1"/>
  <c r="C106" i="11" l="1"/>
  <c r="F106" i="11" s="1"/>
  <c r="B107" i="11" s="1"/>
  <c r="C107" i="11" l="1"/>
  <c r="F107" i="11" s="1"/>
  <c r="B108" i="11" s="1"/>
  <c r="C108" i="11" l="1"/>
  <c r="F108" i="11"/>
  <c r="B109" i="11" s="1"/>
  <c r="C109" i="11" l="1"/>
  <c r="F109" i="11" s="1"/>
  <c r="B110" i="11" s="1"/>
  <c r="C110" i="11" l="1"/>
  <c r="F110" i="11" s="1"/>
  <c r="B111" i="11" s="1"/>
  <c r="C111" i="11" l="1"/>
  <c r="F111" i="11" s="1"/>
  <c r="B112" i="11" s="1"/>
  <c r="C112" i="11" l="1"/>
  <c r="F112" i="11" s="1"/>
  <c r="B113" i="11" s="1"/>
  <c r="C113" i="11" l="1"/>
  <c r="F113" i="11" s="1"/>
  <c r="B114" i="11" s="1"/>
  <c r="C114" i="11" l="1"/>
  <c r="F114" i="11" s="1"/>
  <c r="B115" i="11" s="1"/>
  <c r="C115" i="11" l="1"/>
  <c r="F115" i="11"/>
  <c r="B116" i="11" s="1"/>
  <c r="C116" i="11" l="1"/>
  <c r="F116" i="11" s="1"/>
  <c r="B117" i="11" s="1"/>
  <c r="C117" i="11" l="1"/>
  <c r="F117" i="11" s="1"/>
  <c r="B118" i="11" s="1"/>
  <c r="C118" i="11" l="1"/>
  <c r="F118" i="11" s="1"/>
  <c r="B119" i="11" s="1"/>
  <c r="C119" i="11" l="1"/>
  <c r="F119" i="11" s="1"/>
  <c r="B120" i="11" s="1"/>
  <c r="C120" i="11" l="1"/>
  <c r="F120" i="11" s="1"/>
  <c r="B121" i="11" s="1"/>
  <c r="C121" i="11" l="1"/>
  <c r="F121" i="11" s="1"/>
  <c r="B122" i="11" s="1"/>
  <c r="C122" i="11" l="1"/>
  <c r="F122" i="11" s="1"/>
  <c r="B123" i="11" s="1"/>
  <c r="C123" i="11" l="1"/>
  <c r="F123" i="11" s="1"/>
  <c r="B124" i="11" s="1"/>
  <c r="C124" i="11" l="1"/>
  <c r="F124" i="11" s="1"/>
  <c r="B125" i="11" s="1"/>
  <c r="C125" i="11" l="1"/>
  <c r="F125" i="11" s="1"/>
  <c r="B126" i="11" s="1"/>
  <c r="C126" i="11" l="1"/>
  <c r="F126" i="11" s="1"/>
  <c r="B127" i="11" s="1"/>
  <c r="C127" i="11" l="1"/>
  <c r="F127" i="11"/>
  <c r="B128" i="11" s="1"/>
  <c r="C128" i="11" l="1"/>
  <c r="F128" i="11" s="1"/>
  <c r="B129" i="11" s="1"/>
  <c r="C129" i="11" l="1"/>
  <c r="F129" i="11" s="1"/>
  <c r="B130" i="11" s="1"/>
  <c r="C130" i="11" l="1"/>
  <c r="F130" i="11"/>
  <c r="B131" i="11" s="1"/>
  <c r="C131" i="11" l="1"/>
  <c r="F131" i="11" s="1"/>
  <c r="B132" i="11" s="1"/>
  <c r="C132" i="11" l="1"/>
  <c r="F132" i="11" s="1"/>
  <c r="B133" i="11" s="1"/>
  <c r="C133" i="11" l="1"/>
  <c r="F133" i="11" s="1"/>
  <c r="B134" i="11" s="1"/>
  <c r="C134" i="11" l="1"/>
  <c r="F134" i="11" s="1"/>
  <c r="B135" i="11" s="1"/>
  <c r="C135" i="11" l="1"/>
  <c r="F135" i="11" s="1"/>
  <c r="B136" i="11" s="1"/>
  <c r="C136" i="11" l="1"/>
  <c r="F136" i="11" s="1"/>
  <c r="B137" i="11" s="1"/>
  <c r="C137" i="11" l="1"/>
  <c r="F137" i="11" s="1"/>
  <c r="B138" i="11" s="1"/>
  <c r="C138" i="11" l="1"/>
  <c r="F138" i="11" s="1"/>
  <c r="B139" i="11" s="1"/>
  <c r="C139" i="11" l="1"/>
  <c r="F139" i="11" s="1"/>
  <c r="B140" i="11" s="1"/>
  <c r="C140" i="11" l="1"/>
  <c r="F140" i="11"/>
  <c r="B141" i="11" s="1"/>
  <c r="C141" i="11" l="1"/>
  <c r="F141" i="11" s="1"/>
  <c r="B142" i="11" s="1"/>
  <c r="C142" i="11" l="1"/>
  <c r="F142" i="11" s="1"/>
  <c r="B143" i="11" s="1"/>
  <c r="C143" i="11" l="1"/>
  <c r="F143" i="11"/>
  <c r="B144" i="11" s="1"/>
  <c r="C144" i="11" l="1"/>
  <c r="F144" i="11" s="1"/>
  <c r="B145" i="11" s="1"/>
  <c r="C145" i="11" l="1"/>
  <c r="F145" i="11" s="1"/>
  <c r="B146" i="11" s="1"/>
  <c r="C146" i="11" l="1"/>
  <c r="F146" i="11"/>
  <c r="B147" i="11" s="1"/>
  <c r="C147" i="11" l="1"/>
  <c r="F147" i="11" s="1"/>
  <c r="B148" i="11" s="1"/>
  <c r="C148" i="11" l="1"/>
  <c r="F148" i="11" s="1"/>
  <c r="B149" i="11" s="1"/>
  <c r="C149" i="11" l="1"/>
  <c r="F149" i="11" s="1"/>
  <c r="B150" i="11" s="1"/>
  <c r="C150" i="11" l="1"/>
  <c r="F150" i="11" s="1"/>
  <c r="B151" i="11" s="1"/>
  <c r="C151" i="11" l="1"/>
  <c r="F151" i="11" s="1"/>
  <c r="B152" i="11" s="1"/>
  <c r="C152" i="11" l="1"/>
  <c r="F152" i="11" s="1"/>
  <c r="B153" i="11" s="1"/>
  <c r="C153" i="11" l="1"/>
  <c r="F153" i="11" s="1"/>
  <c r="B154" i="11" s="1"/>
  <c r="C154" i="11" l="1"/>
  <c r="F154" i="11" s="1"/>
  <c r="B155" i="11" s="1"/>
  <c r="C155" i="11" l="1"/>
  <c r="F155" i="11" s="1"/>
  <c r="B156" i="11" s="1"/>
  <c r="C156" i="11" l="1"/>
  <c r="F156" i="11" s="1"/>
  <c r="B157" i="11" s="1"/>
  <c r="C157" i="11" l="1"/>
  <c r="F157" i="11" s="1"/>
  <c r="B158" i="11" s="1"/>
  <c r="C158" i="11" l="1"/>
  <c r="F158" i="11" s="1"/>
  <c r="B159" i="11" s="1"/>
  <c r="C159" i="11" l="1"/>
  <c r="F159" i="11"/>
  <c r="B160" i="11" s="1"/>
  <c r="C160" i="11" l="1"/>
  <c r="F160" i="11" s="1"/>
  <c r="B161" i="11" s="1"/>
  <c r="C161" i="11" l="1"/>
  <c r="F161" i="11" s="1"/>
  <c r="B162" i="11" s="1"/>
  <c r="C162" i="11" l="1"/>
  <c r="F162" i="11"/>
  <c r="B163" i="11" s="1"/>
  <c r="C163" i="11" l="1"/>
  <c r="F163" i="11" s="1"/>
  <c r="B164" i="11" s="1"/>
  <c r="C164" i="11" l="1"/>
  <c r="F164" i="11" s="1"/>
  <c r="B165" i="11" s="1"/>
  <c r="C165" i="11" l="1"/>
  <c r="F165" i="11" s="1"/>
  <c r="B166" i="11" s="1"/>
  <c r="C166" i="11" l="1"/>
  <c r="F166" i="11" s="1"/>
  <c r="B167" i="11" s="1"/>
  <c r="C167" i="11" l="1"/>
  <c r="F167" i="11" s="1"/>
  <c r="B168" i="11" s="1"/>
  <c r="C168" i="11" l="1"/>
  <c r="F168" i="11" s="1"/>
  <c r="B169" i="11" s="1"/>
  <c r="C169" i="11" l="1"/>
  <c r="F169" i="11" s="1"/>
  <c r="B170" i="11" s="1"/>
  <c r="C170" i="11" l="1"/>
  <c r="F170" i="11" s="1"/>
  <c r="B171" i="11" s="1"/>
  <c r="C171" i="11" l="1"/>
  <c r="F171" i="11" s="1"/>
  <c r="B172" i="11" s="1"/>
  <c r="C172" i="11" l="1"/>
  <c r="F172" i="11"/>
  <c r="B173" i="11" s="1"/>
  <c r="C173" i="11" l="1"/>
  <c r="F173" i="11" s="1"/>
  <c r="B174" i="11" s="1"/>
  <c r="C174" i="11" l="1"/>
  <c r="F174" i="11" s="1"/>
  <c r="B175" i="11" s="1"/>
  <c r="C175" i="11" l="1"/>
  <c r="F175" i="11" s="1"/>
  <c r="B176" i="11" s="1"/>
  <c r="C176" i="11" l="1"/>
  <c r="F176" i="11" s="1"/>
  <c r="B177" i="11" s="1"/>
  <c r="C177" i="11" l="1"/>
  <c r="F177" i="11" s="1"/>
  <c r="B178" i="11" s="1"/>
  <c r="C178" i="11" l="1"/>
  <c r="F178" i="11"/>
  <c r="B179" i="11" s="1"/>
  <c r="C179" i="11" l="1"/>
  <c r="F179" i="11" s="1"/>
  <c r="B180" i="11" s="1"/>
  <c r="C180" i="11" l="1"/>
  <c r="F180" i="11" s="1"/>
  <c r="B181" i="11" s="1"/>
  <c r="C181" i="11" l="1"/>
  <c r="F181" i="11" s="1"/>
  <c r="B182" i="11" s="1"/>
  <c r="C182" i="11" l="1"/>
  <c r="F182" i="11" s="1"/>
  <c r="B183" i="11" s="1"/>
  <c r="C183" i="11" l="1"/>
  <c r="F183" i="11" s="1"/>
  <c r="B184" i="11" s="1"/>
  <c r="C184" i="11" l="1"/>
  <c r="F184" i="11" s="1"/>
  <c r="B185" i="11" s="1"/>
  <c r="C185" i="11" l="1"/>
  <c r="F185" i="11" s="1"/>
  <c r="B186" i="11" s="1"/>
  <c r="C186" i="11" l="1"/>
  <c r="F186" i="11" s="1"/>
  <c r="B187" i="11" s="1"/>
  <c r="C187" i="11" l="1"/>
  <c r="F187" i="11" s="1"/>
  <c r="B188" i="11" s="1"/>
  <c r="C188" i="11" l="1"/>
  <c r="F188" i="11"/>
  <c r="B189" i="11" s="1"/>
  <c r="C189" i="11" l="1"/>
  <c r="F189" i="11" s="1"/>
  <c r="B190" i="11" s="1"/>
  <c r="C190" i="11" l="1"/>
  <c r="F190" i="11" s="1"/>
  <c r="B191" i="11" s="1"/>
  <c r="C191" i="11" l="1"/>
  <c r="F191" i="11"/>
  <c r="B192" i="11" s="1"/>
  <c r="C192" i="11" l="1"/>
  <c r="F192" i="11" s="1"/>
  <c r="B193" i="11" s="1"/>
  <c r="C193" i="11" l="1"/>
  <c r="F193" i="11" s="1"/>
  <c r="B194" i="11" s="1"/>
  <c r="C194" i="11" l="1"/>
  <c r="F194" i="11"/>
  <c r="B195" i="11" s="1"/>
  <c r="C195" i="11" l="1"/>
  <c r="F195" i="11" s="1"/>
  <c r="B196" i="11" s="1"/>
  <c r="C196" i="11" l="1"/>
  <c r="F196" i="11" s="1"/>
  <c r="B197" i="11" s="1"/>
  <c r="C197" i="11" l="1"/>
  <c r="F197" i="11" s="1"/>
  <c r="B198" i="11" s="1"/>
  <c r="C198" i="11" l="1"/>
  <c r="F198" i="11" s="1"/>
  <c r="B199" i="11" s="1"/>
  <c r="C199" i="11" l="1"/>
  <c r="F199" i="11" s="1"/>
  <c r="B200" i="11" s="1"/>
  <c r="C200" i="11" l="1"/>
  <c r="F200" i="11" s="1"/>
  <c r="B201" i="11" s="1"/>
  <c r="C201" i="11" l="1"/>
  <c r="F201" i="11" s="1"/>
  <c r="B202" i="11" s="1"/>
  <c r="C202" i="11" l="1"/>
  <c r="F202" i="11" s="1"/>
  <c r="B203" i="11" s="1"/>
  <c r="C203" i="11" l="1"/>
  <c r="F203" i="11" s="1"/>
  <c r="B204" i="11" s="1"/>
  <c r="C204" i="11" l="1"/>
  <c r="F204" i="11"/>
  <c r="B205" i="11" s="1"/>
  <c r="C205" i="11" l="1"/>
  <c r="F205" i="11" s="1"/>
  <c r="B206" i="11" s="1"/>
  <c r="C206" i="11" l="1"/>
  <c r="F206" i="11" s="1"/>
  <c r="B207" i="11" s="1"/>
  <c r="C207" i="11" l="1"/>
  <c r="F207" i="11"/>
  <c r="B208" i="11" s="1"/>
  <c r="C208" i="11" l="1"/>
  <c r="F208" i="11" s="1"/>
  <c r="B209" i="11" s="1"/>
  <c r="C209" i="11" l="1"/>
  <c r="F209" i="11" s="1"/>
  <c r="B210" i="11" s="1"/>
  <c r="C210" i="11" l="1"/>
  <c r="F210" i="11"/>
  <c r="B211" i="11" s="1"/>
  <c r="C211" i="11" l="1"/>
  <c r="F211" i="11" s="1"/>
  <c r="B212" i="11" s="1"/>
  <c r="C212" i="11" l="1"/>
  <c r="F212" i="11" s="1"/>
  <c r="B213" i="11" s="1"/>
  <c r="C213" i="11" l="1"/>
  <c r="F213" i="11" s="1"/>
  <c r="B214" i="11" s="1"/>
  <c r="C214" i="11" l="1"/>
  <c r="F214" i="11"/>
  <c r="B215" i="11" s="1"/>
  <c r="C215" i="11" l="1"/>
  <c r="F215" i="11" s="1"/>
  <c r="B216" i="11" s="1"/>
  <c r="C216" i="11" l="1"/>
  <c r="F216" i="11" s="1"/>
  <c r="B217" i="11" s="1"/>
  <c r="C217" i="11" l="1"/>
  <c r="F217" i="11" s="1"/>
  <c r="B218" i="11" s="1"/>
  <c r="C218" i="11" l="1"/>
  <c r="F218" i="11" s="1"/>
  <c r="B219" i="11" s="1"/>
  <c r="C219" i="11" l="1"/>
  <c r="F219" i="11" s="1"/>
  <c r="B220" i="11" s="1"/>
  <c r="C220" i="11" l="1"/>
  <c r="F220" i="11"/>
  <c r="B221" i="11" s="1"/>
  <c r="C221" i="11" l="1"/>
  <c r="F221" i="11" s="1"/>
  <c r="B222" i="11" s="1"/>
  <c r="C222" i="11" l="1"/>
  <c r="F222" i="11" s="1"/>
  <c r="B223" i="11" s="1"/>
  <c r="C223" i="11" l="1"/>
  <c r="F223" i="11"/>
  <c r="B224" i="11" s="1"/>
  <c r="C224" i="11" l="1"/>
  <c r="F224" i="11" s="1"/>
  <c r="B225" i="11" s="1"/>
  <c r="C225" i="11" l="1"/>
  <c r="F225" i="11" s="1"/>
  <c r="B226" i="11" s="1"/>
  <c r="C226" i="11" l="1"/>
  <c r="F226" i="11"/>
  <c r="B227" i="11" s="1"/>
  <c r="C227" i="11" l="1"/>
  <c r="F227" i="11"/>
  <c r="B228" i="11" s="1"/>
  <c r="C228" i="11" l="1"/>
  <c r="F228" i="11" s="1"/>
  <c r="B229" i="11" s="1"/>
  <c r="C229" i="11" l="1"/>
  <c r="F229" i="11" s="1"/>
  <c r="B230" i="11" s="1"/>
  <c r="C230" i="11" l="1"/>
  <c r="F230" i="11"/>
  <c r="B231" i="11" s="1"/>
  <c r="C231" i="11" l="1"/>
  <c r="F231" i="11" s="1"/>
  <c r="B232" i="11" s="1"/>
  <c r="C232" i="11" l="1"/>
  <c r="F232" i="11" s="1"/>
  <c r="B233" i="11" s="1"/>
  <c r="C233" i="11" l="1"/>
  <c r="F233" i="11" s="1"/>
  <c r="B234" i="11" s="1"/>
  <c r="C234" i="11" l="1"/>
  <c r="F234" i="11" s="1"/>
  <c r="B235" i="11" s="1"/>
  <c r="C235" i="11" l="1"/>
  <c r="F235" i="11" s="1"/>
  <c r="B236" i="11" s="1"/>
  <c r="C236" i="11" l="1"/>
  <c r="F236" i="11"/>
  <c r="B237" i="11" s="1"/>
  <c r="C237" i="11" l="1"/>
  <c r="F237" i="11" s="1"/>
  <c r="B238" i="11" s="1"/>
  <c r="C238" i="11" l="1"/>
  <c r="F238" i="11" s="1"/>
  <c r="B239" i="11" s="1"/>
  <c r="C239" i="11" l="1"/>
  <c r="F239" i="11"/>
  <c r="B240" i="11" s="1"/>
  <c r="C240" i="11" l="1"/>
  <c r="F240" i="11" s="1"/>
  <c r="B241" i="11" s="1"/>
  <c r="C241" i="11" l="1"/>
  <c r="F241" i="11" s="1"/>
  <c r="B242" i="11" s="1"/>
  <c r="C242" i="11" l="1"/>
  <c r="F242" i="11"/>
  <c r="B243" i="11" s="1"/>
  <c r="C243" i="11" l="1"/>
  <c r="F243" i="11" s="1"/>
  <c r="B244" i="11" s="1"/>
  <c r="C244" i="11" l="1"/>
  <c r="F244" i="11" s="1"/>
  <c r="B245" i="11" s="1"/>
  <c r="C245" i="11" l="1"/>
  <c r="F245" i="11" s="1"/>
  <c r="B246" i="11" s="1"/>
  <c r="C246" i="11" l="1"/>
  <c r="F246" i="11"/>
  <c r="B247" i="11" s="1"/>
  <c r="C247" i="11" l="1"/>
  <c r="F247" i="11" s="1"/>
  <c r="B248" i="11" s="1"/>
  <c r="C248" i="11" l="1"/>
  <c r="F248" i="11" s="1"/>
  <c r="B249" i="11" s="1"/>
  <c r="C249" i="11" l="1"/>
  <c r="F249" i="11" s="1"/>
  <c r="B250" i="11" s="1"/>
  <c r="C250" i="11" l="1"/>
  <c r="F250" i="11" s="1"/>
  <c r="B251" i="11" s="1"/>
  <c r="C251" i="11" l="1"/>
  <c r="F251" i="11" s="1"/>
  <c r="B252" i="11" s="1"/>
  <c r="C252" i="11" l="1"/>
  <c r="F252" i="11"/>
  <c r="B253" i="11" s="1"/>
  <c r="C253" i="11" l="1"/>
  <c r="F253" i="11" s="1"/>
  <c r="B254" i="11" s="1"/>
  <c r="C254" i="11" l="1"/>
  <c r="F254" i="11" s="1"/>
  <c r="B255" i="11" s="1"/>
  <c r="C255" i="11" l="1"/>
  <c r="F255" i="11" s="1"/>
  <c r="B256" i="11" s="1"/>
  <c r="C256" i="11" l="1"/>
  <c r="F256" i="11" s="1"/>
  <c r="B257" i="11" s="1"/>
  <c r="C257" i="11" l="1"/>
  <c r="F257" i="11" s="1"/>
  <c r="B258" i="11" s="1"/>
  <c r="C258" i="11" l="1"/>
  <c r="F258" i="11"/>
  <c r="B259" i="11" s="1"/>
  <c r="C259" i="11" l="1"/>
  <c r="F259" i="11" s="1"/>
  <c r="B260" i="11" s="1"/>
  <c r="C260" i="11" l="1"/>
  <c r="F260" i="11" s="1"/>
  <c r="B261" i="11" s="1"/>
  <c r="C261" i="11" l="1"/>
  <c r="F261" i="11" s="1"/>
  <c r="B262" i="11" s="1"/>
  <c r="C262" i="11" l="1"/>
  <c r="F262" i="11"/>
  <c r="B263" i="11" s="1"/>
  <c r="C263" i="11" l="1"/>
  <c r="F263" i="11" s="1"/>
  <c r="B264" i="11" s="1"/>
  <c r="C264" i="11" l="1"/>
  <c r="F264" i="11" s="1"/>
  <c r="B265" i="11" s="1"/>
  <c r="C265" i="11" l="1"/>
  <c r="F265" i="11" s="1"/>
  <c r="B266" i="11" s="1"/>
  <c r="C266" i="11" l="1"/>
  <c r="F266" i="11" s="1"/>
  <c r="B267" i="11" s="1"/>
  <c r="C267" i="11" l="1"/>
  <c r="F267" i="11" s="1"/>
  <c r="B268" i="11" s="1"/>
  <c r="C268" i="11" l="1"/>
  <c r="F268" i="11"/>
  <c r="B269" i="11" s="1"/>
  <c r="C269" i="11" l="1"/>
  <c r="F269" i="11" s="1"/>
  <c r="B270" i="11" s="1"/>
  <c r="C270" i="11" l="1"/>
  <c r="F270" i="11" s="1"/>
  <c r="B271" i="11" s="1"/>
  <c r="C271" i="11" l="1"/>
  <c r="F271" i="11"/>
  <c r="B272" i="11" s="1"/>
  <c r="C272" i="11" l="1"/>
  <c r="F272" i="11" s="1"/>
  <c r="B273" i="11" s="1"/>
  <c r="C273" i="11" l="1"/>
  <c r="F273" i="11" s="1"/>
  <c r="B274" i="11" s="1"/>
  <c r="C274" i="11" l="1"/>
  <c r="F274" i="11"/>
  <c r="B275" i="11" s="1"/>
  <c r="C275" i="11" l="1"/>
  <c r="F275" i="11" s="1"/>
  <c r="B276" i="11" s="1"/>
  <c r="C276" i="11" l="1"/>
  <c r="F276" i="11" s="1"/>
  <c r="B277" i="11" s="1"/>
  <c r="C277" i="11" l="1"/>
  <c r="F277" i="11" s="1"/>
  <c r="B278" i="11" s="1"/>
  <c r="C278" i="11" l="1"/>
  <c r="F278" i="11"/>
  <c r="B279" i="11" s="1"/>
  <c r="C279" i="11" l="1"/>
  <c r="F279" i="11" s="1"/>
  <c r="B280" i="11" s="1"/>
  <c r="C280" i="11" l="1"/>
  <c r="F280" i="11" s="1"/>
  <c r="B281" i="11" s="1"/>
  <c r="C281" i="11" l="1"/>
  <c r="F281" i="11" s="1"/>
  <c r="B282" i="11" s="1"/>
  <c r="C282" i="11" l="1"/>
  <c r="F282" i="11" s="1"/>
  <c r="B283" i="11" s="1"/>
  <c r="C283" i="11" l="1"/>
  <c r="F283" i="11" s="1"/>
  <c r="B284" i="11" s="1"/>
  <c r="C284" i="11" l="1"/>
  <c r="F284" i="11"/>
  <c r="B285" i="11" s="1"/>
  <c r="C285" i="11" l="1"/>
  <c r="F285" i="11" s="1"/>
  <c r="B286" i="11" s="1"/>
  <c r="C286" i="11" l="1"/>
  <c r="F286" i="11" s="1"/>
  <c r="B287" i="11" s="1"/>
  <c r="C287" i="11" l="1"/>
  <c r="F287" i="11"/>
  <c r="B288" i="11" s="1"/>
  <c r="C288" i="11" l="1"/>
  <c r="F288" i="11" s="1"/>
  <c r="B289" i="11" s="1"/>
  <c r="C289" i="11" l="1"/>
  <c r="F289" i="11" s="1"/>
  <c r="B290" i="11" s="1"/>
  <c r="C290" i="11" l="1"/>
  <c r="F290" i="11"/>
  <c r="B291" i="11" s="1"/>
  <c r="C291" i="11" l="1"/>
  <c r="F291" i="11" s="1"/>
  <c r="B292" i="11" s="1"/>
  <c r="C292" i="11" l="1"/>
  <c r="F292" i="11" s="1"/>
  <c r="B293" i="11" s="1"/>
  <c r="C293" i="11" l="1"/>
  <c r="F293" i="11" s="1"/>
  <c r="B294" i="11" s="1"/>
  <c r="C294" i="11" l="1"/>
  <c r="F294" i="11"/>
  <c r="B295" i="11" s="1"/>
  <c r="C295" i="11" l="1"/>
  <c r="F295" i="11" s="1"/>
  <c r="B296" i="11" s="1"/>
  <c r="C296" i="11" l="1"/>
  <c r="F296" i="11" s="1"/>
  <c r="B297" i="11" s="1"/>
  <c r="C297" i="11" l="1"/>
  <c r="F297" i="11" s="1"/>
  <c r="B298" i="11" s="1"/>
  <c r="C298" i="11" l="1"/>
  <c r="F298" i="11" s="1"/>
  <c r="B299" i="11" s="1"/>
  <c r="C299" i="11" l="1"/>
  <c r="F299" i="11" s="1"/>
  <c r="B300" i="11" s="1"/>
  <c r="C300" i="11" l="1"/>
  <c r="F300" i="11"/>
  <c r="B301" i="11" s="1"/>
  <c r="C301" i="11" l="1"/>
  <c r="F301" i="11" s="1"/>
  <c r="B302" i="11" s="1"/>
  <c r="C302" i="11" l="1"/>
  <c r="F302" i="11" s="1"/>
  <c r="B303" i="11" s="1"/>
  <c r="C303" i="11" l="1"/>
  <c r="F303" i="11"/>
  <c r="B304" i="11" s="1"/>
  <c r="C304" i="11" l="1"/>
  <c r="F304" i="11" s="1"/>
  <c r="B305" i="11" s="1"/>
  <c r="C305" i="11" l="1"/>
  <c r="F305" i="11" s="1"/>
  <c r="B306" i="11" s="1"/>
  <c r="C306" i="11" l="1"/>
  <c r="F306" i="11" s="1"/>
  <c r="B307" i="11" s="1"/>
  <c r="C307" i="11" l="1"/>
  <c r="F307" i="11" s="1"/>
  <c r="B308" i="11" s="1"/>
  <c r="C308" i="11" l="1"/>
  <c r="F308" i="11" s="1"/>
  <c r="B309" i="11" s="1"/>
  <c r="C309" i="11" l="1"/>
  <c r="F309" i="11" s="1"/>
  <c r="B310" i="11" s="1"/>
  <c r="C310" i="11" l="1"/>
  <c r="F310" i="11"/>
  <c r="B311" i="11" s="1"/>
  <c r="C311" i="11" l="1"/>
  <c r="F311" i="11" s="1"/>
  <c r="B312" i="11" s="1"/>
  <c r="C312" i="11" l="1"/>
  <c r="F312" i="11" s="1"/>
  <c r="B313" i="11" s="1"/>
  <c r="C313" i="11" l="1"/>
  <c r="F313" i="11" s="1"/>
  <c r="B314" i="11" s="1"/>
  <c r="C314" i="11" l="1"/>
  <c r="F314" i="11" s="1"/>
  <c r="B315" i="11" s="1"/>
  <c r="C315" i="11" l="1"/>
  <c r="F315" i="11" s="1"/>
  <c r="B316" i="11" s="1"/>
  <c r="C316" i="11" l="1"/>
  <c r="F316" i="11"/>
  <c r="B317" i="11" s="1"/>
  <c r="C317" i="11" l="1"/>
  <c r="F317" i="11" s="1"/>
  <c r="B318" i="11" s="1"/>
  <c r="C318" i="11" l="1"/>
  <c r="F318" i="11" s="1"/>
  <c r="B319" i="11" s="1"/>
  <c r="C319" i="11" l="1"/>
  <c r="F319" i="11"/>
  <c r="B320" i="11" s="1"/>
  <c r="C320" i="11" l="1"/>
  <c r="F320" i="11" s="1"/>
  <c r="B321" i="11" s="1"/>
  <c r="C321" i="11" l="1"/>
  <c r="F321" i="11" s="1"/>
  <c r="B322" i="11" s="1"/>
  <c r="C322" i="11" l="1"/>
  <c r="F322" i="11"/>
  <c r="B323" i="11" s="1"/>
  <c r="C323" i="11" l="1"/>
  <c r="F323" i="11" s="1"/>
  <c r="B324" i="11" s="1"/>
  <c r="C324" i="11" l="1"/>
  <c r="F324" i="11" s="1"/>
  <c r="B325" i="11" s="1"/>
  <c r="C325" i="11" l="1"/>
  <c r="F325" i="11" s="1"/>
  <c r="B326" i="11" s="1"/>
  <c r="C326" i="11" l="1"/>
  <c r="F326" i="11"/>
  <c r="B327" i="11" s="1"/>
  <c r="C327" i="11" l="1"/>
  <c r="F327" i="11" s="1"/>
  <c r="B328" i="11" s="1"/>
  <c r="C328" i="11" l="1"/>
  <c r="F328" i="11" s="1"/>
  <c r="B329" i="11" s="1"/>
  <c r="C329" i="11" l="1"/>
  <c r="F329" i="11" s="1"/>
  <c r="B330" i="11" s="1"/>
  <c r="C330" i="11" l="1"/>
  <c r="F330" i="11" s="1"/>
  <c r="B331" i="11" s="1"/>
  <c r="C331" i="11" l="1"/>
  <c r="F331" i="11" s="1"/>
  <c r="B332" i="11" s="1"/>
  <c r="C332" i="11" l="1"/>
  <c r="F332" i="11"/>
  <c r="B333" i="11" s="1"/>
  <c r="C333" i="11" l="1"/>
  <c r="F333" i="11" s="1"/>
  <c r="B334" i="11" s="1"/>
  <c r="C334" i="11" l="1"/>
  <c r="F334" i="11" s="1"/>
  <c r="B335" i="11" s="1"/>
  <c r="C335" i="11" l="1"/>
  <c r="F335" i="11" s="1"/>
  <c r="B336" i="11" s="1"/>
  <c r="C336" i="11" l="1"/>
  <c r="F336" i="11" s="1"/>
  <c r="B337" i="11" s="1"/>
  <c r="C337" i="11" l="1"/>
  <c r="F337" i="11" s="1"/>
  <c r="B338" i="11" s="1"/>
  <c r="C338" i="11" l="1"/>
  <c r="F338" i="11"/>
  <c r="B339" i="11" s="1"/>
  <c r="C339" i="11" l="1"/>
  <c r="F339" i="11" s="1"/>
  <c r="B340" i="11" s="1"/>
  <c r="C340" i="11" l="1"/>
  <c r="F340" i="11" s="1"/>
  <c r="B341" i="11" s="1"/>
  <c r="C341" i="11" l="1"/>
  <c r="F341" i="11" s="1"/>
  <c r="B342" i="11" s="1"/>
  <c r="C342" i="11" l="1"/>
  <c r="F342" i="11"/>
  <c r="B343" i="11" s="1"/>
  <c r="C343" i="11" l="1"/>
  <c r="F343" i="11" s="1"/>
  <c r="B344" i="11" s="1"/>
  <c r="C344" i="11" l="1"/>
  <c r="F344" i="11" s="1"/>
  <c r="B345" i="11" s="1"/>
  <c r="C345" i="11" l="1"/>
  <c r="F345" i="11" s="1"/>
  <c r="B346" i="11" s="1"/>
  <c r="C346" i="11" l="1"/>
  <c r="F346" i="11" s="1"/>
  <c r="B347" i="11" s="1"/>
  <c r="C347" i="11" l="1"/>
  <c r="F347" i="11" s="1"/>
  <c r="B348" i="11" s="1"/>
  <c r="C348" i="11" l="1"/>
  <c r="F348" i="11" s="1"/>
  <c r="B349" i="11" s="1"/>
  <c r="C349" i="11" l="1"/>
  <c r="F349" i="11" s="1"/>
  <c r="B350" i="11" s="1"/>
  <c r="C350" i="11" l="1"/>
  <c r="F350" i="11" s="1"/>
  <c r="B351" i="11" s="1"/>
  <c r="C351" i="11" l="1"/>
  <c r="F351" i="11"/>
  <c r="B352" i="11" s="1"/>
  <c r="C352" i="11" l="1"/>
  <c r="F352" i="11" s="1"/>
  <c r="B353" i="11" s="1"/>
  <c r="C353" i="11" l="1"/>
  <c r="F353" i="11" s="1"/>
  <c r="B354" i="11" s="1"/>
  <c r="C354" i="11" l="1"/>
  <c r="F354" i="11"/>
  <c r="B355" i="11" s="1"/>
  <c r="C355" i="11" l="1"/>
  <c r="F355" i="11"/>
  <c r="B356" i="11" s="1"/>
  <c r="C356" i="11" l="1"/>
  <c r="F356" i="11" s="1"/>
  <c r="B357" i="11" s="1"/>
  <c r="C357" i="11" l="1"/>
  <c r="F357" i="11" s="1"/>
  <c r="B358" i="11" s="1"/>
  <c r="C358" i="11" l="1"/>
  <c r="F358" i="11"/>
  <c r="B359" i="11" s="1"/>
  <c r="C359" i="11" l="1"/>
  <c r="F359" i="11" s="1"/>
  <c r="B360" i="11" s="1"/>
  <c r="C360" i="11" l="1"/>
  <c r="F360" i="11" s="1"/>
  <c r="B361" i="11" s="1"/>
  <c r="C361" i="11" l="1"/>
  <c r="F361" i="11" s="1"/>
  <c r="B362" i="11" s="1"/>
  <c r="C362" i="11" l="1"/>
  <c r="F362" i="11" s="1"/>
  <c r="B363" i="11" s="1"/>
  <c r="C363" i="11" l="1"/>
  <c r="F363" i="11" s="1"/>
  <c r="B364" i="11" s="1"/>
  <c r="C364" i="11" l="1"/>
  <c r="F364" i="11"/>
  <c r="B365" i="11" s="1"/>
  <c r="C365" i="11" l="1"/>
  <c r="F365" i="11" s="1"/>
  <c r="B366" i="11" s="1"/>
  <c r="C366" i="11" l="1"/>
  <c r="F366" i="11" s="1"/>
  <c r="B367" i="11" s="1"/>
  <c r="C367" i="11" l="1"/>
  <c r="F367" i="11"/>
  <c r="B368" i="11" s="1"/>
  <c r="C368" i="11" l="1"/>
  <c r="F368" i="11" s="1"/>
  <c r="B369" i="11" s="1"/>
  <c r="C369" i="11" l="1"/>
  <c r="F369" i="11" s="1"/>
  <c r="B370" i="11" s="1"/>
  <c r="C370" i="11" l="1"/>
  <c r="F370" i="11"/>
  <c r="B371" i="11" s="1"/>
  <c r="C371" i="11" l="1"/>
  <c r="F371" i="11" s="1"/>
  <c r="B372" i="11" s="1"/>
  <c r="C372" i="11" l="1"/>
  <c r="F372" i="11" s="1"/>
  <c r="B373" i="11" s="1"/>
  <c r="C373" i="11" l="1"/>
  <c r="F373" i="11" s="1"/>
  <c r="L1227" i="10"/>
  <c r="I1227" i="10"/>
  <c r="L1226" i="10"/>
  <c r="I1226" i="10"/>
  <c r="L1225" i="10"/>
  <c r="I1225" i="10"/>
  <c r="L1224" i="10"/>
  <c r="I1224" i="10"/>
  <c r="L1223" i="10"/>
  <c r="I1223" i="10"/>
  <c r="L1222" i="10"/>
  <c r="I1222" i="10"/>
  <c r="L1221" i="10"/>
  <c r="I1221" i="10"/>
  <c r="L1220" i="10"/>
  <c r="I1220" i="10"/>
  <c r="L1219" i="10"/>
  <c r="I1219" i="10"/>
  <c r="L1218" i="10"/>
  <c r="I1218" i="10"/>
  <c r="L1217" i="10"/>
  <c r="I1217" i="10"/>
  <c r="L1216" i="10"/>
  <c r="I1216" i="10"/>
  <c r="L1215" i="10"/>
  <c r="I1215" i="10"/>
  <c r="L1214" i="10"/>
  <c r="I1214" i="10"/>
  <c r="L1213" i="10"/>
  <c r="I1213" i="10"/>
  <c r="L1212" i="10"/>
  <c r="I1212" i="10"/>
  <c r="L1211" i="10"/>
  <c r="I1211" i="10"/>
  <c r="L1210" i="10"/>
  <c r="I1210" i="10"/>
  <c r="L1209" i="10"/>
  <c r="I1209" i="10"/>
  <c r="L1208" i="10"/>
  <c r="I1208" i="10"/>
  <c r="L1207" i="10"/>
  <c r="I1207" i="10"/>
  <c r="L1206" i="10"/>
  <c r="I1206" i="10"/>
  <c r="L1205" i="10"/>
  <c r="I1205" i="10"/>
  <c r="L1204" i="10"/>
  <c r="I1204" i="10"/>
  <c r="L1203" i="10"/>
  <c r="I1203" i="10"/>
  <c r="L1202" i="10"/>
  <c r="I1202" i="10"/>
  <c r="L1201" i="10"/>
  <c r="I1201" i="10"/>
  <c r="L1200" i="10"/>
  <c r="I1200" i="10"/>
  <c r="L1199" i="10"/>
  <c r="I1199" i="10"/>
  <c r="L1198" i="10"/>
  <c r="I1198" i="10"/>
  <c r="L1197" i="10"/>
  <c r="I1197" i="10"/>
  <c r="L1196" i="10"/>
  <c r="I1196" i="10"/>
  <c r="L1195" i="10"/>
  <c r="I1195" i="10"/>
  <c r="L1194" i="10"/>
  <c r="I1194" i="10"/>
  <c r="L1193" i="10"/>
  <c r="I1193" i="10"/>
  <c r="L1192" i="10"/>
  <c r="I1192" i="10"/>
  <c r="L1191" i="10"/>
  <c r="I1191" i="10"/>
  <c r="L1190" i="10"/>
  <c r="I1190" i="10"/>
  <c r="L1189" i="10"/>
  <c r="I1189" i="10"/>
  <c r="L1188" i="10"/>
  <c r="I1188" i="10"/>
  <c r="L1187" i="10"/>
  <c r="I1187" i="10"/>
  <c r="L1186" i="10"/>
  <c r="I1186" i="10"/>
  <c r="L1185" i="10"/>
  <c r="I1185" i="10"/>
  <c r="L1184" i="10"/>
  <c r="I1184" i="10"/>
  <c r="L1183" i="10"/>
  <c r="I1183" i="10"/>
  <c r="L1182" i="10"/>
  <c r="I1182" i="10"/>
  <c r="L1181" i="10"/>
  <c r="I1181" i="10"/>
  <c r="L1180" i="10"/>
  <c r="I1180" i="10"/>
  <c r="L1179" i="10"/>
  <c r="I1179" i="10"/>
  <c r="L1178" i="10"/>
  <c r="I1178" i="10"/>
  <c r="L1177" i="10"/>
  <c r="I1177" i="10"/>
  <c r="L1176" i="10"/>
  <c r="I1176" i="10"/>
  <c r="L1175" i="10"/>
  <c r="I1175" i="10"/>
  <c r="L1174" i="10"/>
  <c r="I1174" i="10"/>
  <c r="L1173" i="10"/>
  <c r="I1173" i="10"/>
  <c r="L1172" i="10"/>
  <c r="I1172" i="10"/>
  <c r="L1171" i="10"/>
  <c r="I1171" i="10"/>
  <c r="L1170" i="10"/>
  <c r="I1170" i="10"/>
  <c r="L1169" i="10"/>
  <c r="I1169" i="10"/>
  <c r="L1168" i="10"/>
  <c r="I1168" i="10"/>
  <c r="L1167" i="10"/>
  <c r="I1167" i="10"/>
  <c r="L1166" i="10"/>
  <c r="I1166" i="10"/>
  <c r="L1165" i="10"/>
  <c r="I1165" i="10"/>
  <c r="L1164" i="10"/>
  <c r="I1164" i="10"/>
  <c r="L1163" i="10"/>
  <c r="I1163" i="10"/>
  <c r="L1162" i="10"/>
  <c r="I1162" i="10"/>
  <c r="L1161" i="10"/>
  <c r="I1161" i="10"/>
  <c r="L1160" i="10"/>
  <c r="I1160" i="10"/>
  <c r="L1159" i="10"/>
  <c r="I1159" i="10"/>
  <c r="L1158" i="10"/>
  <c r="I1158" i="10"/>
  <c r="L1157" i="10"/>
  <c r="I1157" i="10"/>
  <c r="L1156" i="10"/>
  <c r="I1156" i="10"/>
  <c r="L1155" i="10"/>
  <c r="I1155" i="10"/>
  <c r="L1154" i="10"/>
  <c r="I1154" i="10"/>
  <c r="L1153" i="10"/>
  <c r="I1153" i="10"/>
  <c r="L1152" i="10"/>
  <c r="I1152" i="10"/>
  <c r="L1151" i="10"/>
  <c r="I1151" i="10"/>
  <c r="L1150" i="10"/>
  <c r="I1150" i="10"/>
  <c r="L1149" i="10"/>
  <c r="I1149" i="10"/>
  <c r="L1148" i="10"/>
  <c r="I1148" i="10"/>
  <c r="L1147" i="10"/>
  <c r="I1147" i="10"/>
  <c r="L1146" i="10"/>
  <c r="I1146" i="10"/>
  <c r="L1145" i="10"/>
  <c r="I1145" i="10"/>
  <c r="L1144" i="10"/>
  <c r="I1144" i="10"/>
  <c r="L1143" i="10"/>
  <c r="I1143" i="10"/>
  <c r="L1142" i="10"/>
  <c r="I1142" i="10"/>
  <c r="L1141" i="10"/>
  <c r="I1141" i="10"/>
  <c r="L1140" i="10"/>
  <c r="I1140" i="10"/>
  <c r="L1139" i="10"/>
  <c r="I1139" i="10"/>
  <c r="L1138" i="10"/>
  <c r="I1138" i="10"/>
  <c r="L1137" i="10"/>
  <c r="I1137" i="10"/>
  <c r="L1136" i="10"/>
  <c r="I1136" i="10"/>
  <c r="L1135" i="10"/>
  <c r="I1135" i="10"/>
  <c r="L1134" i="10"/>
  <c r="I1134" i="10"/>
  <c r="L1133" i="10"/>
  <c r="I1133" i="10"/>
  <c r="L1132" i="10"/>
  <c r="I1132" i="10"/>
  <c r="L1131" i="10"/>
  <c r="I1131" i="10"/>
  <c r="L1130" i="10"/>
  <c r="I1130" i="10"/>
  <c r="L1129" i="10"/>
  <c r="I1129" i="10"/>
  <c r="L1128" i="10"/>
  <c r="I1128" i="10"/>
  <c r="L1127" i="10"/>
  <c r="I1127" i="10"/>
  <c r="L1126" i="10"/>
  <c r="I1126" i="10"/>
  <c r="L1125" i="10"/>
  <c r="I1125" i="10"/>
  <c r="L1124" i="10"/>
  <c r="I1124" i="10"/>
  <c r="L1123" i="10"/>
  <c r="I1123" i="10"/>
  <c r="L1122" i="10"/>
  <c r="I1122" i="10"/>
  <c r="L1121" i="10"/>
  <c r="I1121" i="10"/>
  <c r="L1120" i="10"/>
  <c r="I1120" i="10"/>
  <c r="L1119" i="10"/>
  <c r="I1119" i="10"/>
  <c r="L1118" i="10"/>
  <c r="I1118" i="10"/>
  <c r="L1117" i="10"/>
  <c r="I1117" i="10"/>
  <c r="L1116" i="10"/>
  <c r="I1116" i="10"/>
  <c r="L1115" i="10"/>
  <c r="I1115" i="10"/>
  <c r="L1114" i="10"/>
  <c r="I1114" i="10"/>
  <c r="L1113" i="10"/>
  <c r="I1113" i="10"/>
  <c r="L1112" i="10"/>
  <c r="I1112" i="10"/>
  <c r="L1111" i="10"/>
  <c r="I1111" i="10"/>
  <c r="L1110" i="10"/>
  <c r="I1110" i="10"/>
  <c r="L1109" i="10"/>
  <c r="I1109" i="10"/>
  <c r="L1108" i="10"/>
  <c r="I1108" i="10"/>
  <c r="L1107" i="10"/>
  <c r="I1107" i="10"/>
  <c r="L1106" i="10"/>
  <c r="I1106" i="10"/>
  <c r="L1105" i="10"/>
  <c r="I1105" i="10"/>
  <c r="L1104" i="10"/>
  <c r="I1104" i="10"/>
  <c r="L1103" i="10"/>
  <c r="I1103" i="10"/>
  <c r="L1102" i="10"/>
  <c r="I1102" i="10"/>
  <c r="L1101" i="10"/>
  <c r="I1101" i="10"/>
  <c r="L1100" i="10"/>
  <c r="I1100" i="10"/>
  <c r="L1099" i="10"/>
  <c r="I1099" i="10"/>
  <c r="L1098" i="10"/>
  <c r="I1098" i="10"/>
  <c r="L1097" i="10"/>
  <c r="I1097" i="10"/>
  <c r="L1096" i="10"/>
  <c r="I1096" i="10"/>
  <c r="L1095" i="10"/>
  <c r="I1095" i="10"/>
  <c r="L1094" i="10"/>
  <c r="I1094" i="10"/>
  <c r="L1093" i="10"/>
  <c r="I1093" i="10"/>
  <c r="L1092" i="10"/>
  <c r="I1092" i="10"/>
  <c r="L1091" i="10"/>
  <c r="I1091" i="10"/>
  <c r="L1090" i="10"/>
  <c r="I1090" i="10"/>
  <c r="L1089" i="10"/>
  <c r="I1089" i="10"/>
  <c r="L1088" i="10"/>
  <c r="I1088" i="10"/>
  <c r="L1087" i="10"/>
  <c r="I1087" i="10"/>
  <c r="L1086" i="10"/>
  <c r="I1086" i="10"/>
  <c r="L1085" i="10"/>
  <c r="I1085" i="10"/>
  <c r="L1084" i="10"/>
  <c r="I1084" i="10"/>
  <c r="L1083" i="10"/>
  <c r="I1083" i="10"/>
  <c r="L1082" i="10"/>
  <c r="I1082" i="10"/>
  <c r="L1081" i="10"/>
  <c r="I1081" i="10"/>
  <c r="L1080" i="10"/>
  <c r="I1080" i="10"/>
  <c r="L1079" i="10"/>
  <c r="I1079" i="10"/>
  <c r="L1078" i="10"/>
  <c r="I1078" i="10"/>
  <c r="L1077" i="10"/>
  <c r="I1077" i="10"/>
  <c r="L1076" i="10"/>
  <c r="I1076" i="10"/>
  <c r="L1075" i="10"/>
  <c r="I1075" i="10"/>
  <c r="L1074" i="10"/>
  <c r="I1074" i="10"/>
  <c r="L1073" i="10"/>
  <c r="I1073" i="10"/>
  <c r="L1072" i="10"/>
  <c r="I1072" i="10"/>
  <c r="L1071" i="10"/>
  <c r="I1071" i="10"/>
  <c r="L1070" i="10"/>
  <c r="I1070" i="10"/>
  <c r="L1069" i="10"/>
  <c r="I1069" i="10"/>
  <c r="L1068" i="10"/>
  <c r="I1068" i="10"/>
  <c r="L1067" i="10"/>
  <c r="I1067" i="10"/>
  <c r="L1066" i="10"/>
  <c r="I1066" i="10"/>
  <c r="L1065" i="10"/>
  <c r="I1065" i="10"/>
  <c r="L1064" i="10"/>
  <c r="I1064" i="10"/>
  <c r="L1063" i="10"/>
  <c r="I1063" i="10"/>
  <c r="L1062" i="10"/>
  <c r="I1062" i="10"/>
  <c r="L1061" i="10"/>
  <c r="I1061" i="10"/>
  <c r="L1060" i="10"/>
  <c r="I1060" i="10"/>
  <c r="L1059" i="10"/>
  <c r="I1059" i="10"/>
  <c r="L1058" i="10"/>
  <c r="I1058" i="10"/>
  <c r="L1057" i="10"/>
  <c r="I1057" i="10"/>
  <c r="L1056" i="10"/>
  <c r="I1056" i="10"/>
  <c r="L1055" i="10"/>
  <c r="I1055" i="10"/>
  <c r="L1054" i="10"/>
  <c r="I1054" i="10"/>
  <c r="L1053" i="10"/>
  <c r="I1053" i="10"/>
  <c r="L1052" i="10"/>
  <c r="I1052" i="10"/>
  <c r="L1051" i="10"/>
  <c r="I1051" i="10"/>
  <c r="L1050" i="10"/>
  <c r="I1050" i="10"/>
  <c r="L1049" i="10"/>
  <c r="I1049" i="10"/>
  <c r="L1048" i="10"/>
  <c r="I1048" i="10"/>
  <c r="L1047" i="10"/>
  <c r="I1047" i="10"/>
  <c r="L1046" i="10"/>
  <c r="I1046" i="10"/>
  <c r="L1045" i="10"/>
  <c r="I1045" i="10"/>
  <c r="L1044" i="10"/>
  <c r="I1044" i="10"/>
  <c r="L1043" i="10"/>
  <c r="I1043" i="10"/>
  <c r="L1042" i="10"/>
  <c r="I1042" i="10"/>
  <c r="L1041" i="10"/>
  <c r="I1041" i="10"/>
  <c r="L1040" i="10"/>
  <c r="I1040" i="10"/>
  <c r="L1039" i="10"/>
  <c r="I1039" i="10"/>
  <c r="L1038" i="10"/>
  <c r="I1038" i="10"/>
  <c r="L1037" i="10"/>
  <c r="I1037" i="10"/>
  <c r="L1036" i="10"/>
  <c r="I1036" i="10"/>
  <c r="L1035" i="10"/>
  <c r="I1035" i="10"/>
  <c r="L1034" i="10"/>
  <c r="I1034" i="10"/>
  <c r="L1033" i="10"/>
  <c r="I1033" i="10"/>
  <c r="L1032" i="10"/>
  <c r="I1032" i="10"/>
  <c r="L1031" i="10"/>
  <c r="I1031" i="10"/>
  <c r="L1030" i="10"/>
  <c r="I1030" i="10"/>
  <c r="L1029" i="10"/>
  <c r="I1029" i="10"/>
  <c r="L1028" i="10"/>
  <c r="I1028" i="10"/>
  <c r="L1027" i="10"/>
  <c r="I1027" i="10"/>
  <c r="L1026" i="10"/>
  <c r="I1026" i="10"/>
  <c r="L1025" i="10"/>
  <c r="I1025" i="10"/>
  <c r="L1024" i="10"/>
  <c r="I1024" i="10"/>
  <c r="L1023" i="10"/>
  <c r="I1023" i="10"/>
  <c r="L1022" i="10"/>
  <c r="I1022" i="10"/>
  <c r="L1021" i="10"/>
  <c r="I1021" i="10"/>
  <c r="L1020" i="10"/>
  <c r="I1020" i="10"/>
  <c r="L1019" i="10"/>
  <c r="I1019" i="10"/>
  <c r="L1018" i="10"/>
  <c r="I1018" i="10"/>
  <c r="L1017" i="10"/>
  <c r="I1017" i="10"/>
  <c r="L1016" i="10"/>
  <c r="I1016" i="10"/>
  <c r="L1015" i="10"/>
  <c r="I1015" i="10"/>
  <c r="L1014" i="10"/>
  <c r="I1014" i="10"/>
  <c r="L1013" i="10"/>
  <c r="I1013" i="10"/>
  <c r="L1012" i="10"/>
  <c r="I1012" i="10"/>
  <c r="L1011" i="10"/>
  <c r="I1011" i="10"/>
  <c r="L1010" i="10"/>
  <c r="I1010" i="10"/>
  <c r="L1009" i="10"/>
  <c r="I1009" i="10"/>
  <c r="L1008" i="10"/>
  <c r="I1008" i="10"/>
  <c r="L1007" i="10"/>
  <c r="I1007" i="10"/>
  <c r="L1006" i="10"/>
  <c r="I1006" i="10"/>
  <c r="L1005" i="10"/>
  <c r="I1005" i="10"/>
  <c r="L1004" i="10"/>
  <c r="I1004" i="10"/>
  <c r="L1003" i="10"/>
  <c r="I1003" i="10"/>
  <c r="L1002" i="10"/>
  <c r="I1002" i="10"/>
  <c r="L1001" i="10"/>
  <c r="I1001" i="10"/>
  <c r="L1000" i="10"/>
  <c r="I1000" i="10"/>
  <c r="L999" i="10"/>
  <c r="I999" i="10"/>
  <c r="L998" i="10"/>
  <c r="I998" i="10"/>
  <c r="L997" i="10"/>
  <c r="I997" i="10"/>
  <c r="L996" i="10"/>
  <c r="I996" i="10"/>
  <c r="L995" i="10"/>
  <c r="I995" i="10"/>
  <c r="L994" i="10"/>
  <c r="I994" i="10"/>
  <c r="L993" i="10"/>
  <c r="I993" i="10"/>
  <c r="L992" i="10"/>
  <c r="I992" i="10"/>
  <c r="L991" i="10"/>
  <c r="I991" i="10"/>
  <c r="L990" i="10"/>
  <c r="I990" i="10"/>
  <c r="L989" i="10"/>
  <c r="I989" i="10"/>
  <c r="L988" i="10"/>
  <c r="I988" i="10"/>
  <c r="L987" i="10"/>
  <c r="I987" i="10"/>
  <c r="L986" i="10"/>
  <c r="I986" i="10"/>
  <c r="L985" i="10"/>
  <c r="I985" i="10"/>
  <c r="L984" i="10"/>
  <c r="I984" i="10"/>
  <c r="L983" i="10"/>
  <c r="I983" i="10"/>
  <c r="L982" i="10"/>
  <c r="I982" i="10"/>
  <c r="L981" i="10"/>
  <c r="I981" i="10"/>
  <c r="L980" i="10"/>
  <c r="I980" i="10"/>
  <c r="L979" i="10"/>
  <c r="I979" i="10"/>
  <c r="L978" i="10"/>
  <c r="I978" i="10"/>
  <c r="L977" i="10"/>
  <c r="I977" i="10"/>
  <c r="L976" i="10"/>
  <c r="I976" i="10"/>
  <c r="L975" i="10"/>
  <c r="I975" i="10"/>
  <c r="L974" i="10"/>
  <c r="I974" i="10"/>
  <c r="L973" i="10"/>
  <c r="I973" i="10"/>
  <c r="L972" i="10"/>
  <c r="I972" i="10"/>
  <c r="L971" i="10"/>
  <c r="I971" i="10"/>
  <c r="L970" i="10"/>
  <c r="I970" i="10"/>
  <c r="L969" i="10"/>
  <c r="I969" i="10"/>
  <c r="L968" i="10"/>
  <c r="I968" i="10"/>
  <c r="L967" i="10"/>
  <c r="I967" i="10"/>
  <c r="L966" i="10"/>
  <c r="I966" i="10"/>
  <c r="L965" i="10"/>
  <c r="I965" i="10"/>
  <c r="L964" i="10"/>
  <c r="I964" i="10"/>
  <c r="L963" i="10"/>
  <c r="I963" i="10"/>
  <c r="L962" i="10"/>
  <c r="I962" i="10"/>
  <c r="L961" i="10"/>
  <c r="I961" i="10"/>
  <c r="L960" i="10"/>
  <c r="I960" i="10"/>
  <c r="L959" i="10"/>
  <c r="I959" i="10"/>
  <c r="L958" i="10"/>
  <c r="I958" i="10"/>
  <c r="L957" i="10"/>
  <c r="I957" i="10"/>
  <c r="L956" i="10"/>
  <c r="I956" i="10"/>
  <c r="L955" i="10"/>
  <c r="I955" i="10"/>
  <c r="L954" i="10"/>
  <c r="I954" i="10"/>
  <c r="L953" i="10"/>
  <c r="I953" i="10"/>
  <c r="L952" i="10"/>
  <c r="I952" i="10"/>
  <c r="L951" i="10"/>
  <c r="I951" i="10"/>
  <c r="L950" i="10"/>
  <c r="I950" i="10"/>
  <c r="L949" i="10"/>
  <c r="I949" i="10"/>
  <c r="L948" i="10"/>
  <c r="I948" i="10"/>
  <c r="L947" i="10"/>
  <c r="I947" i="10"/>
  <c r="L946" i="10"/>
  <c r="I946" i="10"/>
  <c r="L945" i="10"/>
  <c r="I945" i="10"/>
  <c r="L944" i="10"/>
  <c r="I944" i="10"/>
  <c r="L943" i="10"/>
  <c r="I943" i="10"/>
  <c r="L942" i="10"/>
  <c r="I942" i="10"/>
  <c r="L941" i="10"/>
  <c r="I941" i="10"/>
  <c r="L940" i="10"/>
  <c r="I940" i="10"/>
  <c r="L939" i="10"/>
  <c r="I939" i="10"/>
  <c r="L938" i="10"/>
  <c r="I938" i="10"/>
  <c r="L937" i="10"/>
  <c r="I937" i="10"/>
  <c r="L936" i="10"/>
  <c r="I936" i="10"/>
  <c r="L935" i="10"/>
  <c r="I935" i="10"/>
  <c r="L934" i="10"/>
  <c r="I934" i="10"/>
  <c r="L933" i="10"/>
  <c r="I933" i="10"/>
  <c r="L932" i="10"/>
  <c r="I932" i="10"/>
  <c r="L931" i="10"/>
  <c r="I931" i="10"/>
  <c r="L930" i="10"/>
  <c r="I930" i="10"/>
  <c r="L929" i="10"/>
  <c r="I929" i="10"/>
  <c r="L928" i="10"/>
  <c r="I928" i="10"/>
  <c r="L927" i="10"/>
  <c r="I927" i="10"/>
  <c r="L926" i="10"/>
  <c r="I926" i="10"/>
  <c r="L925" i="10"/>
  <c r="I925" i="10"/>
  <c r="L924" i="10"/>
  <c r="I924" i="10"/>
  <c r="L923" i="10"/>
  <c r="I923" i="10"/>
  <c r="L922" i="10"/>
  <c r="I922" i="10"/>
  <c r="L921" i="10"/>
  <c r="I921" i="10"/>
  <c r="L920" i="10"/>
  <c r="I920" i="10"/>
  <c r="L919" i="10"/>
  <c r="I919" i="10"/>
  <c r="L918" i="10"/>
  <c r="I918" i="10"/>
  <c r="L917" i="10"/>
  <c r="I917" i="10"/>
  <c r="L916" i="10"/>
  <c r="I916" i="10"/>
  <c r="L915" i="10"/>
  <c r="I915" i="10"/>
  <c r="L914" i="10"/>
  <c r="I914" i="10"/>
  <c r="L913" i="10"/>
  <c r="I913" i="10"/>
  <c r="L912" i="10"/>
  <c r="I912" i="10"/>
  <c r="L911" i="10"/>
  <c r="I911" i="10"/>
  <c r="L910" i="10"/>
  <c r="I910" i="10"/>
  <c r="L909" i="10"/>
  <c r="I909" i="10"/>
  <c r="L908" i="10"/>
  <c r="I908" i="10"/>
  <c r="L907" i="10"/>
  <c r="I907" i="10"/>
  <c r="L906" i="10"/>
  <c r="I906" i="10"/>
  <c r="L905" i="10"/>
  <c r="I905" i="10"/>
  <c r="L904" i="10"/>
  <c r="I904" i="10"/>
  <c r="L903" i="10"/>
  <c r="I903" i="10"/>
  <c r="L902" i="10"/>
  <c r="I902" i="10"/>
  <c r="L901" i="10"/>
  <c r="I901" i="10"/>
  <c r="L900" i="10"/>
  <c r="I900" i="10"/>
  <c r="L899" i="10"/>
  <c r="I899" i="10"/>
  <c r="L898" i="10"/>
  <c r="I898" i="10"/>
  <c r="L897" i="10"/>
  <c r="I897" i="10"/>
  <c r="L896" i="10"/>
  <c r="I896" i="10"/>
  <c r="L895" i="10"/>
  <c r="I895" i="10"/>
  <c r="L894" i="10"/>
  <c r="I894" i="10"/>
  <c r="L893" i="10"/>
  <c r="I893" i="10"/>
  <c r="L892" i="10"/>
  <c r="I892" i="10"/>
  <c r="L891" i="10"/>
  <c r="I891" i="10"/>
  <c r="L890" i="10"/>
  <c r="I890" i="10"/>
  <c r="L889" i="10"/>
  <c r="I889" i="10"/>
  <c r="L888" i="10"/>
  <c r="I888" i="10"/>
  <c r="L887" i="10"/>
  <c r="I887" i="10"/>
  <c r="L886" i="10"/>
  <c r="I886" i="10"/>
  <c r="L885" i="10"/>
  <c r="I885" i="10"/>
  <c r="L884" i="10"/>
  <c r="I884" i="10"/>
  <c r="L883" i="10"/>
  <c r="I883" i="10"/>
  <c r="L882" i="10"/>
  <c r="I882" i="10"/>
  <c r="L881" i="10"/>
  <c r="I881" i="10"/>
  <c r="L880" i="10"/>
  <c r="I880" i="10"/>
  <c r="L879" i="10"/>
  <c r="I879" i="10"/>
  <c r="L878" i="10"/>
  <c r="I878" i="10"/>
  <c r="L877" i="10"/>
  <c r="I877" i="10"/>
  <c r="L876" i="10"/>
  <c r="I876" i="10"/>
  <c r="L875" i="10"/>
  <c r="I875" i="10"/>
  <c r="L874" i="10"/>
  <c r="I874" i="10"/>
  <c r="L873" i="10"/>
  <c r="I873" i="10"/>
  <c r="L872" i="10"/>
  <c r="I872" i="10"/>
  <c r="L871" i="10"/>
  <c r="I871" i="10"/>
  <c r="L870" i="10"/>
  <c r="I870" i="10"/>
  <c r="L869" i="10"/>
  <c r="I869" i="10"/>
  <c r="L868" i="10"/>
  <c r="I868" i="10"/>
  <c r="L867" i="10"/>
  <c r="I867" i="10"/>
  <c r="L866" i="10"/>
  <c r="I866" i="10"/>
  <c r="L865" i="10"/>
  <c r="I865" i="10"/>
  <c r="L864" i="10"/>
  <c r="I864" i="10"/>
  <c r="L863" i="10"/>
  <c r="I863" i="10"/>
  <c r="L862" i="10"/>
  <c r="I862" i="10"/>
  <c r="L861" i="10"/>
  <c r="I861" i="10"/>
  <c r="L860" i="10"/>
  <c r="I860" i="10"/>
  <c r="L859" i="10"/>
  <c r="I859" i="10"/>
  <c r="L858" i="10"/>
  <c r="I858" i="10"/>
  <c r="L857" i="10"/>
  <c r="I857" i="10"/>
  <c r="L856" i="10"/>
  <c r="I856" i="10"/>
  <c r="L855" i="10"/>
  <c r="I855" i="10"/>
  <c r="L854" i="10"/>
  <c r="I854" i="10"/>
  <c r="L853" i="10"/>
  <c r="I853" i="10"/>
  <c r="L852" i="10"/>
  <c r="I852" i="10"/>
  <c r="L851" i="10"/>
  <c r="I851" i="10"/>
  <c r="L850" i="10"/>
  <c r="I850" i="10"/>
  <c r="L849" i="10"/>
  <c r="I849" i="10"/>
  <c r="L848" i="10"/>
  <c r="I848" i="10"/>
  <c r="L847" i="10"/>
  <c r="I847" i="10"/>
  <c r="L846" i="10"/>
  <c r="I846" i="10"/>
  <c r="L845" i="10"/>
  <c r="I845" i="10"/>
  <c r="L844" i="10"/>
  <c r="I844" i="10"/>
  <c r="L843" i="10"/>
  <c r="I843" i="10"/>
  <c r="L842" i="10"/>
  <c r="I842" i="10"/>
  <c r="L841" i="10"/>
  <c r="I841" i="10"/>
  <c r="L840" i="10"/>
  <c r="I840" i="10"/>
  <c r="L839" i="10"/>
  <c r="I839" i="10"/>
  <c r="L838" i="10"/>
  <c r="I838" i="10"/>
  <c r="L837" i="10"/>
  <c r="I837" i="10"/>
  <c r="L836" i="10"/>
  <c r="I836" i="10"/>
  <c r="L835" i="10"/>
  <c r="I835" i="10"/>
  <c r="L834" i="10"/>
  <c r="I834" i="10"/>
  <c r="L833" i="10"/>
  <c r="I833" i="10"/>
  <c r="L832" i="10"/>
  <c r="I832" i="10"/>
  <c r="L831" i="10"/>
  <c r="I831" i="10"/>
  <c r="L830" i="10"/>
  <c r="I830" i="10"/>
  <c r="L829" i="10"/>
  <c r="I829" i="10"/>
  <c r="L828" i="10"/>
  <c r="I828" i="10"/>
  <c r="L827" i="10"/>
  <c r="I827" i="10"/>
  <c r="L826" i="10"/>
  <c r="I826" i="10"/>
  <c r="L825" i="10"/>
  <c r="I825" i="10"/>
  <c r="L824" i="10"/>
  <c r="I824" i="10"/>
  <c r="L823" i="10"/>
  <c r="I823" i="10"/>
  <c r="L822" i="10"/>
  <c r="I822" i="10"/>
  <c r="L821" i="10"/>
  <c r="I821" i="10"/>
  <c r="L820" i="10"/>
  <c r="I820" i="10"/>
  <c r="L819" i="10"/>
  <c r="I819" i="10"/>
  <c r="L818" i="10"/>
  <c r="I818" i="10"/>
  <c r="L817" i="10"/>
  <c r="I817" i="10"/>
  <c r="L816" i="10"/>
  <c r="I816" i="10"/>
  <c r="L815" i="10"/>
  <c r="I815" i="10"/>
  <c r="L814" i="10"/>
  <c r="I814" i="10"/>
  <c r="L813" i="10"/>
  <c r="I813" i="10"/>
  <c r="L812" i="10"/>
  <c r="I812" i="10"/>
  <c r="L811" i="10"/>
  <c r="I811" i="10"/>
  <c r="L810" i="10"/>
  <c r="I810" i="10"/>
  <c r="L809" i="10"/>
  <c r="I809" i="10"/>
  <c r="L808" i="10"/>
  <c r="I808" i="10"/>
  <c r="L807" i="10"/>
  <c r="I807" i="10"/>
  <c r="L806" i="10"/>
  <c r="I806" i="10"/>
  <c r="L805" i="10"/>
  <c r="I805" i="10"/>
  <c r="L804" i="10"/>
  <c r="I804" i="10"/>
  <c r="L803" i="10"/>
  <c r="I803" i="10"/>
  <c r="L802" i="10"/>
  <c r="I802" i="10"/>
  <c r="L801" i="10"/>
  <c r="I801" i="10"/>
  <c r="L800" i="10"/>
  <c r="I800" i="10"/>
  <c r="L799" i="10"/>
  <c r="I799" i="10"/>
  <c r="L798" i="10"/>
  <c r="I798" i="10"/>
  <c r="L797" i="10"/>
  <c r="I797" i="10"/>
  <c r="L796" i="10"/>
  <c r="I796" i="10"/>
  <c r="L795" i="10"/>
  <c r="I795" i="10"/>
  <c r="L794" i="10"/>
  <c r="I794" i="10"/>
  <c r="L793" i="10"/>
  <c r="I793" i="10"/>
  <c r="L792" i="10"/>
  <c r="I792" i="10"/>
  <c r="L791" i="10"/>
  <c r="I791" i="10"/>
  <c r="L790" i="10"/>
  <c r="I790" i="10"/>
  <c r="L789" i="10"/>
  <c r="I789" i="10"/>
  <c r="L788" i="10"/>
  <c r="I788" i="10"/>
  <c r="L787" i="10"/>
  <c r="I787" i="10"/>
  <c r="L786" i="10"/>
  <c r="I786" i="10"/>
  <c r="L785" i="10"/>
  <c r="I785" i="10"/>
  <c r="L784" i="10"/>
  <c r="I784" i="10"/>
  <c r="L783" i="10"/>
  <c r="I783" i="10"/>
  <c r="L782" i="10"/>
  <c r="I782" i="10"/>
  <c r="L781" i="10"/>
  <c r="I781" i="10"/>
  <c r="L780" i="10"/>
  <c r="I780" i="10"/>
  <c r="L779" i="10"/>
  <c r="I779" i="10"/>
  <c r="L778" i="10"/>
  <c r="I778" i="10"/>
  <c r="L777" i="10"/>
  <c r="I777" i="10"/>
  <c r="L776" i="10"/>
  <c r="I776" i="10"/>
  <c r="L775" i="10"/>
  <c r="I775" i="10"/>
  <c r="L774" i="10"/>
  <c r="I774" i="10"/>
  <c r="L773" i="10"/>
  <c r="I773" i="10"/>
  <c r="L772" i="10"/>
  <c r="I772" i="10"/>
  <c r="L771" i="10"/>
  <c r="I771" i="10"/>
  <c r="L770" i="10"/>
  <c r="I770" i="10"/>
  <c r="L769" i="10"/>
  <c r="I769" i="10"/>
  <c r="L768" i="10"/>
  <c r="I768" i="10"/>
  <c r="L767" i="10"/>
  <c r="I767" i="10"/>
  <c r="L766" i="10"/>
  <c r="I766" i="10"/>
  <c r="L765" i="10"/>
  <c r="I765" i="10"/>
  <c r="L764" i="10"/>
  <c r="I764" i="10"/>
  <c r="L763" i="10"/>
  <c r="I763" i="10"/>
  <c r="L762" i="10"/>
  <c r="I762" i="10"/>
  <c r="L761" i="10"/>
  <c r="I761" i="10"/>
  <c r="L760" i="10"/>
  <c r="I760" i="10"/>
  <c r="L759" i="10"/>
  <c r="I759" i="10"/>
  <c r="L758" i="10"/>
  <c r="I758" i="10"/>
  <c r="L757" i="10"/>
  <c r="I757" i="10"/>
  <c r="L756" i="10"/>
  <c r="I756" i="10"/>
  <c r="L755" i="10"/>
  <c r="I755" i="10"/>
  <c r="L754" i="10"/>
  <c r="I754" i="10"/>
  <c r="L753" i="10"/>
  <c r="I753" i="10"/>
  <c r="L752" i="10"/>
  <c r="I752" i="10"/>
  <c r="L751" i="10"/>
  <c r="I751" i="10"/>
  <c r="L750" i="10"/>
  <c r="I750" i="10"/>
  <c r="L749" i="10"/>
  <c r="I749" i="10"/>
  <c r="L748" i="10"/>
  <c r="I748" i="10"/>
  <c r="L747" i="10"/>
  <c r="I747" i="10"/>
  <c r="L746" i="10"/>
  <c r="I746" i="10"/>
  <c r="L745" i="10"/>
  <c r="I745" i="10"/>
  <c r="L744" i="10"/>
  <c r="I744" i="10"/>
  <c r="L743" i="10"/>
  <c r="I743" i="10"/>
  <c r="L742" i="10"/>
  <c r="I742" i="10"/>
  <c r="L741" i="10"/>
  <c r="I741" i="10"/>
  <c r="L740" i="10"/>
  <c r="I740" i="10"/>
  <c r="L739" i="10"/>
  <c r="I739" i="10"/>
  <c r="L738" i="10"/>
  <c r="I738" i="10"/>
  <c r="L737" i="10"/>
  <c r="I737" i="10"/>
  <c r="L736" i="10"/>
  <c r="I736" i="10"/>
  <c r="L735" i="10"/>
  <c r="I735" i="10"/>
  <c r="L734" i="10"/>
  <c r="I734" i="10"/>
  <c r="L733" i="10"/>
  <c r="I733" i="10"/>
  <c r="L732" i="10"/>
  <c r="I732" i="10"/>
  <c r="L731" i="10"/>
  <c r="I731" i="10"/>
  <c r="L730" i="10"/>
  <c r="I730" i="10"/>
  <c r="L729" i="10"/>
  <c r="I729" i="10"/>
  <c r="L728" i="10"/>
  <c r="I728" i="10"/>
  <c r="L727" i="10"/>
  <c r="I727" i="10"/>
  <c r="L726" i="10"/>
  <c r="I726" i="10"/>
  <c r="L725" i="10"/>
  <c r="I725" i="10"/>
  <c r="L724" i="10"/>
  <c r="I724" i="10"/>
  <c r="L723" i="10"/>
  <c r="I723" i="10"/>
  <c r="L722" i="10"/>
  <c r="I722" i="10"/>
  <c r="L721" i="10"/>
  <c r="I721" i="10"/>
  <c r="L720" i="10"/>
  <c r="I720" i="10"/>
  <c r="L719" i="10"/>
  <c r="I719" i="10"/>
  <c r="L718" i="10"/>
  <c r="I718" i="10"/>
  <c r="L717" i="10"/>
  <c r="I717" i="10"/>
  <c r="L716" i="10"/>
  <c r="I716" i="10"/>
  <c r="L715" i="10"/>
  <c r="I715" i="10"/>
  <c r="L714" i="10"/>
  <c r="I714" i="10"/>
  <c r="L713" i="10"/>
  <c r="I713" i="10"/>
  <c r="L712" i="10"/>
  <c r="I712" i="10"/>
  <c r="L711" i="10"/>
  <c r="I711" i="10"/>
  <c r="L710" i="10"/>
  <c r="I710" i="10"/>
  <c r="L709" i="10"/>
  <c r="I709" i="10"/>
  <c r="L708" i="10"/>
  <c r="I708" i="10"/>
  <c r="L707" i="10"/>
  <c r="I707" i="10"/>
  <c r="L706" i="10"/>
  <c r="I706" i="10"/>
  <c r="L705" i="10"/>
  <c r="I705" i="10"/>
  <c r="L704" i="10"/>
  <c r="I704" i="10"/>
  <c r="L703" i="10"/>
  <c r="I703" i="10"/>
  <c r="L702" i="10"/>
  <c r="I702" i="10"/>
  <c r="L701" i="10"/>
  <c r="I701" i="10"/>
  <c r="L700" i="10"/>
  <c r="I700" i="10"/>
  <c r="L699" i="10"/>
  <c r="I699" i="10"/>
  <c r="L698" i="10"/>
  <c r="I698" i="10"/>
  <c r="L697" i="10"/>
  <c r="I697" i="10"/>
  <c r="L696" i="10"/>
  <c r="I696" i="10"/>
  <c r="L695" i="10"/>
  <c r="I695" i="10"/>
  <c r="L694" i="10"/>
  <c r="I694" i="10"/>
  <c r="L693" i="10"/>
  <c r="I693" i="10"/>
  <c r="L692" i="10"/>
  <c r="I692" i="10"/>
  <c r="L691" i="10"/>
  <c r="I691" i="10"/>
  <c r="L690" i="10"/>
  <c r="I690" i="10"/>
  <c r="L689" i="10"/>
  <c r="I689" i="10"/>
  <c r="L688" i="10"/>
  <c r="I688" i="10"/>
  <c r="L687" i="10"/>
  <c r="I687" i="10"/>
  <c r="L686" i="10"/>
  <c r="I686" i="10"/>
  <c r="L685" i="10"/>
  <c r="I685" i="10"/>
  <c r="L684" i="10"/>
  <c r="I684" i="10"/>
  <c r="L683" i="10"/>
  <c r="I683" i="10"/>
  <c r="L682" i="10"/>
  <c r="I682" i="10"/>
  <c r="L681" i="10"/>
  <c r="I681" i="10"/>
  <c r="L680" i="10"/>
  <c r="I680" i="10"/>
  <c r="L679" i="10"/>
  <c r="I679" i="10"/>
  <c r="L678" i="10"/>
  <c r="I678" i="10"/>
  <c r="L677" i="10"/>
  <c r="I677" i="10"/>
  <c r="L676" i="10"/>
  <c r="I676" i="10"/>
  <c r="L675" i="10"/>
  <c r="I675" i="10"/>
  <c r="L674" i="10"/>
  <c r="I674" i="10"/>
  <c r="L673" i="10"/>
  <c r="I673" i="10"/>
  <c r="L672" i="10"/>
  <c r="I672" i="10"/>
  <c r="L671" i="10"/>
  <c r="I671" i="10"/>
  <c r="L670" i="10"/>
  <c r="I670" i="10"/>
  <c r="L669" i="10"/>
  <c r="I669" i="10"/>
  <c r="L668" i="10"/>
  <c r="I668" i="10"/>
  <c r="L667" i="10"/>
  <c r="I667" i="10"/>
  <c r="L666" i="10"/>
  <c r="I666" i="10"/>
  <c r="L665" i="10"/>
  <c r="I665" i="10"/>
  <c r="L664" i="10"/>
  <c r="I664" i="10"/>
  <c r="L663" i="10"/>
  <c r="I663" i="10"/>
  <c r="L662" i="10"/>
  <c r="I662" i="10"/>
  <c r="L661" i="10"/>
  <c r="I661" i="10"/>
  <c r="L660" i="10"/>
  <c r="I660" i="10"/>
  <c r="L659" i="10"/>
  <c r="I659" i="10"/>
  <c r="L658" i="10"/>
  <c r="I658" i="10"/>
  <c r="L657" i="10"/>
  <c r="I657" i="10"/>
  <c r="L656" i="10"/>
  <c r="I656" i="10"/>
  <c r="L655" i="10"/>
  <c r="I655" i="10"/>
  <c r="L654" i="10"/>
  <c r="I654" i="10"/>
  <c r="L653" i="10"/>
  <c r="I653" i="10"/>
  <c r="L652" i="10"/>
  <c r="I652" i="10"/>
  <c r="L651" i="10"/>
  <c r="I651" i="10"/>
  <c r="L650" i="10"/>
  <c r="I650" i="10"/>
  <c r="L649" i="10"/>
  <c r="I649" i="10"/>
  <c r="L648" i="10"/>
  <c r="I648" i="10"/>
  <c r="L647" i="10"/>
  <c r="I647" i="10"/>
  <c r="L646" i="10"/>
  <c r="I646" i="10"/>
  <c r="L645" i="10"/>
  <c r="I645" i="10"/>
  <c r="L644" i="10"/>
  <c r="I644" i="10"/>
  <c r="L643" i="10"/>
  <c r="I643" i="10"/>
  <c r="L642" i="10"/>
  <c r="I642" i="10"/>
  <c r="L641" i="10"/>
  <c r="I641" i="10"/>
  <c r="L640" i="10"/>
  <c r="I640" i="10"/>
  <c r="L639" i="10"/>
  <c r="I639" i="10"/>
  <c r="L638" i="10"/>
  <c r="I638" i="10"/>
  <c r="L637" i="10"/>
  <c r="I637" i="10"/>
  <c r="L636" i="10"/>
  <c r="I636" i="10"/>
  <c r="L635" i="10"/>
  <c r="I635" i="10"/>
  <c r="L634" i="10"/>
  <c r="I634" i="10"/>
  <c r="L633" i="10"/>
  <c r="I633" i="10"/>
  <c r="L632" i="10"/>
  <c r="I632" i="10"/>
  <c r="L631" i="10"/>
  <c r="I631" i="10"/>
  <c r="L630" i="10"/>
  <c r="I630" i="10"/>
  <c r="L629" i="10"/>
  <c r="I629" i="10"/>
  <c r="L628" i="10"/>
  <c r="I628" i="10"/>
  <c r="L627" i="10"/>
  <c r="I627" i="10"/>
  <c r="L626" i="10"/>
  <c r="I626" i="10"/>
  <c r="L625" i="10"/>
  <c r="I625" i="10"/>
  <c r="L624" i="10"/>
  <c r="I624" i="10"/>
  <c r="L623" i="10"/>
  <c r="I623" i="10"/>
  <c r="L622" i="10"/>
  <c r="I622" i="10"/>
  <c r="L621" i="10"/>
  <c r="I621" i="10"/>
  <c r="L620" i="10"/>
  <c r="I620" i="10"/>
  <c r="L619" i="10"/>
  <c r="I619" i="10"/>
  <c r="L618" i="10"/>
  <c r="I618" i="10"/>
  <c r="L617" i="10"/>
  <c r="I617" i="10"/>
  <c r="L616" i="10"/>
  <c r="I616" i="10"/>
  <c r="L615" i="10"/>
  <c r="I615" i="10"/>
  <c r="L614" i="10"/>
  <c r="I614" i="10"/>
  <c r="L613" i="10"/>
  <c r="I613" i="10"/>
  <c r="L612" i="10"/>
  <c r="I612" i="10"/>
  <c r="L611" i="10"/>
  <c r="I611" i="10"/>
  <c r="L610" i="10"/>
  <c r="I610" i="10"/>
  <c r="L609" i="10"/>
  <c r="I609" i="10"/>
  <c r="L608" i="10"/>
  <c r="I608" i="10"/>
  <c r="L607" i="10"/>
  <c r="I607" i="10"/>
  <c r="L606" i="10"/>
  <c r="I606" i="10"/>
  <c r="L605" i="10"/>
  <c r="I605" i="10"/>
  <c r="L604" i="10"/>
  <c r="I604" i="10"/>
  <c r="L603" i="10"/>
  <c r="I603" i="10"/>
  <c r="L602" i="10"/>
  <c r="I602" i="10"/>
  <c r="L601" i="10"/>
  <c r="I601" i="10"/>
  <c r="L600" i="10"/>
  <c r="I600" i="10"/>
  <c r="L599" i="10"/>
  <c r="I599" i="10"/>
  <c r="L598" i="10"/>
  <c r="I598" i="10"/>
  <c r="L597" i="10"/>
  <c r="I597" i="10"/>
  <c r="L596" i="10"/>
  <c r="I596" i="10"/>
  <c r="L595" i="10"/>
  <c r="I595" i="10"/>
  <c r="L594" i="10"/>
  <c r="I594" i="10"/>
  <c r="L593" i="10"/>
  <c r="I593" i="10"/>
  <c r="L592" i="10"/>
  <c r="I592" i="10"/>
  <c r="L591" i="10"/>
  <c r="I591" i="10"/>
  <c r="L590" i="10"/>
  <c r="I590" i="10"/>
  <c r="L589" i="10"/>
  <c r="I589" i="10"/>
  <c r="L588" i="10"/>
  <c r="I588" i="10"/>
  <c r="L587" i="10"/>
  <c r="I587" i="10"/>
  <c r="L586" i="10"/>
  <c r="I586" i="10"/>
  <c r="L585" i="10"/>
  <c r="I585" i="10"/>
  <c r="L584" i="10"/>
  <c r="I584" i="10"/>
  <c r="L583" i="10"/>
  <c r="I583" i="10"/>
  <c r="L582" i="10"/>
  <c r="I582" i="10"/>
  <c r="L581" i="10"/>
  <c r="I581" i="10"/>
  <c r="L580" i="10"/>
  <c r="I580" i="10"/>
  <c r="L579" i="10"/>
  <c r="I579" i="10"/>
  <c r="L578" i="10"/>
  <c r="I578" i="10"/>
  <c r="L577" i="10"/>
  <c r="I577" i="10"/>
  <c r="L576" i="10"/>
  <c r="I576" i="10"/>
  <c r="L575" i="10"/>
  <c r="I575" i="10"/>
  <c r="L574" i="10"/>
  <c r="I574" i="10"/>
  <c r="L573" i="10"/>
  <c r="I573" i="10"/>
  <c r="L572" i="10"/>
  <c r="I572" i="10"/>
  <c r="L571" i="10"/>
  <c r="I571" i="10"/>
  <c r="L570" i="10"/>
  <c r="I570" i="10"/>
  <c r="L569" i="10"/>
  <c r="I569" i="10"/>
  <c r="L568" i="10"/>
  <c r="I568" i="10"/>
  <c r="L567" i="10"/>
  <c r="I567" i="10"/>
  <c r="L566" i="10"/>
  <c r="I566" i="10"/>
  <c r="L565" i="10"/>
  <c r="I565" i="10"/>
  <c r="L564" i="10"/>
  <c r="I564" i="10"/>
  <c r="L563" i="10"/>
  <c r="I563" i="10"/>
  <c r="L562" i="10"/>
  <c r="I562" i="10"/>
  <c r="L561" i="10"/>
  <c r="I561" i="10"/>
  <c r="L560" i="10"/>
  <c r="I560" i="10"/>
  <c r="L559" i="10"/>
  <c r="I559" i="10"/>
  <c r="L558" i="10"/>
  <c r="I558" i="10"/>
  <c r="L557" i="10"/>
  <c r="I557" i="10"/>
  <c r="L556" i="10"/>
  <c r="I556" i="10"/>
  <c r="L555" i="10"/>
  <c r="I555" i="10"/>
  <c r="L554" i="10"/>
  <c r="I554" i="10"/>
  <c r="L553" i="10"/>
  <c r="I553" i="10"/>
  <c r="L552" i="10"/>
  <c r="I552" i="10"/>
  <c r="L551" i="10"/>
  <c r="I551" i="10"/>
  <c r="L550" i="10"/>
  <c r="I550" i="10"/>
  <c r="L549" i="10"/>
  <c r="I549" i="10"/>
  <c r="L548" i="10"/>
  <c r="I548" i="10"/>
  <c r="L547" i="10"/>
  <c r="I547" i="10"/>
  <c r="L546" i="10"/>
  <c r="I546" i="10"/>
  <c r="L545" i="10"/>
  <c r="I545" i="10"/>
  <c r="L544" i="10"/>
  <c r="I544" i="10"/>
  <c r="L543" i="10"/>
  <c r="I543" i="10"/>
  <c r="L542" i="10"/>
  <c r="I542" i="10"/>
  <c r="L541" i="10"/>
  <c r="I541" i="10"/>
  <c r="L540" i="10"/>
  <c r="I540" i="10"/>
  <c r="L539" i="10"/>
  <c r="I539" i="10"/>
  <c r="L538" i="10"/>
  <c r="I538" i="10"/>
  <c r="L537" i="10"/>
  <c r="I537" i="10"/>
  <c r="L536" i="10"/>
  <c r="I536" i="10"/>
  <c r="L535" i="10"/>
  <c r="I535" i="10"/>
  <c r="L534" i="10"/>
  <c r="I534" i="10"/>
  <c r="L533" i="10"/>
  <c r="I533" i="10"/>
  <c r="L532" i="10"/>
  <c r="I532" i="10"/>
  <c r="L531" i="10"/>
  <c r="I531" i="10"/>
  <c r="L530" i="10"/>
  <c r="I530" i="10"/>
  <c r="L529" i="10"/>
  <c r="I529" i="10"/>
  <c r="L528" i="10"/>
  <c r="I528" i="10"/>
  <c r="L527" i="10"/>
  <c r="I527" i="10"/>
  <c r="L526" i="10"/>
  <c r="I526" i="10"/>
  <c r="L525" i="10"/>
  <c r="I525" i="10"/>
  <c r="L524" i="10"/>
  <c r="I524" i="10"/>
  <c r="L523" i="10"/>
  <c r="I523" i="10"/>
  <c r="L522" i="10"/>
  <c r="I522" i="10"/>
  <c r="L521" i="10"/>
  <c r="I521" i="10"/>
  <c r="L520" i="10"/>
  <c r="I520" i="10"/>
  <c r="L519" i="10"/>
  <c r="I519" i="10"/>
  <c r="L518" i="10"/>
  <c r="I518" i="10"/>
  <c r="L517" i="10"/>
  <c r="I517" i="10"/>
  <c r="L516" i="10"/>
  <c r="I516" i="10"/>
  <c r="L515" i="10"/>
  <c r="I515" i="10"/>
  <c r="L514" i="10"/>
  <c r="I514" i="10"/>
  <c r="L513" i="10"/>
  <c r="I513" i="10"/>
  <c r="L512" i="10"/>
  <c r="I512" i="10"/>
  <c r="L511" i="10"/>
  <c r="I511" i="10"/>
  <c r="L510" i="10"/>
  <c r="I510" i="10"/>
  <c r="L509" i="10"/>
  <c r="I509" i="10"/>
  <c r="L508" i="10"/>
  <c r="I508" i="10"/>
  <c r="L507" i="10"/>
  <c r="I507" i="10"/>
  <c r="L506" i="10"/>
  <c r="I506" i="10"/>
  <c r="L505" i="10"/>
  <c r="I505" i="10"/>
  <c r="L504" i="10"/>
  <c r="I504" i="10"/>
  <c r="L503" i="10"/>
  <c r="I503" i="10"/>
  <c r="L502" i="10"/>
  <c r="I502" i="10"/>
  <c r="L501" i="10"/>
  <c r="I501" i="10"/>
  <c r="L500" i="10"/>
  <c r="I500" i="10"/>
  <c r="L499" i="10"/>
  <c r="I499" i="10"/>
  <c r="L498" i="10"/>
  <c r="I498" i="10"/>
  <c r="L497" i="10"/>
  <c r="I497" i="10"/>
  <c r="L496" i="10"/>
  <c r="I496" i="10"/>
  <c r="L495" i="10"/>
  <c r="I495" i="10"/>
  <c r="L494" i="10"/>
  <c r="I494" i="10"/>
  <c r="L493" i="10"/>
  <c r="I493" i="10"/>
  <c r="L492" i="10"/>
  <c r="I492" i="10"/>
  <c r="L491" i="10"/>
  <c r="I491" i="10"/>
  <c r="L490" i="10"/>
  <c r="I490" i="10"/>
  <c r="L489" i="10"/>
  <c r="I489" i="10"/>
  <c r="L488" i="10"/>
  <c r="I488" i="10"/>
  <c r="L487" i="10"/>
  <c r="I487" i="10"/>
  <c r="L486" i="10"/>
  <c r="I486" i="10"/>
  <c r="L485" i="10"/>
  <c r="I485" i="10"/>
  <c r="L484" i="10"/>
  <c r="I484" i="10"/>
  <c r="L483" i="10"/>
  <c r="I483" i="10"/>
  <c r="L482" i="10"/>
  <c r="I482" i="10"/>
  <c r="L481" i="10"/>
  <c r="I481" i="10"/>
  <c r="L480" i="10"/>
  <c r="I480" i="10"/>
  <c r="L479" i="10"/>
  <c r="I479" i="10"/>
  <c r="L478" i="10"/>
  <c r="I478" i="10"/>
  <c r="L477" i="10"/>
  <c r="I477" i="10"/>
  <c r="L476" i="10"/>
  <c r="I476" i="10"/>
  <c r="L475" i="10"/>
  <c r="I475" i="10"/>
  <c r="L474" i="10"/>
  <c r="I474" i="10"/>
  <c r="L473" i="10"/>
  <c r="I473" i="10"/>
  <c r="L472" i="10"/>
  <c r="I472" i="10"/>
  <c r="L471" i="10"/>
  <c r="I471" i="10"/>
  <c r="L470" i="10"/>
  <c r="I470" i="10"/>
  <c r="L469" i="10"/>
  <c r="I469" i="10"/>
  <c r="L468" i="10"/>
  <c r="I468" i="10"/>
  <c r="L467" i="10"/>
  <c r="I467" i="10"/>
  <c r="L466" i="10"/>
  <c r="I466" i="10"/>
  <c r="L465" i="10"/>
  <c r="I465" i="10"/>
  <c r="L464" i="10"/>
  <c r="I464" i="10"/>
  <c r="L463" i="10"/>
  <c r="I463" i="10"/>
  <c r="L462" i="10"/>
  <c r="I462" i="10"/>
  <c r="L461" i="10"/>
  <c r="I461" i="10"/>
  <c r="L460" i="10"/>
  <c r="I460" i="10"/>
  <c r="L459" i="10"/>
  <c r="I459" i="10"/>
  <c r="L458" i="10"/>
  <c r="I458" i="10"/>
  <c r="L457" i="10"/>
  <c r="I457" i="10"/>
  <c r="L456" i="10"/>
  <c r="I456" i="10"/>
  <c r="L455" i="10"/>
  <c r="I455" i="10"/>
  <c r="L454" i="10"/>
  <c r="I454" i="10"/>
  <c r="L453" i="10"/>
  <c r="I453" i="10"/>
  <c r="L452" i="10"/>
  <c r="I452" i="10"/>
  <c r="L451" i="10"/>
  <c r="I451" i="10"/>
  <c r="L450" i="10"/>
  <c r="I450" i="10"/>
  <c r="L449" i="10"/>
  <c r="I449" i="10"/>
  <c r="L448" i="10"/>
  <c r="I448" i="10"/>
  <c r="L447" i="10"/>
  <c r="I447" i="10"/>
  <c r="L446" i="10"/>
  <c r="I446" i="10"/>
  <c r="L445" i="10"/>
  <c r="I445" i="10"/>
  <c r="L444" i="10"/>
  <c r="I444" i="10"/>
  <c r="L443" i="10"/>
  <c r="I443" i="10"/>
  <c r="L442" i="10"/>
  <c r="I442" i="10"/>
  <c r="L441" i="10"/>
  <c r="I441" i="10"/>
  <c r="L440" i="10"/>
  <c r="I440" i="10"/>
  <c r="L439" i="10"/>
  <c r="I439" i="10"/>
  <c r="L438" i="10"/>
  <c r="I438" i="10"/>
  <c r="L437" i="10"/>
  <c r="I437" i="10"/>
  <c r="L436" i="10"/>
  <c r="I436" i="10"/>
  <c r="L435" i="10"/>
  <c r="I435" i="10"/>
  <c r="L434" i="10"/>
  <c r="I434" i="10"/>
  <c r="L433" i="10"/>
  <c r="I433" i="10"/>
  <c r="L432" i="10"/>
  <c r="I432" i="10"/>
  <c r="L431" i="10"/>
  <c r="I431" i="10"/>
  <c r="L430" i="10"/>
  <c r="I430" i="10"/>
  <c r="L429" i="10"/>
  <c r="I429" i="10"/>
  <c r="L428" i="10"/>
  <c r="I428" i="10"/>
  <c r="L427" i="10"/>
  <c r="I427" i="10"/>
  <c r="L426" i="10"/>
  <c r="I426" i="10"/>
  <c r="L425" i="10"/>
  <c r="I425" i="10"/>
  <c r="L424" i="10"/>
  <c r="I424" i="10"/>
  <c r="L423" i="10"/>
  <c r="I423" i="10"/>
  <c r="L422" i="10"/>
  <c r="I422" i="10"/>
  <c r="L421" i="10"/>
  <c r="I421" i="10"/>
  <c r="L420" i="10"/>
  <c r="I420" i="10"/>
  <c r="L419" i="10"/>
  <c r="I419" i="10"/>
  <c r="L418" i="10"/>
  <c r="I418" i="10"/>
  <c r="L417" i="10"/>
  <c r="I417" i="10"/>
  <c r="L416" i="10"/>
  <c r="I416" i="10"/>
  <c r="L415" i="10"/>
  <c r="I415" i="10"/>
  <c r="L414" i="10"/>
  <c r="I414" i="10"/>
  <c r="L413" i="10"/>
  <c r="I413" i="10"/>
  <c r="L412" i="10"/>
  <c r="I412" i="10"/>
  <c r="L411" i="10"/>
  <c r="I411" i="10"/>
  <c r="L410" i="10"/>
  <c r="I410" i="10"/>
  <c r="L409" i="10"/>
  <c r="I409" i="10"/>
  <c r="L408" i="10"/>
  <c r="I408" i="10"/>
  <c r="L407" i="10"/>
  <c r="I407" i="10"/>
  <c r="L406" i="10"/>
  <c r="I406" i="10"/>
  <c r="L405" i="10"/>
  <c r="I405" i="10"/>
  <c r="L404" i="10"/>
  <c r="I404" i="10"/>
  <c r="L403" i="10"/>
  <c r="I403" i="10"/>
  <c r="L402" i="10"/>
  <c r="I402" i="10"/>
  <c r="L401" i="10"/>
  <c r="I401" i="10"/>
  <c r="L400" i="10"/>
  <c r="I400" i="10"/>
  <c r="L399" i="10"/>
  <c r="I399" i="10"/>
  <c r="L398" i="10"/>
  <c r="I398" i="10"/>
  <c r="L397" i="10"/>
  <c r="I397" i="10"/>
  <c r="L396" i="10"/>
  <c r="I396" i="10"/>
  <c r="L395" i="10"/>
  <c r="I395" i="10"/>
  <c r="L394" i="10"/>
  <c r="I394" i="10"/>
  <c r="L393" i="10"/>
  <c r="I393" i="10"/>
  <c r="L392" i="10"/>
  <c r="I392" i="10"/>
  <c r="L391" i="10"/>
  <c r="I391" i="10"/>
  <c r="L390" i="10"/>
  <c r="I390" i="10"/>
  <c r="L389" i="10"/>
  <c r="I389" i="10"/>
  <c r="L388" i="10"/>
  <c r="I388" i="10"/>
  <c r="L387" i="10"/>
  <c r="I387" i="10"/>
  <c r="L386" i="10"/>
  <c r="I386" i="10"/>
  <c r="L385" i="10"/>
  <c r="I385" i="10"/>
  <c r="L384" i="10"/>
  <c r="I384" i="10"/>
  <c r="L383" i="10"/>
  <c r="I383" i="10"/>
  <c r="L382" i="10"/>
  <c r="I382" i="10"/>
  <c r="L381" i="10"/>
  <c r="I381" i="10"/>
  <c r="L380" i="10"/>
  <c r="I380" i="10"/>
  <c r="L379" i="10"/>
  <c r="I379" i="10"/>
  <c r="L378" i="10"/>
  <c r="I378" i="10"/>
  <c r="L377" i="10"/>
  <c r="I377" i="10"/>
  <c r="L376" i="10"/>
  <c r="I376" i="10"/>
  <c r="L375" i="10"/>
  <c r="I375" i="10"/>
  <c r="L374" i="10"/>
  <c r="I374" i="10"/>
  <c r="L373" i="10"/>
  <c r="I373" i="10"/>
  <c r="L372" i="10"/>
  <c r="I372" i="10"/>
  <c r="L371" i="10"/>
  <c r="I371" i="10"/>
  <c r="L370" i="10"/>
  <c r="I370" i="10"/>
  <c r="L369" i="10"/>
  <c r="I369" i="10"/>
  <c r="L368" i="10"/>
  <c r="I368" i="10"/>
  <c r="L367" i="10"/>
  <c r="I367" i="10"/>
  <c r="L366" i="10"/>
  <c r="I366" i="10"/>
  <c r="L365" i="10"/>
  <c r="I365" i="10"/>
  <c r="L364" i="10"/>
  <c r="I364" i="10"/>
  <c r="L363" i="10"/>
  <c r="I363" i="10"/>
  <c r="L362" i="10"/>
  <c r="I362" i="10"/>
  <c r="L361" i="10"/>
  <c r="I361" i="10"/>
  <c r="L360" i="10"/>
  <c r="I360" i="10"/>
  <c r="L359" i="10"/>
  <c r="I359" i="10"/>
  <c r="L358" i="10"/>
  <c r="I358" i="10"/>
  <c r="L357" i="10"/>
  <c r="I357" i="10"/>
  <c r="L356" i="10"/>
  <c r="I356" i="10"/>
  <c r="L355" i="10"/>
  <c r="I355" i="10"/>
  <c r="L354" i="10"/>
  <c r="I354" i="10"/>
  <c r="L353" i="10"/>
  <c r="I353" i="10"/>
  <c r="L352" i="10"/>
  <c r="I352" i="10"/>
  <c r="L351" i="10"/>
  <c r="I351" i="10"/>
  <c r="L350" i="10"/>
  <c r="I350" i="10"/>
  <c r="L349" i="10"/>
  <c r="I349" i="10"/>
  <c r="L348" i="10"/>
  <c r="I348" i="10"/>
  <c r="L347" i="10"/>
  <c r="I347" i="10"/>
  <c r="L346" i="10"/>
  <c r="I346" i="10"/>
  <c r="L345" i="10"/>
  <c r="I345" i="10"/>
  <c r="L344" i="10"/>
  <c r="I344" i="10"/>
  <c r="L343" i="10"/>
  <c r="I343" i="10"/>
  <c r="L342" i="10"/>
  <c r="I342" i="10"/>
  <c r="L341" i="10"/>
  <c r="I341" i="10"/>
  <c r="L340" i="10"/>
  <c r="I340" i="10"/>
  <c r="L339" i="10"/>
  <c r="I339" i="10"/>
  <c r="L338" i="10"/>
  <c r="I338" i="10"/>
  <c r="L337" i="10"/>
  <c r="I337" i="10"/>
  <c r="L336" i="10"/>
  <c r="I336" i="10"/>
  <c r="L335" i="10"/>
  <c r="I335" i="10"/>
  <c r="L334" i="10"/>
  <c r="I334" i="10"/>
  <c r="L333" i="10"/>
  <c r="I333" i="10"/>
  <c r="L332" i="10"/>
  <c r="I332" i="10"/>
  <c r="L331" i="10"/>
  <c r="I331" i="10"/>
  <c r="L330" i="10"/>
  <c r="I330" i="10"/>
  <c r="L329" i="10"/>
  <c r="I329" i="10"/>
  <c r="L328" i="10"/>
  <c r="I328" i="10"/>
  <c r="L327" i="10"/>
  <c r="I327" i="10"/>
  <c r="L326" i="10"/>
  <c r="I326" i="10"/>
  <c r="L325" i="10"/>
  <c r="I325" i="10"/>
  <c r="L324" i="10"/>
  <c r="I324" i="10"/>
  <c r="L323" i="10"/>
  <c r="I323" i="10"/>
  <c r="L322" i="10"/>
  <c r="I322" i="10"/>
  <c r="L321" i="10"/>
  <c r="I321" i="10"/>
  <c r="L320" i="10"/>
  <c r="I320" i="10"/>
  <c r="L319" i="10"/>
  <c r="I319" i="10"/>
  <c r="L318" i="10"/>
  <c r="I318" i="10"/>
  <c r="L317" i="10"/>
  <c r="I317" i="10"/>
  <c r="L316" i="10"/>
  <c r="I316" i="10"/>
  <c r="L315" i="10"/>
  <c r="I315" i="10"/>
  <c r="L314" i="10"/>
  <c r="I314" i="10"/>
  <c r="L313" i="10"/>
  <c r="I313" i="10"/>
  <c r="L312" i="10"/>
  <c r="I312" i="10"/>
  <c r="L311" i="10"/>
  <c r="I311" i="10"/>
  <c r="L310" i="10"/>
  <c r="I310" i="10"/>
  <c r="L309" i="10"/>
  <c r="I309" i="10"/>
  <c r="L308" i="10"/>
  <c r="I308" i="10"/>
  <c r="L307" i="10"/>
  <c r="I307" i="10"/>
  <c r="L306" i="10"/>
  <c r="I306" i="10"/>
  <c r="L305" i="10"/>
  <c r="I305" i="10"/>
  <c r="L304" i="10"/>
  <c r="I304" i="10"/>
  <c r="L303" i="10"/>
  <c r="I303" i="10"/>
  <c r="L302" i="10"/>
  <c r="I302" i="10"/>
  <c r="L301" i="10"/>
  <c r="I301" i="10"/>
  <c r="L300" i="10"/>
  <c r="I300" i="10"/>
  <c r="L299" i="10"/>
  <c r="I299" i="10"/>
  <c r="L298" i="10"/>
  <c r="I298" i="10"/>
  <c r="L297" i="10"/>
  <c r="I297" i="10"/>
  <c r="L296" i="10"/>
  <c r="I296" i="10"/>
  <c r="L295" i="10"/>
  <c r="I295" i="10"/>
  <c r="L294" i="10"/>
  <c r="I294" i="10"/>
  <c r="L293" i="10"/>
  <c r="I293" i="10"/>
  <c r="L292" i="10"/>
  <c r="I292" i="10"/>
  <c r="L291" i="10"/>
  <c r="I291" i="10"/>
  <c r="L290" i="10"/>
  <c r="I290" i="10"/>
  <c r="L289" i="10"/>
  <c r="I289" i="10"/>
  <c r="L288" i="10"/>
  <c r="I288" i="10"/>
  <c r="L287" i="10"/>
  <c r="I287" i="10"/>
  <c r="L286" i="10"/>
  <c r="I286" i="10"/>
  <c r="L285" i="10"/>
  <c r="I285" i="10"/>
  <c r="L284" i="10"/>
  <c r="I284" i="10"/>
  <c r="L283" i="10"/>
  <c r="I283" i="10"/>
  <c r="L282" i="10"/>
  <c r="I282" i="10"/>
  <c r="L281" i="10"/>
  <c r="I281" i="10"/>
  <c r="L280" i="10"/>
  <c r="I280" i="10"/>
  <c r="L279" i="10"/>
  <c r="I279" i="10"/>
  <c r="L278" i="10"/>
  <c r="I278" i="10"/>
  <c r="L277" i="10"/>
  <c r="I277" i="10"/>
  <c r="L276" i="10"/>
  <c r="I276" i="10"/>
  <c r="L275" i="10"/>
  <c r="I275" i="10"/>
  <c r="L274" i="10"/>
  <c r="I274" i="10"/>
  <c r="L273" i="10"/>
  <c r="I273" i="10"/>
  <c r="L272" i="10"/>
  <c r="I272" i="10"/>
  <c r="L271" i="10"/>
  <c r="I271" i="10"/>
  <c r="L270" i="10"/>
  <c r="I270" i="10"/>
  <c r="L269" i="10"/>
  <c r="I269" i="10"/>
  <c r="L268" i="10"/>
  <c r="I268" i="10"/>
  <c r="L267" i="10"/>
  <c r="I267" i="10"/>
  <c r="L266" i="10"/>
  <c r="I266" i="10"/>
  <c r="L265" i="10"/>
  <c r="I265" i="10"/>
  <c r="L264" i="10"/>
  <c r="I264" i="10"/>
  <c r="L263" i="10"/>
  <c r="I263" i="10"/>
  <c r="L262" i="10"/>
  <c r="I262" i="10"/>
  <c r="L261" i="10"/>
  <c r="I261" i="10"/>
  <c r="L260" i="10"/>
  <c r="I260" i="10"/>
  <c r="L259" i="10"/>
  <c r="I259" i="10"/>
  <c r="L258" i="10"/>
  <c r="I258" i="10"/>
  <c r="L257" i="10"/>
  <c r="I257" i="10"/>
  <c r="L256" i="10"/>
  <c r="I256" i="10"/>
  <c r="L255" i="10"/>
  <c r="I255" i="10"/>
  <c r="L254" i="10"/>
  <c r="I254" i="10"/>
  <c r="L253" i="10"/>
  <c r="I253" i="10"/>
  <c r="L252" i="10"/>
  <c r="I252" i="10"/>
  <c r="L251" i="10"/>
  <c r="I251" i="10"/>
  <c r="L250" i="10"/>
  <c r="I250" i="10"/>
  <c r="L249" i="10"/>
  <c r="I249" i="10"/>
  <c r="L248" i="10"/>
  <c r="I248" i="10"/>
  <c r="L247" i="10"/>
  <c r="I247" i="10"/>
  <c r="L246" i="10"/>
  <c r="I246" i="10"/>
  <c r="L245" i="10"/>
  <c r="I245" i="10"/>
  <c r="L244" i="10"/>
  <c r="I244" i="10"/>
  <c r="L243" i="10"/>
  <c r="I243" i="10"/>
  <c r="L242" i="10"/>
  <c r="I242" i="10"/>
  <c r="L241" i="10"/>
  <c r="I241" i="10"/>
  <c r="L240" i="10"/>
  <c r="I240" i="10"/>
  <c r="L239" i="10"/>
  <c r="I239" i="10"/>
  <c r="L238" i="10"/>
  <c r="I238" i="10"/>
  <c r="L237" i="10"/>
  <c r="I237" i="10"/>
  <c r="L236" i="10"/>
  <c r="I236" i="10"/>
  <c r="L235" i="10"/>
  <c r="I235" i="10"/>
  <c r="L234" i="10"/>
  <c r="I234" i="10"/>
  <c r="L233" i="10"/>
  <c r="I233" i="10"/>
  <c r="L232" i="10"/>
  <c r="I232" i="10"/>
  <c r="L231" i="10"/>
  <c r="I231" i="10"/>
  <c r="L230" i="10"/>
  <c r="I230" i="10"/>
  <c r="L229" i="10"/>
  <c r="I229" i="10"/>
  <c r="L228" i="10"/>
  <c r="I228" i="10"/>
  <c r="L227" i="10"/>
  <c r="I227" i="10"/>
  <c r="L226" i="10"/>
  <c r="I226" i="10"/>
  <c r="L225" i="10"/>
  <c r="I225" i="10"/>
  <c r="L224" i="10"/>
  <c r="I224" i="10"/>
  <c r="L223" i="10"/>
  <c r="I223" i="10"/>
  <c r="L222" i="10"/>
  <c r="I222" i="10"/>
  <c r="L221" i="10"/>
  <c r="I221" i="10"/>
  <c r="L220" i="10"/>
  <c r="I220" i="10"/>
  <c r="L219" i="10"/>
  <c r="I219" i="10"/>
  <c r="L218" i="10"/>
  <c r="I218" i="10"/>
  <c r="L217" i="10"/>
  <c r="I217" i="10"/>
  <c r="L216" i="10"/>
  <c r="I216" i="10"/>
  <c r="L215" i="10"/>
  <c r="I215" i="10"/>
  <c r="L214" i="10"/>
  <c r="I214" i="10"/>
  <c r="L213" i="10"/>
  <c r="I213" i="10"/>
  <c r="L212" i="10"/>
  <c r="I212" i="10"/>
  <c r="L211" i="10"/>
  <c r="I211" i="10"/>
  <c r="L210" i="10"/>
  <c r="I210" i="10"/>
  <c r="L209" i="10"/>
  <c r="I209" i="10"/>
  <c r="L208" i="10"/>
  <c r="I208" i="10"/>
  <c r="L207" i="10"/>
  <c r="I207" i="10"/>
  <c r="L206" i="10"/>
  <c r="I206" i="10"/>
  <c r="L205" i="10"/>
  <c r="I205" i="10"/>
  <c r="L204" i="10"/>
  <c r="I204" i="10"/>
  <c r="L203" i="10"/>
  <c r="I203" i="10"/>
  <c r="L202" i="10"/>
  <c r="I202" i="10"/>
  <c r="L201" i="10"/>
  <c r="I201" i="10"/>
  <c r="L200" i="10"/>
  <c r="I200" i="10"/>
  <c r="L199" i="10"/>
  <c r="I199" i="10"/>
  <c r="L198" i="10"/>
  <c r="I198" i="10"/>
  <c r="L197" i="10"/>
  <c r="I197" i="10"/>
  <c r="L196" i="10"/>
  <c r="I196" i="10"/>
  <c r="L195" i="10"/>
  <c r="I195" i="10"/>
  <c r="L194" i="10"/>
  <c r="I194" i="10"/>
  <c r="L193" i="10"/>
  <c r="I193" i="10"/>
  <c r="L192" i="10"/>
  <c r="I192" i="10"/>
  <c r="L191" i="10"/>
  <c r="I191" i="10"/>
  <c r="L190" i="10"/>
  <c r="I190" i="10"/>
  <c r="L189" i="10"/>
  <c r="I189" i="10"/>
  <c r="L188" i="10"/>
  <c r="I188" i="10"/>
  <c r="L187" i="10"/>
  <c r="I187" i="10"/>
  <c r="L186" i="10"/>
  <c r="I186" i="10"/>
  <c r="L185" i="10"/>
  <c r="I185" i="10"/>
  <c r="L184" i="10"/>
  <c r="I184" i="10"/>
  <c r="L183" i="10"/>
  <c r="I183" i="10"/>
  <c r="L182" i="10"/>
  <c r="I182" i="10"/>
  <c r="L181" i="10"/>
  <c r="I181" i="10"/>
  <c r="L180" i="10"/>
  <c r="I180" i="10"/>
  <c r="L179" i="10"/>
  <c r="I179" i="10"/>
  <c r="L178" i="10"/>
  <c r="I178" i="10"/>
  <c r="L177" i="10"/>
  <c r="I177" i="10"/>
  <c r="L176" i="10"/>
  <c r="I176" i="10"/>
  <c r="L175" i="10"/>
  <c r="I175" i="10"/>
  <c r="L174" i="10"/>
  <c r="I174" i="10"/>
  <c r="L173" i="10"/>
  <c r="I173" i="10"/>
  <c r="L172" i="10"/>
  <c r="I172" i="10"/>
  <c r="L171" i="10"/>
  <c r="I171" i="10"/>
  <c r="L170" i="10"/>
  <c r="I170" i="10"/>
  <c r="L169" i="10"/>
  <c r="I169" i="10"/>
  <c r="L168" i="10"/>
  <c r="I168" i="10"/>
  <c r="L167" i="10"/>
  <c r="I167" i="10"/>
  <c r="L166" i="10"/>
  <c r="I166" i="10"/>
  <c r="L165" i="10"/>
  <c r="I165" i="10"/>
  <c r="L164" i="10"/>
  <c r="I164" i="10"/>
  <c r="L163" i="10"/>
  <c r="I163" i="10"/>
  <c r="L162" i="10"/>
  <c r="I162" i="10"/>
  <c r="L161" i="10"/>
  <c r="I161" i="10"/>
  <c r="L160" i="10"/>
  <c r="I160" i="10"/>
  <c r="L159" i="10"/>
  <c r="I159" i="10"/>
  <c r="L158" i="10"/>
  <c r="I158" i="10"/>
  <c r="L157" i="10"/>
  <c r="I157" i="10"/>
  <c r="L156" i="10"/>
  <c r="I156" i="10"/>
  <c r="L155" i="10"/>
  <c r="I155" i="10"/>
  <c r="L154" i="10"/>
  <c r="I154" i="10"/>
  <c r="L153" i="10"/>
  <c r="I153" i="10"/>
  <c r="L152" i="10"/>
  <c r="I152" i="10"/>
  <c r="L151" i="10"/>
  <c r="I151" i="10"/>
  <c r="L150" i="10"/>
  <c r="I150" i="10"/>
  <c r="L149" i="10"/>
  <c r="I149" i="10"/>
  <c r="L148" i="10"/>
  <c r="I148" i="10"/>
  <c r="L147" i="10"/>
  <c r="I147" i="10"/>
  <c r="L146" i="10"/>
  <c r="I146" i="10"/>
  <c r="L145" i="10"/>
  <c r="I145" i="10"/>
  <c r="L144" i="10"/>
  <c r="I144" i="10"/>
  <c r="L143" i="10"/>
  <c r="I143" i="10"/>
  <c r="L142" i="10"/>
  <c r="I142" i="10"/>
  <c r="L141" i="10"/>
  <c r="I141" i="10"/>
  <c r="L140" i="10"/>
  <c r="I140" i="10"/>
  <c r="L139" i="10"/>
  <c r="I139" i="10"/>
  <c r="L138" i="10"/>
  <c r="I138" i="10"/>
  <c r="L137" i="10"/>
  <c r="I137" i="10"/>
  <c r="L136" i="10"/>
  <c r="I136" i="10"/>
  <c r="L135" i="10"/>
  <c r="I135" i="10"/>
  <c r="L134" i="10"/>
  <c r="I134" i="10"/>
  <c r="L133" i="10"/>
  <c r="I133" i="10"/>
  <c r="L132" i="10"/>
  <c r="I132" i="10"/>
  <c r="L131" i="10"/>
  <c r="I131" i="10"/>
  <c r="L130" i="10"/>
  <c r="I130" i="10"/>
  <c r="L129" i="10"/>
  <c r="I129" i="10"/>
  <c r="L128" i="10"/>
  <c r="I128" i="10"/>
  <c r="L127" i="10"/>
  <c r="I127" i="10"/>
  <c r="L126" i="10"/>
  <c r="I126" i="10"/>
  <c r="L125" i="10"/>
  <c r="I125" i="10"/>
  <c r="L124" i="10"/>
  <c r="I124" i="10"/>
  <c r="L123" i="10"/>
  <c r="I123" i="10"/>
  <c r="L122" i="10"/>
  <c r="I122" i="10"/>
  <c r="L121" i="10"/>
  <c r="I121" i="10"/>
  <c r="L120" i="10"/>
  <c r="I120" i="10"/>
  <c r="L119" i="10"/>
  <c r="I119" i="10"/>
  <c r="L118" i="10"/>
  <c r="I118" i="10"/>
  <c r="L117" i="10"/>
  <c r="I117" i="10"/>
  <c r="L116" i="10"/>
  <c r="I116" i="10"/>
  <c r="L115" i="10"/>
  <c r="I115" i="10"/>
  <c r="L114" i="10"/>
  <c r="I114" i="10"/>
  <c r="L113" i="10"/>
  <c r="I113" i="10"/>
  <c r="L112" i="10"/>
  <c r="I112" i="10"/>
  <c r="L111" i="10"/>
  <c r="I111" i="10"/>
  <c r="L110" i="10"/>
  <c r="I110" i="10"/>
  <c r="L109" i="10"/>
  <c r="I109" i="10"/>
  <c r="L108" i="10"/>
  <c r="I108" i="10"/>
  <c r="L107" i="10"/>
  <c r="I107" i="10"/>
  <c r="L106" i="10"/>
  <c r="I106" i="10"/>
  <c r="L105" i="10"/>
  <c r="I105" i="10"/>
  <c r="L104" i="10"/>
  <c r="I104" i="10"/>
  <c r="L103" i="10"/>
  <c r="I103" i="10"/>
  <c r="L102" i="10"/>
  <c r="I102" i="10"/>
  <c r="L101" i="10"/>
  <c r="I101" i="10"/>
  <c r="L100" i="10"/>
  <c r="I100" i="10"/>
  <c r="L99" i="10"/>
  <c r="I99" i="10"/>
  <c r="L98" i="10"/>
  <c r="I98" i="10"/>
  <c r="L97" i="10"/>
  <c r="I97" i="10"/>
  <c r="L96" i="10"/>
  <c r="I96" i="10"/>
  <c r="L95" i="10"/>
  <c r="I95" i="10"/>
  <c r="L94" i="10"/>
  <c r="I94" i="10"/>
  <c r="L93" i="10"/>
  <c r="I93" i="10"/>
  <c r="L92" i="10"/>
  <c r="I92" i="10"/>
  <c r="L91" i="10"/>
  <c r="I91" i="10"/>
  <c r="L90" i="10"/>
  <c r="I90" i="10"/>
  <c r="L89" i="10"/>
  <c r="I89" i="10"/>
  <c r="L88" i="10"/>
  <c r="I88" i="10"/>
  <c r="L87" i="10"/>
  <c r="I87" i="10"/>
  <c r="L86" i="10"/>
  <c r="I86" i="10"/>
  <c r="L85" i="10"/>
  <c r="I85" i="10"/>
  <c r="L84" i="10"/>
  <c r="I84" i="10"/>
  <c r="L83" i="10"/>
  <c r="I83" i="10"/>
  <c r="L82" i="10"/>
  <c r="I82" i="10"/>
  <c r="L81" i="10"/>
  <c r="I81" i="10"/>
  <c r="L80" i="10"/>
  <c r="I80" i="10"/>
  <c r="L79" i="10"/>
  <c r="I79" i="10"/>
  <c r="L78" i="10"/>
  <c r="I78" i="10"/>
  <c r="L77" i="10"/>
  <c r="I77" i="10"/>
  <c r="L76" i="10"/>
  <c r="I76" i="10"/>
  <c r="L75" i="10"/>
  <c r="I75" i="10"/>
  <c r="L74" i="10"/>
  <c r="I74" i="10"/>
  <c r="L73" i="10"/>
  <c r="I73" i="10"/>
  <c r="L72" i="10"/>
  <c r="I72" i="10"/>
  <c r="L71" i="10"/>
  <c r="I71" i="10"/>
  <c r="L70" i="10"/>
  <c r="I70" i="10"/>
  <c r="L69" i="10"/>
  <c r="I69" i="10"/>
  <c r="L68" i="10"/>
  <c r="I68" i="10"/>
  <c r="L67" i="10"/>
  <c r="I67" i="10"/>
  <c r="L66" i="10"/>
  <c r="I66" i="10"/>
  <c r="L65" i="10"/>
  <c r="I65" i="10"/>
  <c r="L64" i="10"/>
  <c r="I64" i="10"/>
  <c r="L63" i="10"/>
  <c r="I63" i="10"/>
  <c r="L62" i="10"/>
  <c r="I62" i="10"/>
  <c r="L61" i="10"/>
  <c r="I61" i="10"/>
  <c r="L60" i="10"/>
  <c r="I60" i="10"/>
  <c r="L59" i="10"/>
  <c r="I59" i="10"/>
  <c r="L58" i="10"/>
  <c r="I58" i="10"/>
  <c r="L57" i="10"/>
  <c r="I57" i="10"/>
  <c r="L56" i="10"/>
  <c r="I56" i="10"/>
  <c r="L55" i="10"/>
  <c r="I55" i="10"/>
  <c r="L54" i="10"/>
  <c r="I54" i="10"/>
  <c r="L53" i="10"/>
  <c r="I53" i="10"/>
  <c r="L52" i="10"/>
  <c r="I52" i="10"/>
  <c r="L51" i="10"/>
  <c r="I51" i="10"/>
  <c r="L50" i="10"/>
  <c r="I50" i="10"/>
  <c r="L49" i="10"/>
  <c r="I49" i="10"/>
  <c r="L48" i="10"/>
  <c r="I48" i="10"/>
  <c r="L47" i="10"/>
  <c r="I47" i="10"/>
  <c r="L46" i="10"/>
  <c r="I46" i="10"/>
  <c r="L45" i="10"/>
  <c r="I45" i="10"/>
  <c r="L44" i="10"/>
  <c r="I44" i="10"/>
  <c r="L43" i="10"/>
  <c r="I43" i="10"/>
  <c r="L42" i="10"/>
  <c r="I42" i="10"/>
  <c r="L41" i="10"/>
  <c r="I41" i="10"/>
  <c r="L40" i="10"/>
  <c r="I40" i="10"/>
  <c r="L39" i="10"/>
  <c r="I39" i="10"/>
  <c r="L38" i="10"/>
  <c r="I38" i="10"/>
  <c r="L37" i="10"/>
  <c r="I37" i="10"/>
  <c r="L36" i="10"/>
  <c r="I36" i="10"/>
  <c r="L35" i="10"/>
  <c r="I35" i="10"/>
  <c r="L34" i="10"/>
  <c r="I34" i="10"/>
  <c r="L33" i="10"/>
  <c r="I33" i="10"/>
  <c r="L32" i="10"/>
  <c r="I32" i="10"/>
  <c r="L31" i="10"/>
  <c r="I31" i="10"/>
  <c r="L30" i="10"/>
  <c r="I30" i="10"/>
  <c r="L29" i="10"/>
  <c r="I29" i="10"/>
  <c r="L28" i="10"/>
  <c r="I28" i="10"/>
  <c r="L27" i="10"/>
  <c r="I27" i="10"/>
  <c r="L26" i="10"/>
  <c r="I26" i="10"/>
  <c r="L25" i="10"/>
  <c r="I25" i="10"/>
  <c r="L24" i="10"/>
  <c r="I24" i="10"/>
  <c r="L23" i="10"/>
  <c r="I23" i="10"/>
  <c r="L22" i="10"/>
  <c r="I22" i="10"/>
  <c r="L21" i="10"/>
  <c r="I21" i="10"/>
  <c r="L20" i="10"/>
  <c r="I20" i="10"/>
  <c r="L19" i="10"/>
  <c r="I19" i="10"/>
  <c r="L18" i="10"/>
  <c r="I18" i="10"/>
  <c r="L17" i="10"/>
  <c r="I17" i="10"/>
  <c r="L16" i="10"/>
  <c r="I16" i="10"/>
  <c r="L15" i="10"/>
  <c r="I15" i="10"/>
  <c r="L14" i="10"/>
  <c r="I14" i="10"/>
  <c r="L13" i="10"/>
  <c r="I13" i="10"/>
  <c r="L12" i="10"/>
  <c r="I12" i="10"/>
  <c r="L11" i="10"/>
  <c r="I11" i="10"/>
  <c r="L10" i="10"/>
  <c r="I10" i="10"/>
  <c r="L9" i="10"/>
  <c r="I9" i="10"/>
  <c r="L8" i="10"/>
  <c r="I8" i="10"/>
  <c r="L7" i="10"/>
  <c r="I7" i="10"/>
  <c r="L6" i="10"/>
  <c r="I6" i="10"/>
  <c r="L5" i="10"/>
  <c r="I5" i="10"/>
  <c r="L4" i="10"/>
  <c r="I4" i="10"/>
  <c r="L3" i="10"/>
  <c r="I3" i="10"/>
  <c r="L2" i="10"/>
  <c r="I2" i="10"/>
  <c r="H1236" i="9" l="1"/>
  <c r="I1236" i="9" s="1"/>
  <c r="H1235" i="9"/>
  <c r="I1235" i="9" s="1"/>
  <c r="H1234" i="9"/>
  <c r="I1234" i="9" s="1"/>
  <c r="H1233" i="9"/>
  <c r="I1233" i="9" s="1"/>
  <c r="H1232" i="9"/>
  <c r="I1232" i="9" s="1"/>
  <c r="H1231" i="9"/>
  <c r="I1231" i="9" s="1"/>
  <c r="H1230" i="9"/>
  <c r="I1230" i="9" s="1"/>
  <c r="H1229" i="9"/>
  <c r="I1229" i="9" s="1"/>
  <c r="H1228" i="9"/>
  <c r="I1228" i="9" s="1"/>
  <c r="H1227" i="9"/>
  <c r="I1227" i="9" s="1"/>
  <c r="H1226" i="9"/>
  <c r="I1226" i="9" s="1"/>
  <c r="H1225" i="9"/>
  <c r="I1225" i="9" s="1"/>
  <c r="H1224" i="9"/>
  <c r="I1224" i="9" s="1"/>
  <c r="H1223" i="9"/>
  <c r="I1223" i="9" s="1"/>
  <c r="H1222" i="9"/>
  <c r="I1222" i="9" s="1"/>
  <c r="H1221" i="9"/>
  <c r="I1221" i="9" s="1"/>
  <c r="H1220" i="9"/>
  <c r="I1220" i="9" s="1"/>
  <c r="H1219" i="9"/>
  <c r="I1219" i="9" s="1"/>
  <c r="H1218" i="9"/>
  <c r="I1218" i="9" s="1"/>
  <c r="H1217" i="9"/>
  <c r="I1217" i="9" s="1"/>
  <c r="H1216" i="9"/>
  <c r="I1216" i="9" s="1"/>
  <c r="H1215" i="9"/>
  <c r="I1215" i="9" s="1"/>
  <c r="H1214" i="9"/>
  <c r="I1214" i="9" s="1"/>
  <c r="H1213" i="9"/>
  <c r="I1213" i="9" s="1"/>
  <c r="H1212" i="9"/>
  <c r="I1212" i="9" s="1"/>
  <c r="H1211" i="9"/>
  <c r="I1211" i="9" s="1"/>
  <c r="H1210" i="9"/>
  <c r="I1210" i="9" s="1"/>
  <c r="H1209" i="9"/>
  <c r="I1209" i="9" s="1"/>
  <c r="H1208" i="9"/>
  <c r="I1208" i="9" s="1"/>
  <c r="H1207" i="9"/>
  <c r="I1207" i="9" s="1"/>
  <c r="H1206" i="9"/>
  <c r="I1206" i="9" s="1"/>
  <c r="H1205" i="9"/>
  <c r="I1205" i="9" s="1"/>
  <c r="H1204" i="9"/>
  <c r="I1204" i="9" s="1"/>
  <c r="H1203" i="9"/>
  <c r="I1203" i="9" s="1"/>
  <c r="H1202" i="9"/>
  <c r="I1202" i="9" s="1"/>
  <c r="H1201" i="9"/>
  <c r="I1201" i="9" s="1"/>
  <c r="H1200" i="9"/>
  <c r="I1200" i="9" s="1"/>
  <c r="H1199" i="9"/>
  <c r="I1199" i="9" s="1"/>
  <c r="H1198" i="9"/>
  <c r="I1198" i="9" s="1"/>
  <c r="H1197" i="9"/>
  <c r="I1197" i="9" s="1"/>
  <c r="H1196" i="9"/>
  <c r="I1196" i="9" s="1"/>
  <c r="H1195" i="9"/>
  <c r="I1195" i="9" s="1"/>
  <c r="H1194" i="9"/>
  <c r="I1194" i="9" s="1"/>
  <c r="H1193" i="9"/>
  <c r="I1193" i="9" s="1"/>
  <c r="H1192" i="9"/>
  <c r="I1192" i="9" s="1"/>
  <c r="H1191" i="9"/>
  <c r="I1191" i="9" s="1"/>
  <c r="H1190" i="9"/>
  <c r="I1190" i="9" s="1"/>
  <c r="H1189" i="9"/>
  <c r="I1189" i="9" s="1"/>
  <c r="H1188" i="9"/>
  <c r="I1188" i="9" s="1"/>
  <c r="H1187" i="9"/>
  <c r="I1187" i="9" s="1"/>
  <c r="H1186" i="9"/>
  <c r="I1186" i="9" s="1"/>
  <c r="H1185" i="9"/>
  <c r="I1185" i="9" s="1"/>
  <c r="H1184" i="9"/>
  <c r="I1184" i="9" s="1"/>
  <c r="H1183" i="9"/>
  <c r="I1183" i="9" s="1"/>
  <c r="H1182" i="9"/>
  <c r="I1182" i="9" s="1"/>
  <c r="H1181" i="9"/>
  <c r="I1181" i="9" s="1"/>
  <c r="H1180" i="9"/>
  <c r="I1180" i="9" s="1"/>
  <c r="H1179" i="9"/>
  <c r="I1179" i="9" s="1"/>
  <c r="H1178" i="9"/>
  <c r="I1178" i="9" s="1"/>
  <c r="H1177" i="9"/>
  <c r="I1177" i="9" s="1"/>
  <c r="H1176" i="9"/>
  <c r="I1176" i="9" s="1"/>
  <c r="H1175" i="9"/>
  <c r="I1175" i="9" s="1"/>
  <c r="H1174" i="9"/>
  <c r="I1174" i="9" s="1"/>
  <c r="H1173" i="9"/>
  <c r="I1173" i="9" s="1"/>
  <c r="H1172" i="9"/>
  <c r="I1172" i="9" s="1"/>
  <c r="H1171" i="9"/>
  <c r="I1171" i="9" s="1"/>
  <c r="H1170" i="9"/>
  <c r="I1170" i="9" s="1"/>
  <c r="H1169" i="9"/>
  <c r="I1169" i="9" s="1"/>
  <c r="H1168" i="9"/>
  <c r="I1168" i="9" s="1"/>
  <c r="H1167" i="9"/>
  <c r="I1167" i="9" s="1"/>
  <c r="H1166" i="9"/>
  <c r="I1166" i="9" s="1"/>
  <c r="H1165" i="9"/>
  <c r="I1165" i="9" s="1"/>
  <c r="H1164" i="9"/>
  <c r="I1164" i="9" s="1"/>
  <c r="H1163" i="9"/>
  <c r="I1163" i="9" s="1"/>
  <c r="H1162" i="9"/>
  <c r="I1162" i="9" s="1"/>
  <c r="H1161" i="9"/>
  <c r="I1161" i="9" s="1"/>
  <c r="H1160" i="9"/>
  <c r="I1160" i="9" s="1"/>
  <c r="H1159" i="9"/>
  <c r="I1159" i="9" s="1"/>
  <c r="H1158" i="9"/>
  <c r="I1158" i="9" s="1"/>
  <c r="H1157" i="9"/>
  <c r="I1157" i="9" s="1"/>
  <c r="H1156" i="9"/>
  <c r="I1156" i="9" s="1"/>
  <c r="H1155" i="9"/>
  <c r="I1155" i="9" s="1"/>
  <c r="H1154" i="9"/>
  <c r="I1154" i="9" s="1"/>
  <c r="H1153" i="9"/>
  <c r="I1153" i="9" s="1"/>
  <c r="H1152" i="9"/>
  <c r="I1152" i="9" s="1"/>
  <c r="H1151" i="9"/>
  <c r="I1151" i="9" s="1"/>
  <c r="H1150" i="9"/>
  <c r="I1150" i="9" s="1"/>
  <c r="H1149" i="9"/>
  <c r="I1149" i="9" s="1"/>
  <c r="H1148" i="9"/>
  <c r="I1148" i="9" s="1"/>
  <c r="H1147" i="9"/>
  <c r="I1147" i="9" s="1"/>
  <c r="H1146" i="9"/>
  <c r="I1146" i="9" s="1"/>
  <c r="H1145" i="9"/>
  <c r="I1145" i="9" s="1"/>
  <c r="H1144" i="9"/>
  <c r="I1144" i="9" s="1"/>
  <c r="H1143" i="9"/>
  <c r="I1143" i="9" s="1"/>
  <c r="H1142" i="9"/>
  <c r="I1142" i="9" s="1"/>
  <c r="H1141" i="9"/>
  <c r="I1141" i="9" s="1"/>
  <c r="H1140" i="9"/>
  <c r="I1140" i="9" s="1"/>
  <c r="H1139" i="9"/>
  <c r="I1139" i="9" s="1"/>
  <c r="H1138" i="9"/>
  <c r="I1138" i="9" s="1"/>
  <c r="H1137" i="9"/>
  <c r="I1137" i="9" s="1"/>
  <c r="H1136" i="9"/>
  <c r="I1136" i="9" s="1"/>
  <c r="H1135" i="9"/>
  <c r="I1135" i="9" s="1"/>
  <c r="H1134" i="9"/>
  <c r="I1134" i="9" s="1"/>
  <c r="H1133" i="9"/>
  <c r="I1133" i="9" s="1"/>
  <c r="H1132" i="9"/>
  <c r="I1132" i="9" s="1"/>
  <c r="H1131" i="9"/>
  <c r="I1131" i="9" s="1"/>
  <c r="H1130" i="9"/>
  <c r="I1130" i="9" s="1"/>
  <c r="H1129" i="9"/>
  <c r="I1129" i="9" s="1"/>
  <c r="H1128" i="9"/>
  <c r="I1128" i="9" s="1"/>
  <c r="H1127" i="9"/>
  <c r="I1127" i="9" s="1"/>
  <c r="H1126" i="9"/>
  <c r="I1126" i="9" s="1"/>
  <c r="H1125" i="9"/>
  <c r="I1125" i="9" s="1"/>
  <c r="H1124" i="9"/>
  <c r="I1124" i="9" s="1"/>
  <c r="H1123" i="9"/>
  <c r="I1123" i="9" s="1"/>
  <c r="H1122" i="9"/>
  <c r="I1122" i="9" s="1"/>
  <c r="H1121" i="9"/>
  <c r="I1121" i="9" s="1"/>
  <c r="H1120" i="9"/>
  <c r="I1120" i="9" s="1"/>
  <c r="H1119" i="9"/>
  <c r="I1119" i="9" s="1"/>
  <c r="H1118" i="9"/>
  <c r="I1118" i="9" s="1"/>
  <c r="H1117" i="9"/>
  <c r="I1117" i="9" s="1"/>
  <c r="H1116" i="9"/>
  <c r="I1116" i="9" s="1"/>
  <c r="H1115" i="9"/>
  <c r="I1115" i="9" s="1"/>
  <c r="H1114" i="9"/>
  <c r="I1114" i="9" s="1"/>
  <c r="H1113" i="9"/>
  <c r="I1113" i="9" s="1"/>
  <c r="H1112" i="9"/>
  <c r="I1112" i="9" s="1"/>
  <c r="H1111" i="9"/>
  <c r="I1111" i="9" s="1"/>
  <c r="H1110" i="9"/>
  <c r="I1110" i="9" s="1"/>
  <c r="H1109" i="9"/>
  <c r="I1109" i="9" s="1"/>
  <c r="H1108" i="9"/>
  <c r="I1108" i="9" s="1"/>
  <c r="H1107" i="9"/>
  <c r="I1107" i="9" s="1"/>
  <c r="H1106" i="9"/>
  <c r="I1106" i="9" s="1"/>
  <c r="H1105" i="9"/>
  <c r="I1105" i="9" s="1"/>
  <c r="H1104" i="9"/>
  <c r="I1104" i="9" s="1"/>
  <c r="H1103" i="9"/>
  <c r="I1103" i="9" s="1"/>
  <c r="H1102" i="9"/>
  <c r="I1102" i="9" s="1"/>
  <c r="H1101" i="9"/>
  <c r="I1101" i="9" s="1"/>
  <c r="H1100" i="9"/>
  <c r="I1100" i="9" s="1"/>
  <c r="H1099" i="9"/>
  <c r="I1099" i="9" s="1"/>
  <c r="H1098" i="9"/>
  <c r="I1098" i="9" s="1"/>
  <c r="H1097" i="9"/>
  <c r="I1097" i="9" s="1"/>
  <c r="H1096" i="9"/>
  <c r="I1096" i="9" s="1"/>
  <c r="H1095" i="9"/>
  <c r="I1095" i="9" s="1"/>
  <c r="H1094" i="9"/>
  <c r="I1094" i="9" s="1"/>
  <c r="H1093" i="9"/>
  <c r="I1093" i="9" s="1"/>
  <c r="H1092" i="9"/>
  <c r="I1092" i="9" s="1"/>
  <c r="H1091" i="9"/>
  <c r="I1091" i="9" s="1"/>
  <c r="H1090" i="9"/>
  <c r="I1090" i="9" s="1"/>
  <c r="H1089" i="9"/>
  <c r="I1089" i="9" s="1"/>
  <c r="H1088" i="9"/>
  <c r="I1088" i="9" s="1"/>
  <c r="H1087" i="9"/>
  <c r="I1087" i="9" s="1"/>
  <c r="H1086" i="9"/>
  <c r="I1086" i="9" s="1"/>
  <c r="H1085" i="9"/>
  <c r="I1085" i="9" s="1"/>
  <c r="H1084" i="9"/>
  <c r="I1084" i="9" s="1"/>
  <c r="H1083" i="9"/>
  <c r="I1083" i="9" s="1"/>
  <c r="H1082" i="9"/>
  <c r="I1082" i="9" s="1"/>
  <c r="H1081" i="9"/>
  <c r="I1081" i="9" s="1"/>
  <c r="H1080" i="9"/>
  <c r="I1080" i="9" s="1"/>
  <c r="H1079" i="9"/>
  <c r="I1079" i="9" s="1"/>
  <c r="H1078" i="9"/>
  <c r="I1078" i="9" s="1"/>
  <c r="H1077" i="9"/>
  <c r="I1077" i="9" s="1"/>
  <c r="H1076" i="9"/>
  <c r="I1076" i="9" s="1"/>
  <c r="H1075" i="9"/>
  <c r="I1075" i="9" s="1"/>
  <c r="H1074" i="9"/>
  <c r="I1074" i="9" s="1"/>
  <c r="H1073" i="9"/>
  <c r="I1073" i="9" s="1"/>
  <c r="H1072" i="9"/>
  <c r="I1072" i="9" s="1"/>
  <c r="H1071" i="9"/>
  <c r="I1071" i="9" s="1"/>
  <c r="H1070" i="9"/>
  <c r="I1070" i="9" s="1"/>
  <c r="H1069" i="9"/>
  <c r="I1069" i="9" s="1"/>
  <c r="H1068" i="9"/>
  <c r="I1068" i="9" s="1"/>
  <c r="H1067" i="9"/>
  <c r="I1067" i="9" s="1"/>
  <c r="H1066" i="9"/>
  <c r="I1066" i="9" s="1"/>
  <c r="H1065" i="9"/>
  <c r="I1065" i="9" s="1"/>
  <c r="H1064" i="9"/>
  <c r="I1064" i="9" s="1"/>
  <c r="H1063" i="9"/>
  <c r="I1063" i="9" s="1"/>
  <c r="H1062" i="9"/>
  <c r="I1062" i="9" s="1"/>
  <c r="H1061" i="9"/>
  <c r="I1061" i="9" s="1"/>
  <c r="H1060" i="9"/>
  <c r="I1060" i="9" s="1"/>
  <c r="H1059" i="9"/>
  <c r="I1059" i="9" s="1"/>
  <c r="H1058" i="9"/>
  <c r="I1058" i="9" s="1"/>
  <c r="H1057" i="9"/>
  <c r="I1057" i="9" s="1"/>
  <c r="H1056" i="9"/>
  <c r="I1056" i="9" s="1"/>
  <c r="H1055" i="9"/>
  <c r="I1055" i="9" s="1"/>
  <c r="H1054" i="9"/>
  <c r="I1054" i="9" s="1"/>
  <c r="H1053" i="9"/>
  <c r="I1053" i="9" s="1"/>
  <c r="H1052" i="9"/>
  <c r="I1052" i="9" s="1"/>
  <c r="H1051" i="9"/>
  <c r="I1051" i="9" s="1"/>
  <c r="H1050" i="9"/>
  <c r="I1050" i="9" s="1"/>
  <c r="H1049" i="9"/>
  <c r="I1049" i="9" s="1"/>
  <c r="H1048" i="9"/>
  <c r="I1048" i="9" s="1"/>
  <c r="H1047" i="9"/>
  <c r="I1047" i="9" s="1"/>
  <c r="H1046" i="9"/>
  <c r="I1046" i="9" s="1"/>
  <c r="H1045" i="9"/>
  <c r="I1045" i="9" s="1"/>
  <c r="H1044" i="9"/>
  <c r="I1044" i="9" s="1"/>
  <c r="H1043" i="9"/>
  <c r="I1043" i="9" s="1"/>
  <c r="H1042" i="9"/>
  <c r="I1042" i="9" s="1"/>
  <c r="H1041" i="9"/>
  <c r="I1041" i="9" s="1"/>
  <c r="H1040" i="9"/>
  <c r="I1040" i="9" s="1"/>
  <c r="H1039" i="9"/>
  <c r="I1039" i="9" s="1"/>
  <c r="H1038" i="9"/>
  <c r="I1038" i="9" s="1"/>
  <c r="H1037" i="9"/>
  <c r="I1037" i="9" s="1"/>
  <c r="H1036" i="9"/>
  <c r="I1036" i="9" s="1"/>
  <c r="H1035" i="9"/>
  <c r="I1035" i="9" s="1"/>
  <c r="H1034" i="9"/>
  <c r="I1034" i="9" s="1"/>
  <c r="H1033" i="9"/>
  <c r="I1033" i="9" s="1"/>
  <c r="H1032" i="9"/>
  <c r="I1032" i="9" s="1"/>
  <c r="H1031" i="9"/>
  <c r="I1031" i="9" s="1"/>
  <c r="H1030" i="9"/>
  <c r="I1030" i="9" s="1"/>
  <c r="H1029" i="9"/>
  <c r="I1029" i="9" s="1"/>
  <c r="H1028" i="9"/>
  <c r="I1028" i="9" s="1"/>
  <c r="H1027" i="9"/>
  <c r="I1027" i="9" s="1"/>
  <c r="H1026" i="9"/>
  <c r="I1026" i="9" s="1"/>
  <c r="H1025" i="9"/>
  <c r="I1025" i="9" s="1"/>
  <c r="H1024" i="9"/>
  <c r="I1024" i="9" s="1"/>
  <c r="H1023" i="9"/>
  <c r="I1023" i="9" s="1"/>
  <c r="H1022" i="9"/>
  <c r="I1022" i="9" s="1"/>
  <c r="H1021" i="9"/>
  <c r="I1021" i="9" s="1"/>
  <c r="H1020" i="9"/>
  <c r="I1020" i="9" s="1"/>
  <c r="H1019" i="9"/>
  <c r="I1019" i="9" s="1"/>
  <c r="H1018" i="9"/>
  <c r="I1018" i="9" s="1"/>
  <c r="H1017" i="9"/>
  <c r="I1017" i="9" s="1"/>
  <c r="H1016" i="9"/>
  <c r="I1016" i="9" s="1"/>
  <c r="H1015" i="9"/>
  <c r="I1015" i="9" s="1"/>
  <c r="H1014" i="9"/>
  <c r="I1014" i="9" s="1"/>
  <c r="H1013" i="9"/>
  <c r="I1013" i="9" s="1"/>
  <c r="H1012" i="9"/>
  <c r="I1012" i="9" s="1"/>
  <c r="H1011" i="9"/>
  <c r="I1011" i="9" s="1"/>
  <c r="H1010" i="9"/>
  <c r="I1010" i="9" s="1"/>
  <c r="H1009" i="9"/>
  <c r="I1009" i="9" s="1"/>
  <c r="H1008" i="9"/>
  <c r="I1008" i="9" s="1"/>
  <c r="H1007" i="9"/>
  <c r="I1007" i="9" s="1"/>
  <c r="H1006" i="9"/>
  <c r="I1006" i="9" s="1"/>
  <c r="H1005" i="9"/>
  <c r="I1005" i="9" s="1"/>
  <c r="H1004" i="9"/>
  <c r="I1004" i="9" s="1"/>
  <c r="H1003" i="9"/>
  <c r="I1003" i="9" s="1"/>
  <c r="H1002" i="9"/>
  <c r="I1002" i="9" s="1"/>
  <c r="H1001" i="9"/>
  <c r="I1001" i="9" s="1"/>
  <c r="H1000" i="9"/>
  <c r="I1000" i="9" s="1"/>
  <c r="H999" i="9"/>
  <c r="I999" i="9" s="1"/>
  <c r="H998" i="9"/>
  <c r="I998" i="9" s="1"/>
  <c r="H997" i="9"/>
  <c r="I997" i="9" s="1"/>
  <c r="H996" i="9"/>
  <c r="I996" i="9" s="1"/>
  <c r="H995" i="9"/>
  <c r="I995" i="9" s="1"/>
  <c r="H994" i="9"/>
  <c r="I994" i="9" s="1"/>
  <c r="H993" i="9"/>
  <c r="I993" i="9" s="1"/>
  <c r="H992" i="9"/>
  <c r="I992" i="9" s="1"/>
  <c r="H991" i="9"/>
  <c r="I991" i="9" s="1"/>
  <c r="H990" i="9"/>
  <c r="I990" i="9" s="1"/>
  <c r="H989" i="9"/>
  <c r="I989" i="9" s="1"/>
  <c r="H988" i="9"/>
  <c r="I988" i="9" s="1"/>
  <c r="H987" i="9"/>
  <c r="I987" i="9" s="1"/>
  <c r="H986" i="9"/>
  <c r="I986" i="9" s="1"/>
  <c r="H985" i="9"/>
  <c r="I985" i="9" s="1"/>
  <c r="H984" i="9"/>
  <c r="I984" i="9" s="1"/>
  <c r="H983" i="9"/>
  <c r="I983" i="9" s="1"/>
  <c r="H982" i="9"/>
  <c r="I982" i="9" s="1"/>
  <c r="H981" i="9"/>
  <c r="I981" i="9" s="1"/>
  <c r="H980" i="9"/>
  <c r="I980" i="9" s="1"/>
  <c r="H979" i="9"/>
  <c r="I979" i="9" s="1"/>
  <c r="H978" i="9"/>
  <c r="I978" i="9" s="1"/>
  <c r="H977" i="9"/>
  <c r="I977" i="9" s="1"/>
  <c r="H976" i="9"/>
  <c r="I976" i="9" s="1"/>
  <c r="H975" i="9"/>
  <c r="I975" i="9" s="1"/>
  <c r="H974" i="9"/>
  <c r="I974" i="9" s="1"/>
  <c r="H973" i="9"/>
  <c r="I973" i="9" s="1"/>
  <c r="H972" i="9"/>
  <c r="I972" i="9" s="1"/>
  <c r="H971" i="9"/>
  <c r="I971" i="9" s="1"/>
  <c r="H970" i="9"/>
  <c r="I970" i="9" s="1"/>
  <c r="H969" i="9"/>
  <c r="I969" i="9" s="1"/>
  <c r="H968" i="9"/>
  <c r="I968" i="9" s="1"/>
  <c r="H967" i="9"/>
  <c r="I967" i="9" s="1"/>
  <c r="H966" i="9"/>
  <c r="I966" i="9" s="1"/>
  <c r="H965" i="9"/>
  <c r="I965" i="9" s="1"/>
  <c r="H964" i="9"/>
  <c r="I964" i="9" s="1"/>
  <c r="H963" i="9"/>
  <c r="I963" i="9" s="1"/>
  <c r="H962" i="9"/>
  <c r="I962" i="9" s="1"/>
  <c r="H961" i="9"/>
  <c r="I961" i="9" s="1"/>
  <c r="H960" i="9"/>
  <c r="I960" i="9" s="1"/>
  <c r="H959" i="9"/>
  <c r="I959" i="9" s="1"/>
  <c r="H958" i="9"/>
  <c r="I958" i="9" s="1"/>
  <c r="H957" i="9"/>
  <c r="I957" i="9" s="1"/>
  <c r="H956" i="9"/>
  <c r="I956" i="9" s="1"/>
  <c r="H955" i="9"/>
  <c r="I955" i="9" s="1"/>
  <c r="H954" i="9"/>
  <c r="I954" i="9" s="1"/>
  <c r="H953" i="9"/>
  <c r="I953" i="9" s="1"/>
  <c r="H952" i="9"/>
  <c r="I952" i="9" s="1"/>
  <c r="H951" i="9"/>
  <c r="I951" i="9" s="1"/>
  <c r="H950" i="9"/>
  <c r="I950" i="9" s="1"/>
  <c r="H949" i="9"/>
  <c r="I949" i="9" s="1"/>
  <c r="H948" i="9"/>
  <c r="I948" i="9" s="1"/>
  <c r="H947" i="9"/>
  <c r="I947" i="9" s="1"/>
  <c r="H946" i="9"/>
  <c r="I946" i="9" s="1"/>
  <c r="H945" i="9"/>
  <c r="I945" i="9" s="1"/>
  <c r="H944" i="9"/>
  <c r="I944" i="9" s="1"/>
  <c r="H943" i="9"/>
  <c r="I943" i="9" s="1"/>
  <c r="H942" i="9"/>
  <c r="I942" i="9" s="1"/>
  <c r="H941" i="9"/>
  <c r="I941" i="9" s="1"/>
  <c r="H940" i="9"/>
  <c r="I940" i="9" s="1"/>
  <c r="H939" i="9"/>
  <c r="I939" i="9" s="1"/>
  <c r="H938" i="9"/>
  <c r="I938" i="9" s="1"/>
  <c r="H937" i="9"/>
  <c r="I937" i="9" s="1"/>
  <c r="H936" i="9"/>
  <c r="I936" i="9" s="1"/>
  <c r="H935" i="9"/>
  <c r="I935" i="9" s="1"/>
  <c r="H934" i="9"/>
  <c r="I934" i="9" s="1"/>
  <c r="H933" i="9"/>
  <c r="I933" i="9" s="1"/>
  <c r="H932" i="9"/>
  <c r="I932" i="9" s="1"/>
  <c r="H931" i="9"/>
  <c r="I931" i="9" s="1"/>
  <c r="H930" i="9"/>
  <c r="I930" i="9" s="1"/>
  <c r="H929" i="9"/>
  <c r="I929" i="9" s="1"/>
  <c r="H928" i="9"/>
  <c r="I928" i="9" s="1"/>
  <c r="H927" i="9"/>
  <c r="I927" i="9" s="1"/>
  <c r="H926" i="9"/>
  <c r="I926" i="9" s="1"/>
  <c r="H925" i="9"/>
  <c r="I925" i="9" s="1"/>
  <c r="H924" i="9"/>
  <c r="I924" i="9" s="1"/>
  <c r="H923" i="9"/>
  <c r="I923" i="9" s="1"/>
  <c r="H922" i="9"/>
  <c r="I922" i="9" s="1"/>
  <c r="H921" i="9"/>
  <c r="I921" i="9" s="1"/>
  <c r="H920" i="9"/>
  <c r="I920" i="9" s="1"/>
  <c r="H919" i="9"/>
  <c r="I919" i="9" s="1"/>
  <c r="H918" i="9"/>
  <c r="I918" i="9" s="1"/>
  <c r="H917" i="9"/>
  <c r="I917" i="9" s="1"/>
  <c r="H916" i="9"/>
  <c r="I916" i="9" s="1"/>
  <c r="H915" i="9"/>
  <c r="I915" i="9" s="1"/>
  <c r="H914" i="9"/>
  <c r="I914" i="9" s="1"/>
  <c r="H913" i="9"/>
  <c r="I913" i="9" s="1"/>
  <c r="H912" i="9"/>
  <c r="I912" i="9" s="1"/>
  <c r="H911" i="9"/>
  <c r="I911" i="9" s="1"/>
  <c r="H910" i="9"/>
  <c r="I910" i="9" s="1"/>
  <c r="H909" i="9"/>
  <c r="I909" i="9" s="1"/>
  <c r="H908" i="9"/>
  <c r="I908" i="9" s="1"/>
  <c r="H907" i="9"/>
  <c r="I907" i="9" s="1"/>
  <c r="H906" i="9"/>
  <c r="I906" i="9" s="1"/>
  <c r="H905" i="9"/>
  <c r="I905" i="9" s="1"/>
  <c r="H904" i="9"/>
  <c r="I904" i="9" s="1"/>
  <c r="H903" i="9"/>
  <c r="I903" i="9" s="1"/>
  <c r="H902" i="9"/>
  <c r="I902" i="9" s="1"/>
  <c r="H901" i="9"/>
  <c r="I901" i="9" s="1"/>
  <c r="H900" i="9"/>
  <c r="I900" i="9" s="1"/>
  <c r="H899" i="9"/>
  <c r="I899" i="9" s="1"/>
  <c r="H898" i="9"/>
  <c r="I898" i="9" s="1"/>
  <c r="H897" i="9"/>
  <c r="I897" i="9" s="1"/>
  <c r="H896" i="9"/>
  <c r="I896" i="9" s="1"/>
  <c r="H895" i="9"/>
  <c r="I895" i="9" s="1"/>
  <c r="H894" i="9"/>
  <c r="I894" i="9" s="1"/>
  <c r="H893" i="9"/>
  <c r="I893" i="9" s="1"/>
  <c r="H892" i="9"/>
  <c r="I892" i="9" s="1"/>
  <c r="H891" i="9"/>
  <c r="I891" i="9" s="1"/>
  <c r="H890" i="9"/>
  <c r="I890" i="9" s="1"/>
  <c r="H889" i="9"/>
  <c r="I889" i="9" s="1"/>
  <c r="H888" i="9"/>
  <c r="I888" i="9" s="1"/>
  <c r="H887" i="9"/>
  <c r="I887" i="9" s="1"/>
  <c r="H886" i="9"/>
  <c r="I886" i="9" s="1"/>
  <c r="H885" i="9"/>
  <c r="I885" i="9" s="1"/>
  <c r="H884" i="9"/>
  <c r="I884" i="9" s="1"/>
  <c r="H883" i="9"/>
  <c r="I883" i="9" s="1"/>
  <c r="H882" i="9"/>
  <c r="I882" i="9" s="1"/>
  <c r="H881" i="9"/>
  <c r="I881" i="9" s="1"/>
  <c r="H880" i="9"/>
  <c r="I880" i="9" s="1"/>
  <c r="H879" i="9"/>
  <c r="I879" i="9" s="1"/>
  <c r="H878" i="9"/>
  <c r="I878" i="9" s="1"/>
  <c r="H877" i="9"/>
  <c r="I877" i="9" s="1"/>
  <c r="H876" i="9"/>
  <c r="I876" i="9" s="1"/>
  <c r="H875" i="9"/>
  <c r="I875" i="9" s="1"/>
  <c r="H874" i="9"/>
  <c r="I874" i="9" s="1"/>
  <c r="H873" i="9"/>
  <c r="I873" i="9" s="1"/>
  <c r="H872" i="9"/>
  <c r="I872" i="9" s="1"/>
  <c r="H871" i="9"/>
  <c r="I871" i="9" s="1"/>
  <c r="H870" i="9"/>
  <c r="I870" i="9" s="1"/>
  <c r="H869" i="9"/>
  <c r="I869" i="9" s="1"/>
  <c r="H868" i="9"/>
  <c r="I868" i="9" s="1"/>
  <c r="H867" i="9"/>
  <c r="I867" i="9" s="1"/>
  <c r="H866" i="9"/>
  <c r="I866" i="9" s="1"/>
  <c r="H865" i="9"/>
  <c r="I865" i="9" s="1"/>
  <c r="H864" i="9"/>
  <c r="I864" i="9" s="1"/>
  <c r="H863" i="9"/>
  <c r="I863" i="9" s="1"/>
  <c r="H862" i="9"/>
  <c r="I862" i="9" s="1"/>
  <c r="H861" i="9"/>
  <c r="I861" i="9" s="1"/>
  <c r="H860" i="9"/>
  <c r="I860" i="9" s="1"/>
  <c r="H859" i="9"/>
  <c r="I859" i="9" s="1"/>
  <c r="H858" i="9"/>
  <c r="I858" i="9" s="1"/>
  <c r="H857" i="9"/>
  <c r="I857" i="9" s="1"/>
  <c r="H856" i="9"/>
  <c r="I856" i="9" s="1"/>
  <c r="H855" i="9"/>
  <c r="I855" i="9" s="1"/>
  <c r="H854" i="9"/>
  <c r="I854" i="9" s="1"/>
  <c r="H853" i="9"/>
  <c r="I853" i="9" s="1"/>
  <c r="H852" i="9"/>
  <c r="I852" i="9" s="1"/>
  <c r="H851" i="9"/>
  <c r="I851" i="9" s="1"/>
  <c r="H850" i="9"/>
  <c r="I850" i="9" s="1"/>
  <c r="H849" i="9"/>
  <c r="I849" i="9" s="1"/>
  <c r="H848" i="9"/>
  <c r="I848" i="9" s="1"/>
  <c r="H847" i="9"/>
  <c r="I847" i="9" s="1"/>
  <c r="H846" i="9"/>
  <c r="I846" i="9" s="1"/>
  <c r="H845" i="9"/>
  <c r="I845" i="9" s="1"/>
  <c r="H844" i="9"/>
  <c r="I844" i="9" s="1"/>
  <c r="H843" i="9"/>
  <c r="I843" i="9" s="1"/>
  <c r="H842" i="9"/>
  <c r="I842" i="9" s="1"/>
  <c r="H841" i="9"/>
  <c r="I841" i="9" s="1"/>
  <c r="H840" i="9"/>
  <c r="I840" i="9" s="1"/>
  <c r="H839" i="9"/>
  <c r="I839" i="9" s="1"/>
  <c r="H838" i="9"/>
  <c r="I838" i="9" s="1"/>
  <c r="H837" i="9"/>
  <c r="I837" i="9" s="1"/>
  <c r="H836" i="9"/>
  <c r="I836" i="9" s="1"/>
  <c r="H835" i="9"/>
  <c r="I835" i="9" s="1"/>
  <c r="H834" i="9"/>
  <c r="I834" i="9" s="1"/>
  <c r="H833" i="9"/>
  <c r="I833" i="9" s="1"/>
  <c r="H832" i="9"/>
  <c r="I832" i="9" s="1"/>
  <c r="H831" i="9"/>
  <c r="I831" i="9" s="1"/>
  <c r="H830" i="9"/>
  <c r="I830" i="9" s="1"/>
  <c r="H829" i="9"/>
  <c r="I829" i="9" s="1"/>
  <c r="H828" i="9"/>
  <c r="I828" i="9" s="1"/>
  <c r="H827" i="9"/>
  <c r="I827" i="9" s="1"/>
  <c r="H826" i="9"/>
  <c r="I826" i="9" s="1"/>
  <c r="H825" i="9"/>
  <c r="I825" i="9" s="1"/>
  <c r="H824" i="9"/>
  <c r="I824" i="9" s="1"/>
  <c r="H823" i="9"/>
  <c r="I823" i="9" s="1"/>
  <c r="H822" i="9"/>
  <c r="I822" i="9" s="1"/>
  <c r="H821" i="9"/>
  <c r="I821" i="9" s="1"/>
  <c r="H820" i="9"/>
  <c r="I820" i="9" s="1"/>
  <c r="H819" i="9"/>
  <c r="I819" i="9" s="1"/>
  <c r="H818" i="9"/>
  <c r="I818" i="9" s="1"/>
  <c r="H817" i="9"/>
  <c r="I817" i="9" s="1"/>
  <c r="H816" i="9"/>
  <c r="I816" i="9" s="1"/>
  <c r="H815" i="9"/>
  <c r="I815" i="9" s="1"/>
  <c r="H814" i="9"/>
  <c r="I814" i="9" s="1"/>
  <c r="H813" i="9"/>
  <c r="I813" i="9" s="1"/>
  <c r="H812" i="9"/>
  <c r="I812" i="9" s="1"/>
  <c r="H811" i="9"/>
  <c r="I811" i="9" s="1"/>
  <c r="H810" i="9"/>
  <c r="I810" i="9" s="1"/>
  <c r="H809" i="9"/>
  <c r="I809" i="9" s="1"/>
  <c r="H808" i="9"/>
  <c r="I808" i="9" s="1"/>
  <c r="H807" i="9"/>
  <c r="I807" i="9" s="1"/>
  <c r="H806" i="9"/>
  <c r="I806" i="9" s="1"/>
  <c r="H805" i="9"/>
  <c r="I805" i="9" s="1"/>
  <c r="H804" i="9"/>
  <c r="I804" i="9" s="1"/>
  <c r="H803" i="9"/>
  <c r="I803" i="9" s="1"/>
  <c r="H802" i="9"/>
  <c r="I802" i="9" s="1"/>
  <c r="H801" i="9"/>
  <c r="I801" i="9" s="1"/>
  <c r="H800" i="9"/>
  <c r="I800" i="9" s="1"/>
  <c r="H799" i="9"/>
  <c r="I799" i="9" s="1"/>
  <c r="H798" i="9"/>
  <c r="I798" i="9" s="1"/>
  <c r="H797" i="9"/>
  <c r="I797" i="9" s="1"/>
  <c r="H796" i="9"/>
  <c r="I796" i="9" s="1"/>
  <c r="H795" i="9"/>
  <c r="I795" i="9" s="1"/>
  <c r="H794" i="9"/>
  <c r="I794" i="9" s="1"/>
  <c r="H793" i="9"/>
  <c r="I793" i="9" s="1"/>
  <c r="H792" i="9"/>
  <c r="I792" i="9" s="1"/>
  <c r="H791" i="9"/>
  <c r="I791" i="9" s="1"/>
  <c r="H790" i="9"/>
  <c r="I790" i="9" s="1"/>
  <c r="H789" i="9"/>
  <c r="I789" i="9" s="1"/>
  <c r="H788" i="9"/>
  <c r="I788" i="9" s="1"/>
  <c r="H787" i="9"/>
  <c r="I787" i="9" s="1"/>
  <c r="H786" i="9"/>
  <c r="I786" i="9" s="1"/>
  <c r="H785" i="9"/>
  <c r="I785" i="9" s="1"/>
  <c r="H784" i="9"/>
  <c r="I784" i="9" s="1"/>
  <c r="H783" i="9"/>
  <c r="I783" i="9" s="1"/>
  <c r="H782" i="9"/>
  <c r="I782" i="9" s="1"/>
  <c r="H781" i="9"/>
  <c r="I781" i="9" s="1"/>
  <c r="H780" i="9"/>
  <c r="I780" i="9" s="1"/>
  <c r="H779" i="9"/>
  <c r="I779" i="9" s="1"/>
  <c r="H778" i="9"/>
  <c r="I778" i="9" s="1"/>
  <c r="H777" i="9"/>
  <c r="I777" i="9" s="1"/>
  <c r="H776" i="9"/>
  <c r="I776" i="9" s="1"/>
  <c r="H775" i="9"/>
  <c r="I775" i="9" s="1"/>
  <c r="H774" i="9"/>
  <c r="I774" i="9" s="1"/>
  <c r="H773" i="9"/>
  <c r="I773" i="9" s="1"/>
  <c r="H772" i="9"/>
  <c r="I772" i="9" s="1"/>
  <c r="H771" i="9"/>
  <c r="I771" i="9" s="1"/>
  <c r="H770" i="9"/>
  <c r="I770" i="9" s="1"/>
  <c r="H769" i="9"/>
  <c r="I769" i="9" s="1"/>
  <c r="H768" i="9"/>
  <c r="I768" i="9" s="1"/>
  <c r="H767" i="9"/>
  <c r="I767" i="9" s="1"/>
  <c r="H766" i="9"/>
  <c r="I766" i="9" s="1"/>
  <c r="H765" i="9"/>
  <c r="I765" i="9" s="1"/>
  <c r="H764" i="9"/>
  <c r="I764" i="9" s="1"/>
  <c r="H763" i="9"/>
  <c r="I763" i="9" s="1"/>
  <c r="H762" i="9"/>
  <c r="I762" i="9" s="1"/>
  <c r="H761" i="9"/>
  <c r="I761" i="9" s="1"/>
  <c r="H760" i="9"/>
  <c r="I760" i="9" s="1"/>
  <c r="H759" i="9"/>
  <c r="I759" i="9" s="1"/>
  <c r="H758" i="9"/>
  <c r="I758" i="9" s="1"/>
  <c r="H757" i="9"/>
  <c r="I757" i="9" s="1"/>
  <c r="H756" i="9"/>
  <c r="I756" i="9" s="1"/>
  <c r="H755" i="9"/>
  <c r="I755" i="9" s="1"/>
  <c r="H754" i="9"/>
  <c r="I754" i="9" s="1"/>
  <c r="H753" i="9"/>
  <c r="I753" i="9" s="1"/>
  <c r="H752" i="9"/>
  <c r="I752" i="9" s="1"/>
  <c r="H751" i="9"/>
  <c r="I751" i="9" s="1"/>
  <c r="H750" i="9"/>
  <c r="I750" i="9" s="1"/>
  <c r="H749" i="9"/>
  <c r="I749" i="9" s="1"/>
  <c r="H748" i="9"/>
  <c r="I748" i="9" s="1"/>
  <c r="H747" i="9"/>
  <c r="I747" i="9" s="1"/>
  <c r="H746" i="9"/>
  <c r="I746" i="9" s="1"/>
  <c r="H745" i="9"/>
  <c r="I745" i="9" s="1"/>
  <c r="H744" i="9"/>
  <c r="I744" i="9" s="1"/>
  <c r="H743" i="9"/>
  <c r="I743" i="9" s="1"/>
  <c r="H742" i="9"/>
  <c r="I742" i="9" s="1"/>
  <c r="H741" i="9"/>
  <c r="I741" i="9" s="1"/>
  <c r="H740" i="9"/>
  <c r="I740" i="9" s="1"/>
  <c r="H739" i="9"/>
  <c r="I739" i="9" s="1"/>
  <c r="H738" i="9"/>
  <c r="I738" i="9" s="1"/>
  <c r="H737" i="9"/>
  <c r="I737" i="9" s="1"/>
  <c r="H736" i="9"/>
  <c r="I736" i="9" s="1"/>
  <c r="H735" i="9"/>
  <c r="I735" i="9" s="1"/>
  <c r="H734" i="9"/>
  <c r="I734" i="9" s="1"/>
  <c r="H733" i="9"/>
  <c r="I733" i="9" s="1"/>
  <c r="H732" i="9"/>
  <c r="I732" i="9" s="1"/>
  <c r="H731" i="9"/>
  <c r="I731" i="9" s="1"/>
  <c r="H730" i="9"/>
  <c r="I730" i="9" s="1"/>
  <c r="H729" i="9"/>
  <c r="I729" i="9" s="1"/>
  <c r="H728" i="9"/>
  <c r="I728" i="9" s="1"/>
  <c r="H727" i="9"/>
  <c r="I727" i="9" s="1"/>
  <c r="H726" i="9"/>
  <c r="I726" i="9" s="1"/>
  <c r="H725" i="9"/>
  <c r="I725" i="9" s="1"/>
  <c r="H724" i="9"/>
  <c r="I724" i="9" s="1"/>
  <c r="H723" i="9"/>
  <c r="I723" i="9" s="1"/>
  <c r="I722" i="9"/>
  <c r="H722" i="9"/>
  <c r="H721" i="9"/>
  <c r="I721" i="9" s="1"/>
  <c r="H720" i="9"/>
  <c r="I720" i="9" s="1"/>
  <c r="H719" i="9"/>
  <c r="I719" i="9" s="1"/>
  <c r="H718" i="9"/>
  <c r="I718" i="9" s="1"/>
  <c r="H717" i="9"/>
  <c r="I717" i="9" s="1"/>
  <c r="H716" i="9"/>
  <c r="I716" i="9" s="1"/>
  <c r="H715" i="9"/>
  <c r="I715" i="9" s="1"/>
  <c r="I714" i="9"/>
  <c r="H714" i="9"/>
  <c r="H713" i="9"/>
  <c r="I713" i="9" s="1"/>
  <c r="H712" i="9"/>
  <c r="I712" i="9" s="1"/>
  <c r="H711" i="9"/>
  <c r="I711" i="9" s="1"/>
  <c r="H710" i="9"/>
  <c r="I710" i="9" s="1"/>
  <c r="H709" i="9"/>
  <c r="I709" i="9" s="1"/>
  <c r="H708" i="9"/>
  <c r="I708" i="9" s="1"/>
  <c r="H707" i="9"/>
  <c r="I707" i="9" s="1"/>
  <c r="I706" i="9"/>
  <c r="H706" i="9"/>
  <c r="H705" i="9"/>
  <c r="I705" i="9" s="1"/>
  <c r="H704" i="9"/>
  <c r="I704" i="9" s="1"/>
  <c r="H703" i="9"/>
  <c r="I703" i="9" s="1"/>
  <c r="H702" i="9"/>
  <c r="I702" i="9" s="1"/>
  <c r="H701" i="9"/>
  <c r="I701" i="9" s="1"/>
  <c r="H700" i="9"/>
  <c r="I700" i="9" s="1"/>
  <c r="H699" i="9"/>
  <c r="I699" i="9" s="1"/>
  <c r="I698" i="9"/>
  <c r="H698" i="9"/>
  <c r="H697" i="9"/>
  <c r="I697" i="9" s="1"/>
  <c r="H696" i="9"/>
  <c r="I696" i="9" s="1"/>
  <c r="H695" i="9"/>
  <c r="I695" i="9" s="1"/>
  <c r="H694" i="9"/>
  <c r="I694" i="9" s="1"/>
  <c r="H693" i="9"/>
  <c r="I693" i="9" s="1"/>
  <c r="H692" i="9"/>
  <c r="I692" i="9" s="1"/>
  <c r="H691" i="9"/>
  <c r="I691" i="9" s="1"/>
  <c r="H690" i="9"/>
  <c r="I690" i="9" s="1"/>
  <c r="H689" i="9"/>
  <c r="I689" i="9" s="1"/>
  <c r="H688" i="9"/>
  <c r="I688" i="9" s="1"/>
  <c r="H687" i="9"/>
  <c r="I687" i="9" s="1"/>
  <c r="H686" i="9"/>
  <c r="I686" i="9" s="1"/>
  <c r="H685" i="9"/>
  <c r="I685" i="9" s="1"/>
  <c r="H684" i="9"/>
  <c r="I684" i="9" s="1"/>
  <c r="H683" i="9"/>
  <c r="I683" i="9" s="1"/>
  <c r="I682" i="9"/>
  <c r="H682" i="9"/>
  <c r="H681" i="9"/>
  <c r="I681" i="9" s="1"/>
  <c r="H680" i="9"/>
  <c r="I680" i="9" s="1"/>
  <c r="H679" i="9"/>
  <c r="I679" i="9" s="1"/>
  <c r="H678" i="9"/>
  <c r="I678" i="9" s="1"/>
  <c r="H677" i="9"/>
  <c r="I677" i="9" s="1"/>
  <c r="H676" i="9"/>
  <c r="I676" i="9" s="1"/>
  <c r="H675" i="9"/>
  <c r="I675" i="9" s="1"/>
  <c r="H674" i="9"/>
  <c r="I674" i="9" s="1"/>
  <c r="H673" i="9"/>
  <c r="I673" i="9" s="1"/>
  <c r="H672" i="9"/>
  <c r="I672" i="9" s="1"/>
  <c r="H671" i="9"/>
  <c r="I671" i="9" s="1"/>
  <c r="H670" i="9"/>
  <c r="I670" i="9" s="1"/>
  <c r="H669" i="9"/>
  <c r="I669" i="9" s="1"/>
  <c r="H668" i="9"/>
  <c r="I668" i="9" s="1"/>
  <c r="H667" i="9"/>
  <c r="I667" i="9" s="1"/>
  <c r="H666" i="9"/>
  <c r="I666" i="9" s="1"/>
  <c r="H665" i="9"/>
  <c r="I665" i="9" s="1"/>
  <c r="H664" i="9"/>
  <c r="I664" i="9" s="1"/>
  <c r="H663" i="9"/>
  <c r="I663" i="9" s="1"/>
  <c r="H662" i="9"/>
  <c r="I662" i="9" s="1"/>
  <c r="H661" i="9"/>
  <c r="I661" i="9" s="1"/>
  <c r="H660" i="9"/>
  <c r="I660" i="9" s="1"/>
  <c r="H659" i="9"/>
  <c r="I659" i="9" s="1"/>
  <c r="H658" i="9"/>
  <c r="I658" i="9" s="1"/>
  <c r="H657" i="9"/>
  <c r="I657" i="9" s="1"/>
  <c r="H656" i="9"/>
  <c r="I656" i="9" s="1"/>
  <c r="H655" i="9"/>
  <c r="I655" i="9" s="1"/>
  <c r="H654" i="9"/>
  <c r="I654" i="9" s="1"/>
  <c r="H653" i="9"/>
  <c r="I653" i="9" s="1"/>
  <c r="H652" i="9"/>
  <c r="I652" i="9" s="1"/>
  <c r="H651" i="9"/>
  <c r="I651" i="9" s="1"/>
  <c r="H650" i="9"/>
  <c r="I650" i="9" s="1"/>
  <c r="H649" i="9"/>
  <c r="I649" i="9" s="1"/>
  <c r="H648" i="9"/>
  <c r="I648" i="9" s="1"/>
  <c r="H647" i="9"/>
  <c r="I647" i="9" s="1"/>
  <c r="H646" i="9"/>
  <c r="I646" i="9" s="1"/>
  <c r="H645" i="9"/>
  <c r="I645" i="9" s="1"/>
  <c r="H644" i="9"/>
  <c r="I644" i="9" s="1"/>
  <c r="H643" i="9"/>
  <c r="I643" i="9" s="1"/>
  <c r="H642" i="9"/>
  <c r="I642" i="9" s="1"/>
  <c r="H641" i="9"/>
  <c r="I641" i="9" s="1"/>
  <c r="H640" i="9"/>
  <c r="I640" i="9" s="1"/>
  <c r="H639" i="9"/>
  <c r="I639" i="9" s="1"/>
  <c r="H638" i="9"/>
  <c r="I638" i="9" s="1"/>
  <c r="H637" i="9"/>
  <c r="I637" i="9" s="1"/>
  <c r="H636" i="9"/>
  <c r="I636" i="9" s="1"/>
  <c r="H635" i="9"/>
  <c r="I635" i="9" s="1"/>
  <c r="I634" i="9"/>
  <c r="H634" i="9"/>
  <c r="H633" i="9"/>
  <c r="I633" i="9" s="1"/>
  <c r="H632" i="9"/>
  <c r="I632" i="9" s="1"/>
  <c r="H631" i="9"/>
  <c r="I631" i="9" s="1"/>
  <c r="H630" i="9"/>
  <c r="I630" i="9" s="1"/>
  <c r="H629" i="9"/>
  <c r="I629" i="9" s="1"/>
  <c r="H628" i="9"/>
  <c r="I628" i="9" s="1"/>
  <c r="H627" i="9"/>
  <c r="I627" i="9" s="1"/>
  <c r="H626" i="9"/>
  <c r="I626" i="9" s="1"/>
  <c r="H625" i="9"/>
  <c r="I625" i="9" s="1"/>
  <c r="H624" i="9"/>
  <c r="I624" i="9" s="1"/>
  <c r="H623" i="9"/>
  <c r="I623" i="9" s="1"/>
  <c r="H622" i="9"/>
  <c r="I622" i="9" s="1"/>
  <c r="I621" i="9"/>
  <c r="H621" i="9"/>
  <c r="H620" i="9"/>
  <c r="I620" i="9" s="1"/>
  <c r="H619" i="9"/>
  <c r="I619" i="9" s="1"/>
  <c r="H618" i="9"/>
  <c r="I618" i="9" s="1"/>
  <c r="H617" i="9"/>
  <c r="I617" i="9" s="1"/>
  <c r="H616" i="9"/>
  <c r="I616" i="9" s="1"/>
  <c r="H615" i="9"/>
  <c r="I615" i="9" s="1"/>
  <c r="H614" i="9"/>
  <c r="I614" i="9" s="1"/>
  <c r="H613" i="9"/>
  <c r="I613" i="9" s="1"/>
  <c r="H612" i="9"/>
  <c r="I612" i="9" s="1"/>
  <c r="H611" i="9"/>
  <c r="I611" i="9" s="1"/>
  <c r="H610" i="9"/>
  <c r="I610" i="9" s="1"/>
  <c r="H609" i="9"/>
  <c r="I609" i="9" s="1"/>
  <c r="H608" i="9"/>
  <c r="I608" i="9" s="1"/>
  <c r="H607" i="9"/>
  <c r="I607" i="9" s="1"/>
  <c r="H606" i="9"/>
  <c r="I606" i="9" s="1"/>
  <c r="H605" i="9"/>
  <c r="I605" i="9" s="1"/>
  <c r="H604" i="9"/>
  <c r="I604" i="9" s="1"/>
  <c r="H603" i="9"/>
  <c r="I603" i="9" s="1"/>
  <c r="H602" i="9"/>
  <c r="I602" i="9" s="1"/>
  <c r="H601" i="9"/>
  <c r="I601" i="9" s="1"/>
  <c r="H600" i="9"/>
  <c r="I600" i="9" s="1"/>
  <c r="H599" i="9"/>
  <c r="I599" i="9" s="1"/>
  <c r="H598" i="9"/>
  <c r="I598" i="9" s="1"/>
  <c r="H597" i="9"/>
  <c r="I597" i="9" s="1"/>
  <c r="H596" i="9"/>
  <c r="I596" i="9" s="1"/>
  <c r="H595" i="9"/>
  <c r="I595" i="9" s="1"/>
  <c r="H594" i="9"/>
  <c r="I594" i="9" s="1"/>
  <c r="H593" i="9"/>
  <c r="I593" i="9" s="1"/>
  <c r="H592" i="9"/>
  <c r="I592" i="9" s="1"/>
  <c r="H591" i="9"/>
  <c r="I591" i="9" s="1"/>
  <c r="H590" i="9"/>
  <c r="I590" i="9" s="1"/>
  <c r="H589" i="9"/>
  <c r="I589" i="9" s="1"/>
  <c r="H588" i="9"/>
  <c r="I588" i="9" s="1"/>
  <c r="H587" i="9"/>
  <c r="I587" i="9" s="1"/>
  <c r="H586" i="9"/>
  <c r="I586" i="9" s="1"/>
  <c r="H585" i="9"/>
  <c r="I585" i="9" s="1"/>
  <c r="H584" i="9"/>
  <c r="I584" i="9" s="1"/>
  <c r="H583" i="9"/>
  <c r="I583" i="9" s="1"/>
  <c r="H582" i="9"/>
  <c r="I582" i="9" s="1"/>
  <c r="H581" i="9"/>
  <c r="I581" i="9" s="1"/>
  <c r="H580" i="9"/>
  <c r="I580" i="9" s="1"/>
  <c r="H579" i="9"/>
  <c r="I579" i="9" s="1"/>
  <c r="H578" i="9"/>
  <c r="I578" i="9" s="1"/>
  <c r="H577" i="9"/>
  <c r="I577" i="9" s="1"/>
  <c r="H576" i="9"/>
  <c r="I576" i="9" s="1"/>
  <c r="H575" i="9"/>
  <c r="I575" i="9" s="1"/>
  <c r="H574" i="9"/>
  <c r="I574" i="9" s="1"/>
  <c r="H573" i="9"/>
  <c r="I573" i="9" s="1"/>
  <c r="H572" i="9"/>
  <c r="I572" i="9" s="1"/>
  <c r="H571" i="9"/>
  <c r="I571" i="9" s="1"/>
  <c r="I570" i="9"/>
  <c r="H570" i="9"/>
  <c r="H569" i="9"/>
  <c r="I569" i="9" s="1"/>
  <c r="H568" i="9"/>
  <c r="I568" i="9" s="1"/>
  <c r="H567" i="9"/>
  <c r="I567" i="9" s="1"/>
  <c r="H566" i="9"/>
  <c r="I566" i="9" s="1"/>
  <c r="H565" i="9"/>
  <c r="I565" i="9" s="1"/>
  <c r="H564" i="9"/>
  <c r="I564" i="9" s="1"/>
  <c r="H563" i="9"/>
  <c r="I563" i="9" s="1"/>
  <c r="H562" i="9"/>
  <c r="I562" i="9" s="1"/>
  <c r="H561" i="9"/>
  <c r="I561" i="9" s="1"/>
  <c r="H560" i="9"/>
  <c r="I560" i="9" s="1"/>
  <c r="H559" i="9"/>
  <c r="I559" i="9" s="1"/>
  <c r="H558" i="9"/>
  <c r="I558" i="9" s="1"/>
  <c r="I557" i="9"/>
  <c r="H557" i="9"/>
  <c r="H556" i="9"/>
  <c r="I556" i="9" s="1"/>
  <c r="H555" i="9"/>
  <c r="I555" i="9" s="1"/>
  <c r="H554" i="9"/>
  <c r="I554" i="9" s="1"/>
  <c r="H553" i="9"/>
  <c r="I553" i="9" s="1"/>
  <c r="H552" i="9"/>
  <c r="I552" i="9" s="1"/>
  <c r="H551" i="9"/>
  <c r="I551" i="9" s="1"/>
  <c r="H550" i="9"/>
  <c r="I550" i="9" s="1"/>
  <c r="I549" i="9"/>
  <c r="H549" i="9"/>
  <c r="H548" i="9"/>
  <c r="I548" i="9" s="1"/>
  <c r="H547" i="9"/>
  <c r="I547" i="9" s="1"/>
  <c r="H546" i="9"/>
  <c r="I546" i="9" s="1"/>
  <c r="H545" i="9"/>
  <c r="I545" i="9" s="1"/>
  <c r="H544" i="9"/>
  <c r="I544" i="9" s="1"/>
  <c r="H543" i="9"/>
  <c r="I543" i="9" s="1"/>
  <c r="H542" i="9"/>
  <c r="I542" i="9" s="1"/>
  <c r="I541" i="9"/>
  <c r="H541" i="9"/>
  <c r="H540" i="9"/>
  <c r="I540" i="9" s="1"/>
  <c r="H539" i="9"/>
  <c r="I539" i="9" s="1"/>
  <c r="H538" i="9"/>
  <c r="I538" i="9" s="1"/>
  <c r="H537" i="9"/>
  <c r="I537" i="9" s="1"/>
  <c r="H536" i="9"/>
  <c r="I536" i="9" s="1"/>
  <c r="H535" i="9"/>
  <c r="I535" i="9" s="1"/>
  <c r="H534" i="9"/>
  <c r="I534" i="9" s="1"/>
  <c r="I533" i="9"/>
  <c r="H533" i="9"/>
  <c r="H532" i="9"/>
  <c r="I532" i="9" s="1"/>
  <c r="H531" i="9"/>
  <c r="I531" i="9" s="1"/>
  <c r="H530" i="9"/>
  <c r="I530" i="9" s="1"/>
  <c r="H529" i="9"/>
  <c r="K22" i="9" s="1"/>
  <c r="H528" i="9"/>
  <c r="I528" i="9" s="1"/>
  <c r="H527" i="9"/>
  <c r="I527" i="9" s="1"/>
  <c r="H526" i="9"/>
  <c r="I526" i="9" s="1"/>
  <c r="I525" i="9"/>
  <c r="H525" i="9"/>
  <c r="H524" i="9"/>
  <c r="I524" i="9" s="1"/>
  <c r="H523" i="9"/>
  <c r="I523" i="9" s="1"/>
  <c r="H522" i="9"/>
  <c r="I522" i="9" s="1"/>
  <c r="H521" i="9"/>
  <c r="I521" i="9" s="1"/>
  <c r="H520" i="9"/>
  <c r="I520" i="9" s="1"/>
  <c r="H519" i="9"/>
  <c r="I519" i="9" s="1"/>
  <c r="H518" i="9"/>
  <c r="I518" i="9" s="1"/>
  <c r="I517" i="9"/>
  <c r="H517" i="9"/>
  <c r="H516" i="9"/>
  <c r="I516" i="9" s="1"/>
  <c r="H515" i="9"/>
  <c r="I515" i="9" s="1"/>
  <c r="H514" i="9"/>
  <c r="I514" i="9" s="1"/>
  <c r="H513" i="9"/>
  <c r="I513" i="9" s="1"/>
  <c r="H512" i="9"/>
  <c r="I512" i="9" s="1"/>
  <c r="H511" i="9"/>
  <c r="I511" i="9" s="1"/>
  <c r="H510" i="9"/>
  <c r="I510" i="9" s="1"/>
  <c r="I509" i="9"/>
  <c r="H509" i="9"/>
  <c r="H508" i="9"/>
  <c r="I508" i="9" s="1"/>
  <c r="H507" i="9"/>
  <c r="I507" i="9" s="1"/>
  <c r="H506" i="9"/>
  <c r="I506" i="9" s="1"/>
  <c r="H505" i="9"/>
  <c r="I505" i="9" s="1"/>
  <c r="H504" i="9"/>
  <c r="I504" i="9" s="1"/>
  <c r="H503" i="9"/>
  <c r="I503" i="9" s="1"/>
  <c r="H502" i="9"/>
  <c r="I502" i="9" s="1"/>
  <c r="I501" i="9"/>
  <c r="H501" i="9"/>
  <c r="H500" i="9"/>
  <c r="I500" i="9" s="1"/>
  <c r="H499" i="9"/>
  <c r="I499" i="9" s="1"/>
  <c r="H498" i="9"/>
  <c r="I498" i="9" s="1"/>
  <c r="H497" i="9"/>
  <c r="I497" i="9" s="1"/>
  <c r="H496" i="9"/>
  <c r="I496" i="9" s="1"/>
  <c r="H495" i="9"/>
  <c r="I495" i="9" s="1"/>
  <c r="H494" i="9"/>
  <c r="I494" i="9" s="1"/>
  <c r="H493" i="9"/>
  <c r="I493" i="9" s="1"/>
  <c r="H492" i="9"/>
  <c r="I492" i="9" s="1"/>
  <c r="H491" i="9"/>
  <c r="I491" i="9" s="1"/>
  <c r="H490" i="9"/>
  <c r="I490" i="9" s="1"/>
  <c r="H489" i="9"/>
  <c r="I489" i="9" s="1"/>
  <c r="H488" i="9"/>
  <c r="I488" i="9" s="1"/>
  <c r="H487" i="9"/>
  <c r="I487" i="9" s="1"/>
  <c r="H486" i="9"/>
  <c r="I486" i="9" s="1"/>
  <c r="H485" i="9"/>
  <c r="I485" i="9" s="1"/>
  <c r="H484" i="9"/>
  <c r="I484" i="9" s="1"/>
  <c r="H483" i="9"/>
  <c r="I483" i="9" s="1"/>
  <c r="H482" i="9"/>
  <c r="I482" i="9" s="1"/>
  <c r="H481" i="9"/>
  <c r="I481" i="9" s="1"/>
  <c r="H480" i="9"/>
  <c r="I480" i="9" s="1"/>
  <c r="H479" i="9"/>
  <c r="I479" i="9" s="1"/>
  <c r="H478" i="9"/>
  <c r="I478" i="9" s="1"/>
  <c r="H477" i="9"/>
  <c r="I477" i="9" s="1"/>
  <c r="H476" i="9"/>
  <c r="I476" i="9" s="1"/>
  <c r="H475" i="9"/>
  <c r="I475" i="9" s="1"/>
  <c r="H474" i="9"/>
  <c r="I474" i="9" s="1"/>
  <c r="H473" i="9"/>
  <c r="I473" i="9" s="1"/>
  <c r="H472" i="9"/>
  <c r="I472" i="9" s="1"/>
  <c r="H471" i="9"/>
  <c r="I471" i="9" s="1"/>
  <c r="H470" i="9"/>
  <c r="I470" i="9" s="1"/>
  <c r="H469" i="9"/>
  <c r="I469" i="9" s="1"/>
  <c r="H468" i="9"/>
  <c r="I468" i="9" s="1"/>
  <c r="H467" i="9"/>
  <c r="I467" i="9" s="1"/>
  <c r="H466" i="9"/>
  <c r="I466" i="9" s="1"/>
  <c r="H465" i="9"/>
  <c r="I465" i="9" s="1"/>
  <c r="H464" i="9"/>
  <c r="I464" i="9" s="1"/>
  <c r="H463" i="9"/>
  <c r="I463" i="9" s="1"/>
  <c r="H462" i="9"/>
  <c r="I462" i="9" s="1"/>
  <c r="H461" i="9"/>
  <c r="I461" i="9" s="1"/>
  <c r="H460" i="9"/>
  <c r="I460" i="9" s="1"/>
  <c r="H459" i="9"/>
  <c r="I459" i="9" s="1"/>
  <c r="H458" i="9"/>
  <c r="I458" i="9" s="1"/>
  <c r="H457" i="9"/>
  <c r="I457" i="9" s="1"/>
  <c r="H456" i="9"/>
  <c r="I456" i="9" s="1"/>
  <c r="H455" i="9"/>
  <c r="I455" i="9" s="1"/>
  <c r="H454" i="9"/>
  <c r="I454" i="9" s="1"/>
  <c r="H453" i="9"/>
  <c r="I453" i="9" s="1"/>
  <c r="H452" i="9"/>
  <c r="I452" i="9" s="1"/>
  <c r="H451" i="9"/>
  <c r="I451" i="9" s="1"/>
  <c r="H450" i="9"/>
  <c r="I450" i="9" s="1"/>
  <c r="H449" i="9"/>
  <c r="I449" i="9" s="1"/>
  <c r="H448" i="9"/>
  <c r="I448" i="9" s="1"/>
  <c r="H447" i="9"/>
  <c r="I447" i="9" s="1"/>
  <c r="H446" i="9"/>
  <c r="I446" i="9" s="1"/>
  <c r="H445" i="9"/>
  <c r="I445" i="9" s="1"/>
  <c r="H444" i="9"/>
  <c r="I444" i="9" s="1"/>
  <c r="H443" i="9"/>
  <c r="I443" i="9" s="1"/>
  <c r="H442" i="9"/>
  <c r="I442" i="9" s="1"/>
  <c r="H441" i="9"/>
  <c r="I441" i="9" s="1"/>
  <c r="H440" i="9"/>
  <c r="I440" i="9" s="1"/>
  <c r="H439" i="9"/>
  <c r="I439" i="9" s="1"/>
  <c r="H438" i="9"/>
  <c r="I438" i="9" s="1"/>
  <c r="H437" i="9"/>
  <c r="I437" i="9" s="1"/>
  <c r="H436" i="9"/>
  <c r="I436" i="9" s="1"/>
  <c r="H435" i="9"/>
  <c r="I435" i="9" s="1"/>
  <c r="H434" i="9"/>
  <c r="I434" i="9" s="1"/>
  <c r="H433" i="9"/>
  <c r="I433" i="9" s="1"/>
  <c r="H432" i="9"/>
  <c r="I432" i="9" s="1"/>
  <c r="H431" i="9"/>
  <c r="I431" i="9" s="1"/>
  <c r="H430" i="9"/>
  <c r="I430" i="9" s="1"/>
  <c r="H429" i="9"/>
  <c r="I429" i="9" s="1"/>
  <c r="H428" i="9"/>
  <c r="I428" i="9" s="1"/>
  <c r="H427" i="9"/>
  <c r="I427" i="9" s="1"/>
  <c r="H426" i="9"/>
  <c r="I426" i="9" s="1"/>
  <c r="H425" i="9"/>
  <c r="I425" i="9" s="1"/>
  <c r="H424" i="9"/>
  <c r="I424" i="9" s="1"/>
  <c r="H423" i="9"/>
  <c r="I423" i="9" s="1"/>
  <c r="H422" i="9"/>
  <c r="I422" i="9" s="1"/>
  <c r="H421" i="9"/>
  <c r="I421" i="9" s="1"/>
  <c r="H420" i="9"/>
  <c r="I420" i="9" s="1"/>
  <c r="H419" i="9"/>
  <c r="I419" i="9" s="1"/>
  <c r="H418" i="9"/>
  <c r="I418" i="9" s="1"/>
  <c r="H417" i="9"/>
  <c r="I417" i="9" s="1"/>
  <c r="H416" i="9"/>
  <c r="I416" i="9" s="1"/>
  <c r="H415" i="9"/>
  <c r="I415" i="9" s="1"/>
  <c r="H414" i="9"/>
  <c r="I414" i="9" s="1"/>
  <c r="H413" i="9"/>
  <c r="I413" i="9" s="1"/>
  <c r="H412" i="9"/>
  <c r="I412" i="9" s="1"/>
  <c r="H411" i="9"/>
  <c r="I411" i="9" s="1"/>
  <c r="H410" i="9"/>
  <c r="I410" i="9" s="1"/>
  <c r="H409" i="9"/>
  <c r="I409" i="9" s="1"/>
  <c r="H408" i="9"/>
  <c r="I408" i="9" s="1"/>
  <c r="H407" i="9"/>
  <c r="I407" i="9" s="1"/>
  <c r="H406" i="9"/>
  <c r="I406" i="9" s="1"/>
  <c r="H405" i="9"/>
  <c r="I405" i="9" s="1"/>
  <c r="H404" i="9"/>
  <c r="I404" i="9" s="1"/>
  <c r="H403" i="9"/>
  <c r="I403" i="9" s="1"/>
  <c r="H402" i="9"/>
  <c r="I402" i="9" s="1"/>
  <c r="H401" i="9"/>
  <c r="I401" i="9" s="1"/>
  <c r="H400" i="9"/>
  <c r="I400" i="9" s="1"/>
  <c r="H399" i="9"/>
  <c r="I399" i="9" s="1"/>
  <c r="H398" i="9"/>
  <c r="I398" i="9" s="1"/>
  <c r="H397" i="9"/>
  <c r="I397" i="9" s="1"/>
  <c r="H396" i="9"/>
  <c r="I396" i="9" s="1"/>
  <c r="H395" i="9"/>
  <c r="I395" i="9" s="1"/>
  <c r="H394" i="9"/>
  <c r="I394" i="9" s="1"/>
  <c r="H393" i="9"/>
  <c r="I393" i="9" s="1"/>
  <c r="H392" i="9"/>
  <c r="I392" i="9" s="1"/>
  <c r="H391" i="9"/>
  <c r="I391" i="9" s="1"/>
  <c r="H390" i="9"/>
  <c r="I390" i="9" s="1"/>
  <c r="H389" i="9"/>
  <c r="I389" i="9" s="1"/>
  <c r="H388" i="9"/>
  <c r="I388" i="9" s="1"/>
  <c r="H387" i="9"/>
  <c r="I387" i="9" s="1"/>
  <c r="H386" i="9"/>
  <c r="I386" i="9" s="1"/>
  <c r="H385" i="9"/>
  <c r="I385" i="9" s="1"/>
  <c r="H384" i="9"/>
  <c r="I384" i="9" s="1"/>
  <c r="H383" i="9"/>
  <c r="I383" i="9" s="1"/>
  <c r="H382" i="9"/>
  <c r="I382" i="9" s="1"/>
  <c r="H381" i="9"/>
  <c r="I381" i="9" s="1"/>
  <c r="H380" i="9"/>
  <c r="I380" i="9" s="1"/>
  <c r="H379" i="9"/>
  <c r="I379" i="9" s="1"/>
  <c r="H378" i="9"/>
  <c r="I378" i="9" s="1"/>
  <c r="H377" i="9"/>
  <c r="I377" i="9" s="1"/>
  <c r="H376" i="9"/>
  <c r="I376" i="9" s="1"/>
  <c r="H375" i="9"/>
  <c r="I375" i="9" s="1"/>
  <c r="H374" i="9"/>
  <c r="I374" i="9" s="1"/>
  <c r="H373" i="9"/>
  <c r="I373" i="9" s="1"/>
  <c r="H372" i="9"/>
  <c r="I372" i="9" s="1"/>
  <c r="H371" i="9"/>
  <c r="I371" i="9" s="1"/>
  <c r="H370" i="9"/>
  <c r="I370" i="9" s="1"/>
  <c r="H369" i="9"/>
  <c r="I369" i="9" s="1"/>
  <c r="H368" i="9"/>
  <c r="I368" i="9" s="1"/>
  <c r="H367" i="9"/>
  <c r="I367" i="9" s="1"/>
  <c r="H366" i="9"/>
  <c r="I366" i="9" s="1"/>
  <c r="H365" i="9"/>
  <c r="I365" i="9" s="1"/>
  <c r="H364" i="9"/>
  <c r="I364" i="9" s="1"/>
  <c r="H363" i="9"/>
  <c r="I363" i="9" s="1"/>
  <c r="H362" i="9"/>
  <c r="I362" i="9" s="1"/>
  <c r="H361" i="9"/>
  <c r="I361" i="9" s="1"/>
  <c r="H360" i="9"/>
  <c r="I360" i="9" s="1"/>
  <c r="H359" i="9"/>
  <c r="I359" i="9" s="1"/>
  <c r="H358" i="9"/>
  <c r="I358" i="9" s="1"/>
  <c r="H357" i="9"/>
  <c r="I357" i="9" s="1"/>
  <c r="H356" i="9"/>
  <c r="I356" i="9" s="1"/>
  <c r="H355" i="9"/>
  <c r="I355" i="9" s="1"/>
  <c r="H354" i="9"/>
  <c r="I354" i="9" s="1"/>
  <c r="H353" i="9"/>
  <c r="I353" i="9" s="1"/>
  <c r="H352" i="9"/>
  <c r="I352" i="9" s="1"/>
  <c r="H351" i="9"/>
  <c r="I351" i="9" s="1"/>
  <c r="H350" i="9"/>
  <c r="I350" i="9" s="1"/>
  <c r="H349" i="9"/>
  <c r="I349" i="9" s="1"/>
  <c r="H348" i="9"/>
  <c r="I348" i="9" s="1"/>
  <c r="I347" i="9"/>
  <c r="H347" i="9"/>
  <c r="H346" i="9"/>
  <c r="I346" i="9" s="1"/>
  <c r="H345" i="9"/>
  <c r="I345" i="9" s="1"/>
  <c r="H344" i="9"/>
  <c r="I344" i="9" s="1"/>
  <c r="H343" i="9"/>
  <c r="I343" i="9" s="1"/>
  <c r="H342" i="9"/>
  <c r="I342" i="9" s="1"/>
  <c r="H341" i="9"/>
  <c r="I341" i="9" s="1"/>
  <c r="H340" i="9"/>
  <c r="I340" i="9" s="1"/>
  <c r="I339" i="9"/>
  <c r="H339" i="9"/>
  <c r="H338" i="9"/>
  <c r="I338" i="9" s="1"/>
  <c r="H337" i="9"/>
  <c r="I337" i="9" s="1"/>
  <c r="H336" i="9"/>
  <c r="I336" i="9" s="1"/>
  <c r="H335" i="9"/>
  <c r="I335" i="9" s="1"/>
  <c r="H334" i="9"/>
  <c r="I334" i="9" s="1"/>
  <c r="H333" i="9"/>
  <c r="I333" i="9" s="1"/>
  <c r="H332" i="9"/>
  <c r="I332" i="9" s="1"/>
  <c r="H331" i="9"/>
  <c r="I331" i="9" s="1"/>
  <c r="H330" i="9"/>
  <c r="I330" i="9" s="1"/>
  <c r="H329" i="9"/>
  <c r="I329" i="9" s="1"/>
  <c r="H328" i="9"/>
  <c r="I328" i="9" s="1"/>
  <c r="H327" i="9"/>
  <c r="I327" i="9" s="1"/>
  <c r="H326" i="9"/>
  <c r="I326" i="9" s="1"/>
  <c r="H325" i="9"/>
  <c r="I325" i="9" s="1"/>
  <c r="H324" i="9"/>
  <c r="I324" i="9" s="1"/>
  <c r="H323" i="9"/>
  <c r="I323" i="9" s="1"/>
  <c r="H322" i="9"/>
  <c r="I322" i="9" s="1"/>
  <c r="H321" i="9"/>
  <c r="I321" i="9" s="1"/>
  <c r="H320" i="9"/>
  <c r="I320" i="9" s="1"/>
  <c r="H319" i="9"/>
  <c r="I319" i="9" s="1"/>
  <c r="H318" i="9"/>
  <c r="I318" i="9" s="1"/>
  <c r="H317" i="9"/>
  <c r="I317" i="9" s="1"/>
  <c r="H316" i="9"/>
  <c r="I316" i="9" s="1"/>
  <c r="H315" i="9"/>
  <c r="I315" i="9" s="1"/>
  <c r="H314" i="9"/>
  <c r="I314" i="9" s="1"/>
  <c r="H313" i="9"/>
  <c r="I313" i="9" s="1"/>
  <c r="H312" i="9"/>
  <c r="I312" i="9" s="1"/>
  <c r="H311" i="9"/>
  <c r="I311" i="9" s="1"/>
  <c r="H310" i="9"/>
  <c r="I310" i="9" s="1"/>
  <c r="H309" i="9"/>
  <c r="I309" i="9" s="1"/>
  <c r="H308" i="9"/>
  <c r="I308" i="9" s="1"/>
  <c r="H307" i="9"/>
  <c r="I307" i="9" s="1"/>
  <c r="H306" i="9"/>
  <c r="I306" i="9" s="1"/>
  <c r="H305" i="9"/>
  <c r="I305" i="9" s="1"/>
  <c r="H304" i="9"/>
  <c r="I304" i="9" s="1"/>
  <c r="H303" i="9"/>
  <c r="I303" i="9" s="1"/>
  <c r="H302" i="9"/>
  <c r="I302" i="9" s="1"/>
  <c r="H301" i="9"/>
  <c r="I301" i="9" s="1"/>
  <c r="H300" i="9"/>
  <c r="I300" i="9" s="1"/>
  <c r="H299" i="9"/>
  <c r="I299" i="9" s="1"/>
  <c r="H298" i="9"/>
  <c r="I298" i="9" s="1"/>
  <c r="H297" i="9"/>
  <c r="I297" i="9" s="1"/>
  <c r="H296" i="9"/>
  <c r="I296" i="9" s="1"/>
  <c r="H295" i="9"/>
  <c r="I295" i="9" s="1"/>
  <c r="H294" i="9"/>
  <c r="I294" i="9" s="1"/>
  <c r="H293" i="9"/>
  <c r="I293" i="9" s="1"/>
  <c r="H292" i="9"/>
  <c r="I292" i="9" s="1"/>
  <c r="H291" i="9"/>
  <c r="I291" i="9" s="1"/>
  <c r="H290" i="9"/>
  <c r="I290" i="9" s="1"/>
  <c r="H289" i="9"/>
  <c r="I289" i="9" s="1"/>
  <c r="H288" i="9"/>
  <c r="I288" i="9" s="1"/>
  <c r="H287" i="9"/>
  <c r="I287" i="9" s="1"/>
  <c r="H286" i="9"/>
  <c r="I286" i="9" s="1"/>
  <c r="H285" i="9"/>
  <c r="I285" i="9" s="1"/>
  <c r="H284" i="9"/>
  <c r="I284" i="9" s="1"/>
  <c r="H283" i="9"/>
  <c r="I283" i="9" s="1"/>
  <c r="H282" i="9"/>
  <c r="I282" i="9" s="1"/>
  <c r="H281" i="9"/>
  <c r="I281" i="9" s="1"/>
  <c r="H280" i="9"/>
  <c r="I280" i="9" s="1"/>
  <c r="H279" i="9"/>
  <c r="I279" i="9" s="1"/>
  <c r="H278" i="9"/>
  <c r="I278" i="9" s="1"/>
  <c r="H277" i="9"/>
  <c r="I277" i="9" s="1"/>
  <c r="H276" i="9"/>
  <c r="I276" i="9" s="1"/>
  <c r="H275" i="9"/>
  <c r="I275" i="9" s="1"/>
  <c r="H274" i="9"/>
  <c r="I274" i="9" s="1"/>
  <c r="H273" i="9"/>
  <c r="I273" i="9" s="1"/>
  <c r="H272" i="9"/>
  <c r="I272" i="9" s="1"/>
  <c r="H271" i="9"/>
  <c r="I271" i="9" s="1"/>
  <c r="H270" i="9"/>
  <c r="I270" i="9" s="1"/>
  <c r="H269" i="9"/>
  <c r="I269" i="9" s="1"/>
  <c r="H268" i="9"/>
  <c r="I268" i="9" s="1"/>
  <c r="H267" i="9"/>
  <c r="I267" i="9" s="1"/>
  <c r="H266" i="9"/>
  <c r="I266" i="9" s="1"/>
  <c r="H265" i="9"/>
  <c r="I265" i="9" s="1"/>
  <c r="H264" i="9"/>
  <c r="I264" i="9" s="1"/>
  <c r="H263" i="9"/>
  <c r="I263" i="9" s="1"/>
  <c r="H262" i="9"/>
  <c r="I262" i="9" s="1"/>
  <c r="H261" i="9"/>
  <c r="I261" i="9" s="1"/>
  <c r="H260" i="9"/>
  <c r="I260" i="9" s="1"/>
  <c r="H259" i="9"/>
  <c r="I259" i="9" s="1"/>
  <c r="H258" i="9"/>
  <c r="I258" i="9" s="1"/>
  <c r="H257" i="9"/>
  <c r="I257" i="9" s="1"/>
  <c r="H256" i="9"/>
  <c r="I256" i="9" s="1"/>
  <c r="H255" i="9"/>
  <c r="I255" i="9" s="1"/>
  <c r="H254" i="9"/>
  <c r="I254" i="9" s="1"/>
  <c r="H253" i="9"/>
  <c r="I253" i="9" s="1"/>
  <c r="H252" i="9"/>
  <c r="I252" i="9" s="1"/>
  <c r="H251" i="9"/>
  <c r="I251" i="9" s="1"/>
  <c r="H250" i="9"/>
  <c r="I250" i="9" s="1"/>
  <c r="H249" i="9"/>
  <c r="I249" i="9" s="1"/>
  <c r="H248" i="9"/>
  <c r="I248" i="9" s="1"/>
  <c r="H247" i="9"/>
  <c r="I247" i="9" s="1"/>
  <c r="H246" i="9"/>
  <c r="I246" i="9" s="1"/>
  <c r="H245" i="9"/>
  <c r="I245" i="9" s="1"/>
  <c r="H244" i="9"/>
  <c r="I244" i="9" s="1"/>
  <c r="H243" i="9"/>
  <c r="I243" i="9" s="1"/>
  <c r="H242" i="9"/>
  <c r="I242" i="9" s="1"/>
  <c r="H241" i="9"/>
  <c r="I241" i="9" s="1"/>
  <c r="H240" i="9"/>
  <c r="I240" i="9" s="1"/>
  <c r="H239" i="9"/>
  <c r="I239" i="9" s="1"/>
  <c r="H238" i="9"/>
  <c r="I238" i="9" s="1"/>
  <c r="H237" i="9"/>
  <c r="I237" i="9" s="1"/>
  <c r="H236" i="9"/>
  <c r="I236" i="9" s="1"/>
  <c r="H235" i="9"/>
  <c r="I235" i="9" s="1"/>
  <c r="H234" i="9"/>
  <c r="I234" i="9" s="1"/>
  <c r="H233" i="9"/>
  <c r="I233" i="9" s="1"/>
  <c r="H232" i="9"/>
  <c r="I232" i="9" s="1"/>
  <c r="H231" i="9"/>
  <c r="I231" i="9" s="1"/>
  <c r="H230" i="9"/>
  <c r="I230" i="9" s="1"/>
  <c r="H229" i="9"/>
  <c r="I229" i="9" s="1"/>
  <c r="H228" i="9"/>
  <c r="I228" i="9" s="1"/>
  <c r="H227" i="9"/>
  <c r="I227" i="9" s="1"/>
  <c r="H226" i="9"/>
  <c r="I226" i="9" s="1"/>
  <c r="H225" i="9"/>
  <c r="I225" i="9" s="1"/>
  <c r="H224" i="9"/>
  <c r="I224" i="9" s="1"/>
  <c r="H223" i="9"/>
  <c r="I223" i="9" s="1"/>
  <c r="H222" i="9"/>
  <c r="I222" i="9" s="1"/>
  <c r="H221" i="9"/>
  <c r="I221" i="9" s="1"/>
  <c r="H220" i="9"/>
  <c r="I220" i="9" s="1"/>
  <c r="H219" i="9"/>
  <c r="I219" i="9" s="1"/>
  <c r="H218" i="9"/>
  <c r="I218" i="9" s="1"/>
  <c r="H217" i="9"/>
  <c r="I217" i="9" s="1"/>
  <c r="H216" i="9"/>
  <c r="I216" i="9" s="1"/>
  <c r="H215" i="9"/>
  <c r="I215" i="9" s="1"/>
  <c r="H214" i="9"/>
  <c r="I214" i="9" s="1"/>
  <c r="H213" i="9"/>
  <c r="I213" i="9" s="1"/>
  <c r="H212" i="9"/>
  <c r="I212" i="9" s="1"/>
  <c r="H211" i="9"/>
  <c r="I211" i="9" s="1"/>
  <c r="H210" i="9"/>
  <c r="I210" i="9" s="1"/>
  <c r="H209" i="9"/>
  <c r="I209" i="9" s="1"/>
  <c r="H208" i="9"/>
  <c r="I208" i="9" s="1"/>
  <c r="H207" i="9"/>
  <c r="I207" i="9" s="1"/>
  <c r="H206" i="9"/>
  <c r="I206" i="9" s="1"/>
  <c r="H205" i="9"/>
  <c r="I205" i="9" s="1"/>
  <c r="H204" i="9"/>
  <c r="I204" i="9" s="1"/>
  <c r="H203" i="9"/>
  <c r="I203" i="9" s="1"/>
  <c r="H202" i="9"/>
  <c r="I202" i="9" s="1"/>
  <c r="H201" i="9"/>
  <c r="I201" i="9" s="1"/>
  <c r="H200" i="9"/>
  <c r="I200" i="9" s="1"/>
  <c r="H199" i="9"/>
  <c r="I199" i="9" s="1"/>
  <c r="H198" i="9"/>
  <c r="I198" i="9" s="1"/>
  <c r="H197" i="9"/>
  <c r="I197" i="9" s="1"/>
  <c r="H196" i="9"/>
  <c r="I196" i="9" s="1"/>
  <c r="H195" i="9"/>
  <c r="I195" i="9" s="1"/>
  <c r="H194" i="9"/>
  <c r="I194" i="9" s="1"/>
  <c r="H193" i="9"/>
  <c r="I193" i="9" s="1"/>
  <c r="H192" i="9"/>
  <c r="I192" i="9" s="1"/>
  <c r="H191" i="9"/>
  <c r="I191" i="9" s="1"/>
  <c r="H190" i="9"/>
  <c r="I190" i="9" s="1"/>
  <c r="H189" i="9"/>
  <c r="I189" i="9" s="1"/>
  <c r="H188" i="9"/>
  <c r="I188" i="9" s="1"/>
  <c r="H187" i="9"/>
  <c r="I187" i="9" s="1"/>
  <c r="H186" i="9"/>
  <c r="I186" i="9" s="1"/>
  <c r="H185" i="9"/>
  <c r="I185" i="9" s="1"/>
  <c r="H184" i="9"/>
  <c r="I184" i="9" s="1"/>
  <c r="H183" i="9"/>
  <c r="I183" i="9" s="1"/>
  <c r="H182" i="9"/>
  <c r="I182" i="9" s="1"/>
  <c r="H181" i="9"/>
  <c r="I181" i="9" s="1"/>
  <c r="H180" i="9"/>
  <c r="I180" i="9" s="1"/>
  <c r="H179" i="9"/>
  <c r="I179" i="9" s="1"/>
  <c r="H178" i="9"/>
  <c r="I178" i="9" s="1"/>
  <c r="H177" i="9"/>
  <c r="I177" i="9" s="1"/>
  <c r="H176" i="9"/>
  <c r="I176" i="9" s="1"/>
  <c r="H175" i="9"/>
  <c r="I175" i="9" s="1"/>
  <c r="H174" i="9"/>
  <c r="I174" i="9" s="1"/>
  <c r="H173" i="9"/>
  <c r="I173" i="9" s="1"/>
  <c r="H172" i="9"/>
  <c r="I172" i="9" s="1"/>
  <c r="H171" i="9"/>
  <c r="I171" i="9" s="1"/>
  <c r="H170" i="9"/>
  <c r="I170" i="9" s="1"/>
  <c r="H169" i="9"/>
  <c r="I169" i="9" s="1"/>
  <c r="H168" i="9"/>
  <c r="I168" i="9" s="1"/>
  <c r="H167" i="9"/>
  <c r="I167" i="9" s="1"/>
  <c r="H166" i="9"/>
  <c r="I166" i="9" s="1"/>
  <c r="H165" i="9"/>
  <c r="I165" i="9" s="1"/>
  <c r="H164" i="9"/>
  <c r="I164" i="9" s="1"/>
  <c r="H163" i="9"/>
  <c r="I163" i="9" s="1"/>
  <c r="H162" i="9"/>
  <c r="I162" i="9" s="1"/>
  <c r="H161" i="9"/>
  <c r="I161" i="9" s="1"/>
  <c r="H160" i="9"/>
  <c r="I160" i="9" s="1"/>
  <c r="H159" i="9"/>
  <c r="I159" i="9" s="1"/>
  <c r="H158" i="9"/>
  <c r="I158" i="9" s="1"/>
  <c r="H157" i="9"/>
  <c r="I157" i="9" s="1"/>
  <c r="H156" i="9"/>
  <c r="I156" i="9" s="1"/>
  <c r="H155" i="9"/>
  <c r="I155" i="9" s="1"/>
  <c r="H154" i="9"/>
  <c r="I154" i="9" s="1"/>
  <c r="H153" i="9"/>
  <c r="I153" i="9" s="1"/>
  <c r="H152" i="9"/>
  <c r="I152" i="9" s="1"/>
  <c r="H151" i="9"/>
  <c r="I151" i="9" s="1"/>
  <c r="H150" i="9"/>
  <c r="I150" i="9" s="1"/>
  <c r="H149" i="9"/>
  <c r="I149" i="9" s="1"/>
  <c r="H148" i="9"/>
  <c r="I148" i="9" s="1"/>
  <c r="H147" i="9"/>
  <c r="I147" i="9" s="1"/>
  <c r="H146" i="9"/>
  <c r="I146" i="9" s="1"/>
  <c r="H145" i="9"/>
  <c r="I145" i="9" s="1"/>
  <c r="H144" i="9"/>
  <c r="I144" i="9" s="1"/>
  <c r="H143" i="9"/>
  <c r="I143" i="9" s="1"/>
  <c r="H142" i="9"/>
  <c r="I142" i="9" s="1"/>
  <c r="H141" i="9"/>
  <c r="I141" i="9" s="1"/>
  <c r="H140" i="9"/>
  <c r="I140" i="9" s="1"/>
  <c r="H139" i="9"/>
  <c r="I139" i="9" s="1"/>
  <c r="H138" i="9"/>
  <c r="I138" i="9" s="1"/>
  <c r="H137" i="9"/>
  <c r="I137" i="9" s="1"/>
  <c r="H136" i="9"/>
  <c r="I136" i="9" s="1"/>
  <c r="H135" i="9"/>
  <c r="I135" i="9" s="1"/>
  <c r="H134" i="9"/>
  <c r="I134" i="9" s="1"/>
  <c r="H133" i="9"/>
  <c r="I133" i="9" s="1"/>
  <c r="H132" i="9"/>
  <c r="I132" i="9" s="1"/>
  <c r="H131" i="9"/>
  <c r="I131" i="9" s="1"/>
  <c r="H130" i="9"/>
  <c r="I130" i="9" s="1"/>
  <c r="H129" i="9"/>
  <c r="I129" i="9" s="1"/>
  <c r="H128" i="9"/>
  <c r="I128" i="9" s="1"/>
  <c r="H127" i="9"/>
  <c r="I127" i="9" s="1"/>
  <c r="H126" i="9"/>
  <c r="I126" i="9" s="1"/>
  <c r="H125" i="9"/>
  <c r="I125" i="9" s="1"/>
  <c r="H124" i="9"/>
  <c r="I124" i="9" s="1"/>
  <c r="H123" i="9"/>
  <c r="I123" i="9" s="1"/>
  <c r="H122" i="9"/>
  <c r="I122" i="9" s="1"/>
  <c r="H121" i="9"/>
  <c r="I121" i="9" s="1"/>
  <c r="H120" i="9"/>
  <c r="I120" i="9" s="1"/>
  <c r="H119" i="9"/>
  <c r="I119" i="9" s="1"/>
  <c r="H118" i="9"/>
  <c r="I118" i="9" s="1"/>
  <c r="H117" i="9"/>
  <c r="I117" i="9" s="1"/>
  <c r="H116" i="9"/>
  <c r="I116" i="9" s="1"/>
  <c r="H115" i="9"/>
  <c r="I115" i="9" s="1"/>
  <c r="H114" i="9"/>
  <c r="I114" i="9" s="1"/>
  <c r="H113" i="9"/>
  <c r="I113" i="9" s="1"/>
  <c r="H112" i="9"/>
  <c r="I112" i="9" s="1"/>
  <c r="H111" i="9"/>
  <c r="I111" i="9" s="1"/>
  <c r="H110" i="9"/>
  <c r="I110" i="9" s="1"/>
  <c r="H109" i="9"/>
  <c r="I109" i="9" s="1"/>
  <c r="H108" i="9"/>
  <c r="I108" i="9" s="1"/>
  <c r="H107" i="9"/>
  <c r="I107" i="9" s="1"/>
  <c r="H106" i="9"/>
  <c r="I106" i="9" s="1"/>
  <c r="H105" i="9"/>
  <c r="I105" i="9" s="1"/>
  <c r="H104" i="9"/>
  <c r="I104" i="9" s="1"/>
  <c r="H103" i="9"/>
  <c r="I103" i="9" s="1"/>
  <c r="H102" i="9"/>
  <c r="I102" i="9" s="1"/>
  <c r="H101" i="9"/>
  <c r="I101" i="9" s="1"/>
  <c r="H100" i="9"/>
  <c r="I100" i="9" s="1"/>
  <c r="H99" i="9"/>
  <c r="I99" i="9" s="1"/>
  <c r="H98" i="9"/>
  <c r="I98" i="9" s="1"/>
  <c r="H97" i="9"/>
  <c r="I97" i="9" s="1"/>
  <c r="H96" i="9"/>
  <c r="I96" i="9" s="1"/>
  <c r="H95" i="9"/>
  <c r="I95" i="9" s="1"/>
  <c r="H94" i="9"/>
  <c r="I94" i="9" s="1"/>
  <c r="H93" i="9"/>
  <c r="I93" i="9" s="1"/>
  <c r="H92" i="9"/>
  <c r="I92" i="9" s="1"/>
  <c r="H91" i="9"/>
  <c r="I91" i="9" s="1"/>
  <c r="H90" i="9"/>
  <c r="I90" i="9" s="1"/>
  <c r="H89" i="9"/>
  <c r="I89" i="9" s="1"/>
  <c r="H88" i="9"/>
  <c r="I88" i="9" s="1"/>
  <c r="H87" i="9"/>
  <c r="I87" i="9" s="1"/>
  <c r="H86" i="9"/>
  <c r="I86" i="9" s="1"/>
  <c r="H85" i="9"/>
  <c r="I85" i="9" s="1"/>
  <c r="H84" i="9"/>
  <c r="I84" i="9" s="1"/>
  <c r="H83" i="9"/>
  <c r="I83" i="9" s="1"/>
  <c r="H82" i="9"/>
  <c r="I82" i="9" s="1"/>
  <c r="H81" i="9"/>
  <c r="I81" i="9" s="1"/>
  <c r="H80" i="9"/>
  <c r="I80" i="9" s="1"/>
  <c r="H79" i="9"/>
  <c r="I79" i="9" s="1"/>
  <c r="H78" i="9"/>
  <c r="I78" i="9" s="1"/>
  <c r="H77" i="9"/>
  <c r="I77" i="9" s="1"/>
  <c r="H76" i="9"/>
  <c r="I76" i="9" s="1"/>
  <c r="H75" i="9"/>
  <c r="I75" i="9" s="1"/>
  <c r="H74" i="9"/>
  <c r="I74" i="9" s="1"/>
  <c r="H73" i="9"/>
  <c r="I73" i="9" s="1"/>
  <c r="H72" i="9"/>
  <c r="I72" i="9" s="1"/>
  <c r="H71" i="9"/>
  <c r="I71" i="9" s="1"/>
  <c r="H70" i="9"/>
  <c r="I70" i="9" s="1"/>
  <c r="H69" i="9"/>
  <c r="I69" i="9" s="1"/>
  <c r="H68" i="9"/>
  <c r="I68" i="9" s="1"/>
  <c r="H67" i="9"/>
  <c r="I67" i="9" s="1"/>
  <c r="H66" i="9"/>
  <c r="I66" i="9" s="1"/>
  <c r="H65" i="9"/>
  <c r="I65" i="9" s="1"/>
  <c r="H64" i="9"/>
  <c r="I64" i="9" s="1"/>
  <c r="H63" i="9"/>
  <c r="I63" i="9" s="1"/>
  <c r="H62" i="9"/>
  <c r="I62" i="9" s="1"/>
  <c r="H61" i="9"/>
  <c r="I61" i="9" s="1"/>
  <c r="H60" i="9"/>
  <c r="I60" i="9" s="1"/>
  <c r="H59" i="9"/>
  <c r="I59" i="9" s="1"/>
  <c r="H58" i="9"/>
  <c r="I58" i="9" s="1"/>
  <c r="H57" i="9"/>
  <c r="I57" i="9" s="1"/>
  <c r="H56" i="9"/>
  <c r="I56" i="9" s="1"/>
  <c r="H55" i="9"/>
  <c r="I55" i="9" s="1"/>
  <c r="H54" i="9"/>
  <c r="I54" i="9" s="1"/>
  <c r="H53" i="9"/>
  <c r="I53" i="9" s="1"/>
  <c r="H52" i="9"/>
  <c r="I52" i="9" s="1"/>
  <c r="H51" i="9"/>
  <c r="I51" i="9" s="1"/>
  <c r="H50" i="9"/>
  <c r="I50" i="9" s="1"/>
  <c r="H49" i="9"/>
  <c r="I49" i="9" s="1"/>
  <c r="H48" i="9"/>
  <c r="I48" i="9" s="1"/>
  <c r="H47" i="9"/>
  <c r="I47" i="9" s="1"/>
  <c r="H46" i="9"/>
  <c r="I46" i="9" s="1"/>
  <c r="H45" i="9"/>
  <c r="I45" i="9" s="1"/>
  <c r="H44" i="9"/>
  <c r="I44" i="9" s="1"/>
  <c r="H43" i="9"/>
  <c r="I43" i="9" s="1"/>
  <c r="H42" i="9"/>
  <c r="I42" i="9" s="1"/>
  <c r="H41" i="9"/>
  <c r="I41" i="9" s="1"/>
  <c r="H40" i="9"/>
  <c r="I40" i="9" s="1"/>
  <c r="H39" i="9"/>
  <c r="I39" i="9" s="1"/>
  <c r="H38" i="9"/>
  <c r="I38" i="9" s="1"/>
  <c r="H37" i="9"/>
  <c r="I37" i="9" s="1"/>
  <c r="H36" i="9"/>
  <c r="I36" i="9" s="1"/>
  <c r="H35" i="9"/>
  <c r="I35" i="9" s="1"/>
  <c r="H34" i="9"/>
  <c r="I34" i="9" s="1"/>
  <c r="H33" i="9"/>
  <c r="I33" i="9" s="1"/>
  <c r="H32" i="9"/>
  <c r="I32" i="9" s="1"/>
  <c r="H31" i="9"/>
  <c r="I31" i="9" s="1"/>
  <c r="H30" i="9"/>
  <c r="I30" i="9" s="1"/>
  <c r="H29" i="9"/>
  <c r="I29" i="9" s="1"/>
  <c r="H28" i="9"/>
  <c r="I28" i="9" s="1"/>
  <c r="H27" i="9"/>
  <c r="I27" i="9" s="1"/>
  <c r="H26" i="9"/>
  <c r="I26" i="9" s="1"/>
  <c r="H25" i="9"/>
  <c r="I25" i="9" s="1"/>
  <c r="H24" i="9"/>
  <c r="I24" i="9" s="1"/>
  <c r="K23" i="9"/>
  <c r="I23" i="9"/>
  <c r="H23" i="9"/>
  <c r="H22" i="9"/>
  <c r="I22" i="9" s="1"/>
  <c r="K21" i="9"/>
  <c r="I21" i="9"/>
  <c r="H21" i="9"/>
  <c r="K20" i="9"/>
  <c r="H20" i="9"/>
  <c r="I20" i="9" s="1"/>
  <c r="I19" i="9"/>
  <c r="H19" i="9"/>
  <c r="I18" i="9"/>
  <c r="H18" i="9"/>
  <c r="H17" i="9"/>
  <c r="I17" i="9" s="1"/>
  <c r="N16" i="9"/>
  <c r="H16" i="9"/>
  <c r="I16" i="9" s="1"/>
  <c r="I15" i="9"/>
  <c r="H15" i="9"/>
  <c r="I14" i="9"/>
  <c r="H14" i="9"/>
  <c r="H13" i="9"/>
  <c r="I13" i="9" s="1"/>
  <c r="I12" i="9"/>
  <c r="H12" i="9"/>
  <c r="H11" i="9"/>
  <c r="I11" i="9" s="1"/>
  <c r="I10" i="9"/>
  <c r="H10" i="9"/>
  <c r="I9" i="9"/>
  <c r="H9" i="9"/>
  <c r="H8" i="9"/>
  <c r="I8" i="9" s="1"/>
  <c r="I7" i="9"/>
  <c r="H7" i="9"/>
  <c r="I6" i="9"/>
  <c r="H6" i="9"/>
  <c r="H5" i="9"/>
  <c r="I5" i="9" s="1"/>
  <c r="I4" i="9"/>
  <c r="H4" i="9"/>
  <c r="H3" i="9"/>
  <c r="I3" i="9" s="1"/>
  <c r="K18" i="9" s="1"/>
  <c r="I2" i="9"/>
  <c r="H2" i="9"/>
  <c r="K19" i="9" l="1"/>
  <c r="I529" i="9"/>
  <c r="F52" i="7" l="1"/>
  <c r="G51" i="7"/>
  <c r="H51" i="7" s="1"/>
  <c r="G50" i="7"/>
  <c r="H50" i="7" s="1"/>
  <c r="H49" i="7"/>
  <c r="G49" i="7"/>
  <c r="G48" i="7"/>
  <c r="H48" i="7" s="1"/>
  <c r="G47" i="7"/>
  <c r="H47" i="7" s="1"/>
  <c r="G46" i="7"/>
  <c r="H46" i="7" s="1"/>
  <c r="G45" i="7"/>
  <c r="H45" i="7" s="1"/>
  <c r="G44" i="7"/>
  <c r="H44" i="7" s="1"/>
  <c r="H43" i="7"/>
  <c r="G43" i="7"/>
  <c r="G42" i="7"/>
  <c r="H42" i="7" s="1"/>
  <c r="H41" i="7"/>
  <c r="G41" i="7"/>
  <c r="H40" i="7"/>
  <c r="G40" i="7"/>
  <c r="G39" i="7"/>
  <c r="H39" i="7" s="1"/>
  <c r="G38" i="7"/>
  <c r="H38" i="7" s="1"/>
  <c r="H37" i="7"/>
  <c r="G37" i="7"/>
  <c r="G36" i="7"/>
  <c r="H36" i="7" s="1"/>
  <c r="H35" i="7"/>
  <c r="G35" i="7"/>
  <c r="G34" i="7"/>
  <c r="H34" i="7" s="1"/>
  <c r="H33" i="7"/>
  <c r="G33" i="7"/>
  <c r="H32" i="7"/>
  <c r="G32" i="7"/>
  <c r="G31" i="7"/>
  <c r="H31" i="7" s="1"/>
  <c r="G30" i="7"/>
  <c r="H30" i="7" s="1"/>
  <c r="H29" i="7"/>
  <c r="G29" i="7"/>
  <c r="H28" i="7"/>
  <c r="G28" i="7"/>
  <c r="H27" i="7"/>
  <c r="G27" i="7"/>
  <c r="G26" i="7"/>
  <c r="H26" i="7" s="1"/>
  <c r="H25" i="7"/>
  <c r="G25" i="7"/>
  <c r="H24" i="7"/>
  <c r="G24" i="7"/>
  <c r="G23" i="7"/>
  <c r="H23" i="7" s="1"/>
  <c r="G22" i="7"/>
  <c r="H22" i="7" s="1"/>
  <c r="H21" i="7"/>
  <c r="G21" i="7"/>
  <c r="H20" i="7"/>
  <c r="G20" i="7"/>
  <c r="G19" i="7"/>
  <c r="H19" i="7" s="1"/>
  <c r="G18" i="7"/>
  <c r="H18" i="7" s="1"/>
  <c r="H17" i="7"/>
  <c r="G17" i="7"/>
  <c r="H16" i="7"/>
  <c r="G16" i="7"/>
  <c r="G15" i="7"/>
  <c r="H15" i="7" s="1"/>
  <c r="G14" i="7"/>
  <c r="H14" i="7" s="1"/>
  <c r="H13" i="7"/>
  <c r="G13" i="7"/>
  <c r="H12" i="7"/>
  <c r="G12" i="7"/>
  <c r="G11" i="7"/>
  <c r="H11" i="7" s="1"/>
  <c r="G10" i="7"/>
  <c r="H10" i="7" s="1"/>
  <c r="H9" i="7"/>
  <c r="G9" i="7"/>
  <c r="H8" i="7"/>
  <c r="G8" i="7"/>
  <c r="G7" i="7"/>
  <c r="H7" i="7" s="1"/>
  <c r="G6" i="7"/>
  <c r="H6" i="7" s="1"/>
  <c r="H5" i="7"/>
  <c r="G5" i="7"/>
  <c r="H4" i="7"/>
  <c r="G4" i="7"/>
  <c r="G3" i="7"/>
  <c r="H3" i="7" s="1"/>
  <c r="H2" i="7"/>
  <c r="G2" i="7"/>
  <c r="G52" i="7" s="1"/>
  <c r="J32" i="6" l="1"/>
  <c r="I32" i="6" a="1"/>
  <c r="I32" i="6" s="1"/>
  <c r="H32" i="6"/>
  <c r="L32" i="6" s="1" a="1"/>
  <c r="L32" i="6" s="1"/>
  <c r="M32" i="6" s="1"/>
  <c r="J31" i="6"/>
  <c r="I31" i="6" a="1"/>
  <c r="I31" i="6" s="1"/>
  <c r="H31" i="6"/>
  <c r="L31" i="6" s="1" a="1"/>
  <c r="L31" i="6" s="1"/>
  <c r="M31" i="6" s="1"/>
  <c r="J30" i="6"/>
  <c r="I30" i="6" a="1"/>
  <c r="I30" i="6" s="1"/>
  <c r="H30" i="6"/>
  <c r="L30" i="6" s="1" a="1"/>
  <c r="L30" i="6" s="1"/>
  <c r="M30" i="6" s="1"/>
  <c r="J29" i="6"/>
  <c r="I29" i="6" a="1"/>
  <c r="I29" i="6" s="1"/>
  <c r="H29" i="6"/>
  <c r="L29" i="6" s="1" a="1"/>
  <c r="L29" i="6" s="1"/>
  <c r="M29" i="6" s="1"/>
  <c r="J28" i="6"/>
  <c r="I28" i="6" a="1"/>
  <c r="I28" i="6" s="1"/>
  <c r="H28" i="6"/>
  <c r="L28" i="6" s="1" a="1"/>
  <c r="L28" i="6" s="1"/>
  <c r="M28" i="6" s="1"/>
  <c r="J27" i="6"/>
  <c r="I27" i="6" a="1"/>
  <c r="I27" i="6" s="1"/>
  <c r="H27" i="6"/>
  <c r="L27" i="6" s="1" a="1"/>
  <c r="L27" i="6" s="1"/>
  <c r="M27" i="6" s="1"/>
  <c r="J26" i="6"/>
  <c r="I26" i="6" a="1"/>
  <c r="I26" i="6" s="1"/>
  <c r="H26" i="6"/>
  <c r="L26" i="6" s="1" a="1"/>
  <c r="L26" i="6" s="1"/>
  <c r="M26" i="6" s="1"/>
  <c r="J25" i="6"/>
  <c r="I25" i="6" a="1"/>
  <c r="I25" i="6" s="1"/>
  <c r="H25" i="6"/>
  <c r="L25" i="6" s="1" a="1"/>
  <c r="L25" i="6" s="1"/>
  <c r="M25" i="6" s="1"/>
  <c r="J24" i="6"/>
  <c r="I24" i="6" a="1"/>
  <c r="I24" i="6" s="1"/>
  <c r="H24" i="6"/>
  <c r="L24" i="6" s="1" a="1"/>
  <c r="L24" i="6" s="1"/>
  <c r="M24" i="6" s="1"/>
  <c r="J23" i="6"/>
  <c r="I23" i="6" a="1"/>
  <c r="I23" i="6" s="1"/>
  <c r="H23" i="6"/>
  <c r="K23" i="6" s="1"/>
  <c r="J22" i="6"/>
  <c r="I22" i="6" a="1"/>
  <c r="I22" i="6" s="1"/>
  <c r="H22" i="6"/>
  <c r="L22" i="6" s="1" a="1"/>
  <c r="L22" i="6" s="1"/>
  <c r="M22" i="6" s="1"/>
  <c r="J21" i="6"/>
  <c r="I21" i="6" a="1"/>
  <c r="I21" i="6" s="1"/>
  <c r="H21" i="6"/>
  <c r="L21" i="6" s="1" a="1"/>
  <c r="L21" i="6" s="1"/>
  <c r="M21" i="6" s="1"/>
  <c r="J20" i="6"/>
  <c r="I20" i="6" a="1"/>
  <c r="I20" i="6" s="1"/>
  <c r="H20" i="6"/>
  <c r="L20" i="6" s="1" a="1"/>
  <c r="L20" i="6" s="1"/>
  <c r="M20" i="6" s="1"/>
  <c r="J19" i="6"/>
  <c r="I19" i="6" a="1"/>
  <c r="I19" i="6" s="1"/>
  <c r="H19" i="6"/>
  <c r="K19" i="6" s="1"/>
  <c r="J18" i="6"/>
  <c r="I18" i="6" a="1"/>
  <c r="I18" i="6" s="1"/>
  <c r="H18" i="6"/>
  <c r="L18" i="6" s="1" a="1"/>
  <c r="L18" i="6" s="1"/>
  <c r="M18" i="6" s="1"/>
  <c r="J17" i="6"/>
  <c r="I17" i="6" a="1"/>
  <c r="I17" i="6" s="1"/>
  <c r="H17" i="6"/>
  <c r="L17" i="6" s="1" a="1"/>
  <c r="L17" i="6" s="1"/>
  <c r="M17" i="6" s="1"/>
  <c r="J16" i="6"/>
  <c r="I16" i="6" a="1"/>
  <c r="I16" i="6" s="1"/>
  <c r="H16" i="6"/>
  <c r="L16" i="6" s="1" a="1"/>
  <c r="L16" i="6" s="1"/>
  <c r="M16" i="6" s="1"/>
  <c r="J15" i="6"/>
  <c r="I15" i="6" a="1"/>
  <c r="I15" i="6" s="1"/>
  <c r="H15" i="6"/>
  <c r="L15" i="6" s="1" a="1"/>
  <c r="L15" i="6" s="1"/>
  <c r="M15" i="6" s="1"/>
  <c r="J14" i="6"/>
  <c r="I14" i="6" a="1"/>
  <c r="I14" i="6" s="1"/>
  <c r="H14" i="6"/>
  <c r="L14" i="6" s="1" a="1"/>
  <c r="L14" i="6" s="1"/>
  <c r="M14" i="6" s="1"/>
  <c r="J13" i="6"/>
  <c r="I13" i="6" a="1"/>
  <c r="I13" i="6" s="1"/>
  <c r="H13" i="6"/>
  <c r="L13" i="6" s="1" a="1"/>
  <c r="L13" i="6" s="1"/>
  <c r="M13" i="6" s="1"/>
  <c r="J12" i="6"/>
  <c r="I12" i="6" a="1"/>
  <c r="I12" i="6" s="1"/>
  <c r="H12" i="6"/>
  <c r="L12" i="6" s="1" a="1"/>
  <c r="L12" i="6" s="1"/>
  <c r="M12" i="6" s="1"/>
  <c r="J11" i="6"/>
  <c r="I11" i="6" a="1"/>
  <c r="I11" i="6" s="1"/>
  <c r="H11" i="6"/>
  <c r="K11" i="6" s="1"/>
  <c r="J10" i="6"/>
  <c r="I10" i="6" a="1"/>
  <c r="I10" i="6" s="1"/>
  <c r="H10" i="6"/>
  <c r="L10" i="6" s="1" a="1"/>
  <c r="L10" i="6" s="1"/>
  <c r="M10" i="6" s="1"/>
  <c r="J9" i="6"/>
  <c r="I9" i="6" a="1"/>
  <c r="I9" i="6" s="1"/>
  <c r="H9" i="6"/>
  <c r="L9" i="6" s="1" a="1"/>
  <c r="L9" i="6" s="1"/>
  <c r="M9" i="6" s="1"/>
  <c r="J8" i="6"/>
  <c r="I8" i="6" a="1"/>
  <c r="I8" i="6" s="1"/>
  <c r="H8" i="6"/>
  <c r="L8" i="6" s="1" a="1"/>
  <c r="L8" i="6" s="1"/>
  <c r="M8" i="6" s="1"/>
  <c r="J7" i="6"/>
  <c r="I7" i="6" a="1"/>
  <c r="I7" i="6" s="1"/>
  <c r="H7" i="6"/>
  <c r="L7" i="6" s="1" a="1"/>
  <c r="L7" i="6" s="1"/>
  <c r="M7" i="6" s="1"/>
  <c r="J6" i="6"/>
  <c r="I6" i="6" a="1"/>
  <c r="I6" i="6" s="1"/>
  <c r="H6" i="6"/>
  <c r="L6" i="6" s="1" a="1"/>
  <c r="L6" i="6" s="1"/>
  <c r="M6" i="6" s="1"/>
  <c r="J5" i="6"/>
  <c r="I5" i="6" a="1"/>
  <c r="I5" i="6" s="1"/>
  <c r="H5" i="6"/>
  <c r="L5" i="6" s="1" a="1"/>
  <c r="L5" i="6" s="1"/>
  <c r="M5" i="6" s="1"/>
  <c r="J4" i="6"/>
  <c r="I4" i="6" a="1"/>
  <c r="I4" i="6" s="1"/>
  <c r="H4" i="6"/>
  <c r="L4" i="6" s="1" a="1"/>
  <c r="L4" i="6" s="1"/>
  <c r="M4" i="6" s="1"/>
  <c r="J3" i="6"/>
  <c r="I3" i="6" a="1"/>
  <c r="I3" i="6" s="1"/>
  <c r="H3" i="6"/>
  <c r="K3" i="6" s="1"/>
  <c r="J2" i="6"/>
  <c r="I2" i="6" a="1"/>
  <c r="I2" i="6" s="1"/>
  <c r="H2" i="6"/>
  <c r="L2" i="6" s="1" a="1"/>
  <c r="L2" i="6" s="1"/>
  <c r="M2" i="6" s="1"/>
  <c r="L3" i="6" l="1" a="1"/>
  <c r="L3" i="6" s="1"/>
  <c r="M3" i="6" s="1"/>
  <c r="K7" i="6"/>
  <c r="K9" i="6"/>
  <c r="K13" i="6"/>
  <c r="K17" i="6"/>
  <c r="K21" i="6"/>
  <c r="K25" i="6"/>
  <c r="K27" i="6"/>
  <c r="K31" i="6"/>
  <c r="L11" i="6" a="1"/>
  <c r="L11" i="6" s="1"/>
  <c r="M11" i="6" s="1"/>
  <c r="L19" i="6" a="1"/>
  <c r="L19" i="6" s="1"/>
  <c r="M19" i="6" s="1"/>
  <c r="L23" i="6" a="1"/>
  <c r="L23" i="6" s="1"/>
  <c r="M23" i="6" s="1"/>
  <c r="K5" i="6"/>
  <c r="K15" i="6"/>
  <c r="K29" i="6"/>
  <c r="K2" i="6"/>
  <c r="K4" i="6"/>
  <c r="K6" i="6"/>
  <c r="K8" i="6"/>
  <c r="K10" i="6"/>
  <c r="K12" i="6"/>
  <c r="K14" i="6"/>
  <c r="K16" i="6"/>
  <c r="K18" i="6"/>
  <c r="K20" i="6"/>
  <c r="K22" i="6"/>
  <c r="K24" i="6"/>
  <c r="K26" i="6"/>
  <c r="K28" i="6"/>
  <c r="K30" i="6"/>
  <c r="K32" i="6"/>
  <c r="B96" i="5" l="1"/>
  <c r="A96" i="5" s="1"/>
  <c r="B95" i="5"/>
  <c r="A95" i="5" s="1"/>
  <c r="B94" i="5"/>
  <c r="A94" i="5" s="1"/>
  <c r="B93" i="5"/>
  <c r="A93" i="5" s="1"/>
  <c r="B92" i="5"/>
  <c r="A92" i="5"/>
  <c r="B91" i="5"/>
  <c r="A91" i="5"/>
  <c r="B90" i="5"/>
  <c r="A90" i="5" s="1"/>
  <c r="B89" i="5"/>
  <c r="A89" i="5"/>
  <c r="B88" i="5"/>
  <c r="A88" i="5" s="1"/>
  <c r="B87" i="5"/>
  <c r="A87" i="5" s="1"/>
  <c r="B86" i="5"/>
  <c r="A86" i="5" s="1"/>
  <c r="B85" i="5"/>
  <c r="A85" i="5" s="1"/>
  <c r="B84" i="5"/>
  <c r="A84" i="5"/>
  <c r="B83" i="5"/>
  <c r="A83" i="5"/>
  <c r="B82" i="5"/>
  <c r="A82" i="5" s="1"/>
  <c r="B81" i="5"/>
  <c r="A81" i="5"/>
  <c r="B80" i="5"/>
  <c r="A80" i="5" s="1"/>
  <c r="B79" i="5"/>
  <c r="A79" i="5" s="1"/>
  <c r="B78" i="5"/>
  <c r="A78" i="5" s="1"/>
  <c r="B77" i="5"/>
  <c r="A77" i="5" s="1"/>
  <c r="B76" i="5"/>
  <c r="A76" i="5"/>
  <c r="B75" i="5"/>
  <c r="A75" i="5"/>
  <c r="B74" i="5"/>
  <c r="A74" i="5" s="1"/>
  <c r="B73" i="5"/>
  <c r="A73" i="5"/>
  <c r="B72" i="5"/>
  <c r="A72" i="5" s="1"/>
  <c r="B71" i="5"/>
  <c r="A71" i="5" s="1"/>
  <c r="B70" i="5"/>
  <c r="A70" i="5" s="1"/>
  <c r="B69" i="5"/>
  <c r="A69" i="5" s="1"/>
  <c r="B68" i="5"/>
  <c r="A68" i="5"/>
  <c r="B67" i="5"/>
  <c r="A67" i="5"/>
  <c r="B66" i="5"/>
  <c r="A66" i="5" s="1"/>
  <c r="B65" i="5"/>
  <c r="A65" i="5"/>
  <c r="B64" i="5"/>
  <c r="A64" i="5" s="1"/>
  <c r="B63" i="5"/>
  <c r="A63" i="5" s="1"/>
  <c r="B62" i="5"/>
  <c r="A62" i="5" s="1"/>
  <c r="B61" i="5"/>
  <c r="A61" i="5" s="1"/>
  <c r="B60" i="5"/>
  <c r="A60" i="5"/>
  <c r="B59" i="5"/>
  <c r="A59" i="5"/>
  <c r="B58" i="5"/>
  <c r="A58" i="5" s="1"/>
  <c r="B57" i="5"/>
  <c r="A57" i="5"/>
  <c r="B56" i="5"/>
  <c r="A56" i="5" s="1"/>
  <c r="B55" i="5"/>
  <c r="A55" i="5" s="1"/>
  <c r="B54" i="5"/>
  <c r="A54" i="5" s="1"/>
  <c r="B53" i="5"/>
  <c r="A53" i="5" s="1"/>
  <c r="B52" i="5"/>
  <c r="A52" i="5"/>
  <c r="B51" i="5"/>
  <c r="A51" i="5"/>
  <c r="B50" i="5"/>
  <c r="A50" i="5" s="1"/>
  <c r="B49" i="5"/>
  <c r="A49" i="5"/>
  <c r="B48" i="5"/>
  <c r="A48" i="5" s="1"/>
  <c r="B47" i="5"/>
  <c r="A47" i="5" s="1"/>
  <c r="B46" i="5"/>
  <c r="A46" i="5" s="1"/>
  <c r="B45" i="5"/>
  <c r="A45" i="5" s="1"/>
  <c r="B44" i="5"/>
  <c r="A44" i="5"/>
  <c r="B43" i="5"/>
  <c r="A43" i="5"/>
  <c r="B42" i="5"/>
  <c r="A42" i="5" s="1"/>
  <c r="B41" i="5"/>
  <c r="A41" i="5"/>
  <c r="B40" i="5"/>
  <c r="A40" i="5" s="1"/>
  <c r="B39" i="5"/>
  <c r="A39" i="5" s="1"/>
  <c r="B38" i="5"/>
  <c r="A38" i="5" s="1"/>
  <c r="B37" i="5"/>
  <c r="A37" i="5" s="1"/>
  <c r="B36" i="5"/>
  <c r="A36" i="5"/>
  <c r="B35" i="5"/>
  <c r="A35" i="5"/>
  <c r="B34" i="5"/>
  <c r="A34" i="5" s="1"/>
  <c r="B33" i="5"/>
  <c r="A33" i="5"/>
  <c r="B32" i="5"/>
  <c r="A32" i="5" s="1"/>
  <c r="B31" i="5"/>
  <c r="A31" i="5" s="1"/>
  <c r="B30" i="5"/>
  <c r="A30" i="5" s="1"/>
  <c r="B29" i="5"/>
  <c r="A29" i="5" s="1"/>
  <c r="B28" i="5"/>
  <c r="A28" i="5"/>
  <c r="B27" i="5"/>
  <c r="A27" i="5"/>
  <c r="B26" i="5"/>
  <c r="A26" i="5" s="1"/>
  <c r="K18" i="5" s="1" a="1"/>
  <c r="K18" i="5" s="1"/>
  <c r="B25" i="5"/>
  <c r="A25" i="5"/>
  <c r="B24" i="5"/>
  <c r="A24" i="5" s="1"/>
  <c r="B23" i="5"/>
  <c r="A23" i="5" s="1"/>
  <c r="B22" i="5"/>
  <c r="A22" i="5" s="1"/>
  <c r="L21" i="5"/>
  <c r="B21" i="5"/>
  <c r="A21" i="5"/>
  <c r="B20" i="5"/>
  <c r="A20" i="5" s="1"/>
  <c r="B19" i="5"/>
  <c r="A19" i="5" s="1"/>
  <c r="B18" i="5"/>
  <c r="A18" i="5" s="1"/>
  <c r="B17" i="5"/>
  <c r="A17" i="5" s="1"/>
  <c r="B16" i="5"/>
  <c r="A16" i="5" s="1"/>
  <c r="B15" i="5"/>
  <c r="A15" i="5"/>
  <c r="B14" i="5"/>
  <c r="A14" i="5"/>
  <c r="B13" i="5"/>
  <c r="A13" i="5" s="1"/>
  <c r="B12" i="5"/>
  <c r="A12" i="5" s="1"/>
  <c r="B11" i="5"/>
  <c r="A11" i="5"/>
  <c r="B10" i="5"/>
  <c r="A10" i="5" s="1"/>
  <c r="B9" i="5"/>
  <c r="A9" i="5" s="1"/>
  <c r="B8" i="5"/>
  <c r="A8" i="5" s="1"/>
  <c r="B7" i="5"/>
  <c r="A7" i="5"/>
  <c r="B6" i="5"/>
  <c r="A6" i="5"/>
  <c r="B5" i="5"/>
  <c r="A5" i="5" s="1"/>
  <c r="B4" i="5"/>
  <c r="A4" i="5" s="1"/>
  <c r="B3" i="5"/>
  <c r="A3" i="5"/>
  <c r="B2" i="5"/>
  <c r="A2" i="5" s="1"/>
  <c r="E22" i="4"/>
  <c r="B22" i="4"/>
  <c r="D22" i="4" s="1" a="1"/>
  <c r="D22" i="4" s="1"/>
  <c r="E21" i="4"/>
  <c r="B21" i="4"/>
  <c r="D21" i="4" s="1" a="1"/>
  <c r="D21" i="4" s="1"/>
  <c r="E20" i="4"/>
  <c r="B20" i="4"/>
  <c r="D20" i="4" s="1" a="1"/>
  <c r="D20" i="4" s="1"/>
  <c r="E19" i="4"/>
  <c r="B19" i="4"/>
  <c r="D19" i="4" s="1" a="1"/>
  <c r="D19" i="4" s="1"/>
  <c r="E18" i="4"/>
  <c r="B18" i="4"/>
  <c r="D18" i="4" s="1" a="1"/>
  <c r="D18" i="4" s="1"/>
  <c r="E17" i="4"/>
  <c r="B17" i="4"/>
  <c r="D17" i="4" s="1" a="1"/>
  <c r="D17" i="4" s="1"/>
  <c r="E16" i="4"/>
  <c r="B16" i="4"/>
  <c r="C16" i="4" s="1"/>
  <c r="E15" i="4"/>
  <c r="B15" i="4"/>
  <c r="C15" i="4" s="1"/>
  <c r="E14" i="4"/>
  <c r="B14" i="4"/>
  <c r="C14" i="4" s="1"/>
  <c r="E13" i="4"/>
  <c r="B13" i="4"/>
  <c r="D13" i="4" s="1" a="1"/>
  <c r="D13" i="4" s="1"/>
  <c r="E12" i="4"/>
  <c r="B12" i="4"/>
  <c r="D12" i="4" s="1" a="1"/>
  <c r="D12" i="4" s="1"/>
  <c r="E11" i="4"/>
  <c r="B11" i="4"/>
  <c r="D11" i="4" s="1" a="1"/>
  <c r="D11" i="4" s="1"/>
  <c r="E10" i="4"/>
  <c r="B10" i="4"/>
  <c r="C10" i="4" s="1"/>
  <c r="E9" i="4"/>
  <c r="B9" i="4"/>
  <c r="D9" i="4" s="1" a="1"/>
  <c r="D9" i="4" s="1"/>
  <c r="E8" i="4"/>
  <c r="D8" i="4" a="1"/>
  <c r="D8" i="4" s="1"/>
  <c r="C8" i="4"/>
  <c r="E7" i="4"/>
  <c r="B7" i="4"/>
  <c r="D7" i="4" s="1" a="1"/>
  <c r="D7" i="4" s="1"/>
  <c r="E6" i="4"/>
  <c r="B6" i="4"/>
  <c r="D6" i="4" s="1" a="1"/>
  <c r="D6" i="4" s="1"/>
  <c r="E5" i="4"/>
  <c r="B5" i="4"/>
  <c r="D5" i="4" s="1" a="1"/>
  <c r="D5" i="4" s="1"/>
  <c r="E4" i="4"/>
  <c r="B4" i="4"/>
  <c r="D4" i="4" s="1" a="1"/>
  <c r="D4" i="4" s="1"/>
  <c r="I97" i="3"/>
  <c r="H97" i="3"/>
  <c r="J97" i="3" s="1"/>
  <c r="K97" i="3" s="1"/>
  <c r="L97" i="3" s="1"/>
  <c r="J96" i="3"/>
  <c r="K96" i="3" s="1"/>
  <c r="L96" i="3" s="1"/>
  <c r="I96" i="3"/>
  <c r="H96" i="3"/>
  <c r="J95" i="3"/>
  <c r="K95" i="3" s="1"/>
  <c r="L95" i="3" s="1"/>
  <c r="I95" i="3"/>
  <c r="H95" i="3"/>
  <c r="I94" i="3"/>
  <c r="H94" i="3"/>
  <c r="J94" i="3" s="1"/>
  <c r="K94" i="3" s="1"/>
  <c r="L94" i="3" s="1"/>
  <c r="I93" i="3"/>
  <c r="J93" i="3" s="1"/>
  <c r="K93" i="3" s="1"/>
  <c r="L93" i="3" s="1"/>
  <c r="H93" i="3"/>
  <c r="I92" i="3"/>
  <c r="H92" i="3"/>
  <c r="J92" i="3" s="1"/>
  <c r="K92" i="3" s="1"/>
  <c r="L92" i="3" s="1"/>
  <c r="J91" i="3"/>
  <c r="K91" i="3" s="1"/>
  <c r="L91" i="3" s="1"/>
  <c r="I91" i="3"/>
  <c r="H91" i="3"/>
  <c r="I90" i="3"/>
  <c r="H90" i="3"/>
  <c r="J90" i="3" s="1"/>
  <c r="K90" i="3" s="1"/>
  <c r="L90" i="3" s="1"/>
  <c r="J89" i="3"/>
  <c r="K89" i="3" s="1"/>
  <c r="L89" i="3" s="1"/>
  <c r="I89" i="3"/>
  <c r="H89" i="3"/>
  <c r="I88" i="3"/>
  <c r="J88" i="3" s="1"/>
  <c r="K88" i="3" s="1"/>
  <c r="L88" i="3" s="1"/>
  <c r="H88" i="3"/>
  <c r="K87" i="3"/>
  <c r="L87" i="3" s="1"/>
  <c r="J87" i="3"/>
  <c r="I87" i="3"/>
  <c r="H87" i="3"/>
  <c r="I86" i="3"/>
  <c r="J86" i="3" s="1"/>
  <c r="K86" i="3" s="1"/>
  <c r="L86" i="3" s="1"/>
  <c r="H86" i="3"/>
  <c r="I85" i="3"/>
  <c r="H85" i="3"/>
  <c r="J85" i="3" s="1"/>
  <c r="K85" i="3" s="1"/>
  <c r="L85" i="3" s="1"/>
  <c r="J84" i="3"/>
  <c r="K84" i="3" s="1"/>
  <c r="L84" i="3" s="1"/>
  <c r="I84" i="3"/>
  <c r="H84" i="3"/>
  <c r="I83" i="3"/>
  <c r="H83" i="3"/>
  <c r="J83" i="3" s="1"/>
  <c r="K83" i="3" s="1"/>
  <c r="L83" i="3" s="1"/>
  <c r="I82" i="3"/>
  <c r="H82" i="3"/>
  <c r="J82" i="3" s="1"/>
  <c r="K82" i="3" s="1"/>
  <c r="L82" i="3" s="1"/>
  <c r="I81" i="3"/>
  <c r="H81" i="3"/>
  <c r="J81" i="3" s="1"/>
  <c r="K81" i="3" s="1"/>
  <c r="L81" i="3" s="1"/>
  <c r="J80" i="3"/>
  <c r="K80" i="3" s="1"/>
  <c r="L80" i="3" s="1"/>
  <c r="I80" i="3"/>
  <c r="H80" i="3"/>
  <c r="J79" i="3"/>
  <c r="K79" i="3" s="1"/>
  <c r="L79" i="3" s="1"/>
  <c r="I79" i="3"/>
  <c r="H79" i="3"/>
  <c r="I78" i="3"/>
  <c r="H78" i="3"/>
  <c r="J78" i="3" s="1"/>
  <c r="K78" i="3" s="1"/>
  <c r="L78" i="3" s="1"/>
  <c r="I77" i="3"/>
  <c r="J77" i="3" s="1"/>
  <c r="K77" i="3" s="1"/>
  <c r="L77" i="3" s="1"/>
  <c r="H77" i="3"/>
  <c r="I76" i="3"/>
  <c r="H76" i="3"/>
  <c r="J76" i="3" s="1"/>
  <c r="K76" i="3" s="1"/>
  <c r="L76" i="3" s="1"/>
  <c r="J75" i="3"/>
  <c r="K75" i="3" s="1"/>
  <c r="L75" i="3" s="1"/>
  <c r="I75" i="3"/>
  <c r="H75" i="3"/>
  <c r="I74" i="3"/>
  <c r="H74" i="3"/>
  <c r="J74" i="3" s="1"/>
  <c r="K74" i="3" s="1"/>
  <c r="L74" i="3" s="1"/>
  <c r="J73" i="3"/>
  <c r="K73" i="3" s="1"/>
  <c r="L73" i="3" s="1"/>
  <c r="I73" i="3"/>
  <c r="H73" i="3"/>
  <c r="I72" i="3"/>
  <c r="J72" i="3" s="1"/>
  <c r="K72" i="3" s="1"/>
  <c r="L72" i="3" s="1"/>
  <c r="H72" i="3"/>
  <c r="K71" i="3"/>
  <c r="L71" i="3" s="1"/>
  <c r="J71" i="3"/>
  <c r="I71" i="3"/>
  <c r="H71" i="3"/>
  <c r="I70" i="3"/>
  <c r="J70" i="3" s="1"/>
  <c r="K70" i="3" s="1"/>
  <c r="L70" i="3" s="1"/>
  <c r="H70" i="3"/>
  <c r="I69" i="3"/>
  <c r="H69" i="3"/>
  <c r="J69" i="3" s="1"/>
  <c r="K69" i="3" s="1"/>
  <c r="L69" i="3" s="1"/>
  <c r="J68" i="3"/>
  <c r="K68" i="3" s="1"/>
  <c r="L68" i="3" s="1"/>
  <c r="I68" i="3"/>
  <c r="H68" i="3"/>
  <c r="I67" i="3"/>
  <c r="H67" i="3"/>
  <c r="J67" i="3" s="1"/>
  <c r="K67" i="3" s="1"/>
  <c r="L67" i="3" s="1"/>
  <c r="I66" i="3"/>
  <c r="H66" i="3"/>
  <c r="J66" i="3" s="1"/>
  <c r="K66" i="3" s="1"/>
  <c r="L66" i="3" s="1"/>
  <c r="I65" i="3"/>
  <c r="H65" i="3"/>
  <c r="J65" i="3" s="1"/>
  <c r="K65" i="3" s="1"/>
  <c r="L65" i="3" s="1"/>
  <c r="J64" i="3"/>
  <c r="K64" i="3" s="1"/>
  <c r="L64" i="3" s="1"/>
  <c r="I64" i="3"/>
  <c r="H64" i="3"/>
  <c r="J63" i="3"/>
  <c r="K63" i="3" s="1"/>
  <c r="L63" i="3" s="1"/>
  <c r="I63" i="3"/>
  <c r="H63" i="3"/>
  <c r="I62" i="3"/>
  <c r="H62" i="3"/>
  <c r="J62" i="3" s="1"/>
  <c r="K62" i="3" s="1"/>
  <c r="L62" i="3" s="1"/>
  <c r="I61" i="3"/>
  <c r="J61" i="3" s="1"/>
  <c r="K61" i="3" s="1"/>
  <c r="L61" i="3" s="1"/>
  <c r="H61" i="3"/>
  <c r="I60" i="3"/>
  <c r="H60" i="3"/>
  <c r="J60" i="3" s="1"/>
  <c r="K60" i="3" s="1"/>
  <c r="L60" i="3" s="1"/>
  <c r="J59" i="3"/>
  <c r="K59" i="3" s="1"/>
  <c r="L59" i="3" s="1"/>
  <c r="I59" i="3"/>
  <c r="H59" i="3"/>
  <c r="I58" i="3"/>
  <c r="H58" i="3"/>
  <c r="J58" i="3" s="1"/>
  <c r="K58" i="3" s="1"/>
  <c r="L58" i="3" s="1"/>
  <c r="J57" i="3"/>
  <c r="K57" i="3" s="1"/>
  <c r="L57" i="3" s="1"/>
  <c r="I57" i="3"/>
  <c r="H57" i="3"/>
  <c r="I56" i="3"/>
  <c r="J56" i="3" s="1"/>
  <c r="K56" i="3" s="1"/>
  <c r="L56" i="3" s="1"/>
  <c r="H56" i="3"/>
  <c r="K55" i="3"/>
  <c r="L55" i="3" s="1"/>
  <c r="J55" i="3"/>
  <c r="I55" i="3"/>
  <c r="H55" i="3"/>
  <c r="I54" i="3"/>
  <c r="J54" i="3" s="1"/>
  <c r="K54" i="3" s="1"/>
  <c r="L54" i="3" s="1"/>
  <c r="H54" i="3"/>
  <c r="I53" i="3"/>
  <c r="H53" i="3"/>
  <c r="J53" i="3" s="1"/>
  <c r="K53" i="3" s="1"/>
  <c r="L53" i="3" s="1"/>
  <c r="J52" i="3"/>
  <c r="K52" i="3" s="1"/>
  <c r="L52" i="3" s="1"/>
  <c r="I52" i="3"/>
  <c r="H52" i="3"/>
  <c r="I51" i="3"/>
  <c r="H51" i="3"/>
  <c r="J51" i="3" s="1"/>
  <c r="K51" i="3" s="1"/>
  <c r="L51" i="3" s="1"/>
  <c r="I50" i="3"/>
  <c r="H50" i="3"/>
  <c r="J50" i="3" s="1"/>
  <c r="K50" i="3" s="1"/>
  <c r="L50" i="3" s="1"/>
  <c r="I49" i="3"/>
  <c r="H49" i="3"/>
  <c r="J49" i="3" s="1"/>
  <c r="K49" i="3" s="1"/>
  <c r="L49" i="3" s="1"/>
  <c r="J48" i="3"/>
  <c r="K48" i="3" s="1"/>
  <c r="L48" i="3" s="1"/>
  <c r="I48" i="3"/>
  <c r="H48" i="3"/>
  <c r="J47" i="3"/>
  <c r="K47" i="3" s="1"/>
  <c r="L47" i="3" s="1"/>
  <c r="I47" i="3"/>
  <c r="H47" i="3"/>
  <c r="I46" i="3"/>
  <c r="H46" i="3"/>
  <c r="J46" i="3" s="1"/>
  <c r="K46" i="3" s="1"/>
  <c r="L46" i="3" s="1"/>
  <c r="I45" i="3"/>
  <c r="J45" i="3" s="1"/>
  <c r="K45" i="3" s="1"/>
  <c r="L45" i="3" s="1"/>
  <c r="H45" i="3"/>
  <c r="I44" i="3"/>
  <c r="H44" i="3"/>
  <c r="J44" i="3" s="1"/>
  <c r="K44" i="3" s="1"/>
  <c r="L44" i="3" s="1"/>
  <c r="J43" i="3"/>
  <c r="K43" i="3" s="1"/>
  <c r="L43" i="3" s="1"/>
  <c r="I43" i="3"/>
  <c r="H43" i="3"/>
  <c r="I42" i="3"/>
  <c r="H42" i="3"/>
  <c r="J42" i="3" s="1"/>
  <c r="K42" i="3" s="1"/>
  <c r="L42" i="3" s="1"/>
  <c r="J41" i="3"/>
  <c r="K41" i="3" s="1"/>
  <c r="L41" i="3" s="1"/>
  <c r="I41" i="3"/>
  <c r="H41" i="3"/>
  <c r="I40" i="3"/>
  <c r="J40" i="3" s="1"/>
  <c r="K40" i="3" s="1"/>
  <c r="L40" i="3" s="1"/>
  <c r="H40" i="3"/>
  <c r="K39" i="3"/>
  <c r="L39" i="3" s="1"/>
  <c r="J39" i="3"/>
  <c r="I39" i="3"/>
  <c r="H39" i="3"/>
  <c r="I38" i="3"/>
  <c r="J38" i="3" s="1"/>
  <c r="K38" i="3" s="1"/>
  <c r="L38" i="3" s="1"/>
  <c r="H38" i="3"/>
  <c r="I37" i="3"/>
  <c r="H37" i="3"/>
  <c r="J37" i="3" s="1"/>
  <c r="K37" i="3" s="1"/>
  <c r="L37" i="3" s="1"/>
  <c r="J36" i="3"/>
  <c r="K36" i="3" s="1"/>
  <c r="L36" i="3" s="1"/>
  <c r="I36" i="3"/>
  <c r="H36" i="3"/>
  <c r="I35" i="3"/>
  <c r="H35" i="3"/>
  <c r="J35" i="3" s="1"/>
  <c r="K35" i="3" s="1"/>
  <c r="L35" i="3" s="1"/>
  <c r="I34" i="3"/>
  <c r="H34" i="3"/>
  <c r="J34" i="3" s="1"/>
  <c r="K34" i="3" s="1"/>
  <c r="L34" i="3" s="1"/>
  <c r="I33" i="3"/>
  <c r="H33" i="3"/>
  <c r="J33" i="3" s="1"/>
  <c r="K33" i="3" s="1"/>
  <c r="L33" i="3" s="1"/>
  <c r="J32" i="3"/>
  <c r="K32" i="3" s="1"/>
  <c r="L32" i="3" s="1"/>
  <c r="I32" i="3"/>
  <c r="H32" i="3"/>
  <c r="J31" i="3"/>
  <c r="K31" i="3" s="1"/>
  <c r="L31" i="3" s="1"/>
  <c r="I31" i="3"/>
  <c r="H31" i="3"/>
  <c r="I30" i="3"/>
  <c r="H30" i="3"/>
  <c r="J30" i="3" s="1"/>
  <c r="K30" i="3" s="1"/>
  <c r="L30" i="3" s="1"/>
  <c r="I29" i="3"/>
  <c r="J29" i="3" s="1"/>
  <c r="K29" i="3" s="1"/>
  <c r="L29" i="3" s="1"/>
  <c r="H29" i="3"/>
  <c r="I28" i="3"/>
  <c r="H28" i="3"/>
  <c r="J28" i="3" s="1"/>
  <c r="K28" i="3" s="1"/>
  <c r="L28" i="3" s="1"/>
  <c r="J27" i="3"/>
  <c r="K27" i="3" s="1"/>
  <c r="L27" i="3" s="1"/>
  <c r="I27" i="3"/>
  <c r="H27" i="3"/>
  <c r="I26" i="3"/>
  <c r="H26" i="3"/>
  <c r="J26" i="3" s="1"/>
  <c r="K26" i="3" s="1"/>
  <c r="L26" i="3" s="1"/>
  <c r="J25" i="3"/>
  <c r="K25" i="3" s="1"/>
  <c r="L25" i="3" s="1"/>
  <c r="I25" i="3"/>
  <c r="H25" i="3"/>
  <c r="I24" i="3"/>
  <c r="J24" i="3" s="1"/>
  <c r="K24" i="3" s="1"/>
  <c r="L24" i="3" s="1"/>
  <c r="H24" i="3"/>
  <c r="K23" i="3"/>
  <c r="L23" i="3" s="1"/>
  <c r="J23" i="3"/>
  <c r="I23" i="3"/>
  <c r="H23" i="3"/>
  <c r="I22" i="3"/>
  <c r="J22" i="3" s="1"/>
  <c r="K22" i="3" s="1"/>
  <c r="L22" i="3" s="1"/>
  <c r="H22" i="3"/>
  <c r="I21" i="3"/>
  <c r="H21" i="3"/>
  <c r="J21" i="3" s="1"/>
  <c r="K21" i="3" s="1"/>
  <c r="L21" i="3" s="1"/>
  <c r="J20" i="3"/>
  <c r="K20" i="3" s="1"/>
  <c r="L20" i="3" s="1"/>
  <c r="I20" i="3"/>
  <c r="H20" i="3"/>
  <c r="I19" i="3"/>
  <c r="H19" i="3"/>
  <c r="J19" i="3" s="1"/>
  <c r="K19" i="3" s="1"/>
  <c r="L19" i="3" s="1"/>
  <c r="I18" i="3"/>
  <c r="H18" i="3"/>
  <c r="J18" i="3" s="1"/>
  <c r="K18" i="3" s="1"/>
  <c r="L18" i="3" s="1"/>
  <c r="I17" i="3"/>
  <c r="H17" i="3"/>
  <c r="J17" i="3" s="1"/>
  <c r="K17" i="3" s="1"/>
  <c r="L17" i="3" s="1"/>
  <c r="J16" i="3"/>
  <c r="K16" i="3" s="1"/>
  <c r="L16" i="3" s="1"/>
  <c r="I16" i="3"/>
  <c r="H16" i="3"/>
  <c r="J15" i="3"/>
  <c r="K15" i="3" s="1"/>
  <c r="L15" i="3" s="1"/>
  <c r="I15" i="3"/>
  <c r="H15" i="3"/>
  <c r="I14" i="3"/>
  <c r="H14" i="3"/>
  <c r="J14" i="3" s="1"/>
  <c r="K14" i="3" s="1"/>
  <c r="L14" i="3" s="1"/>
  <c r="I13" i="3"/>
  <c r="J13" i="3" s="1"/>
  <c r="K13" i="3" s="1"/>
  <c r="L13" i="3" s="1"/>
  <c r="H13" i="3"/>
  <c r="I12" i="3"/>
  <c r="H12" i="3"/>
  <c r="J12" i="3" s="1"/>
  <c r="K12" i="3" s="1"/>
  <c r="L12" i="3" s="1"/>
  <c r="J11" i="3"/>
  <c r="K11" i="3" s="1"/>
  <c r="L11" i="3" s="1"/>
  <c r="I11" i="3"/>
  <c r="H11" i="3"/>
  <c r="I10" i="3"/>
  <c r="H10" i="3"/>
  <c r="J10" i="3" s="1"/>
  <c r="K10" i="3" s="1"/>
  <c r="L10" i="3" s="1"/>
  <c r="J9" i="3"/>
  <c r="K9" i="3" s="1"/>
  <c r="L9" i="3" s="1"/>
  <c r="I9" i="3"/>
  <c r="H9" i="3"/>
  <c r="I8" i="3"/>
  <c r="J8" i="3" s="1"/>
  <c r="K8" i="3" s="1"/>
  <c r="L8" i="3" s="1"/>
  <c r="H8" i="3"/>
  <c r="K7" i="3"/>
  <c r="L7" i="3" s="1"/>
  <c r="J7" i="3"/>
  <c r="I7" i="3"/>
  <c r="H7" i="3"/>
  <c r="I6" i="3"/>
  <c r="J6" i="3" s="1"/>
  <c r="K6" i="3" s="1"/>
  <c r="L6" i="3" s="1"/>
  <c r="H6" i="3"/>
  <c r="I5" i="3"/>
  <c r="H5" i="3"/>
  <c r="J5" i="3" s="1"/>
  <c r="K5" i="3" s="1"/>
  <c r="L5" i="3" s="1"/>
  <c r="J4" i="3"/>
  <c r="K4" i="3" s="1"/>
  <c r="L4" i="3" s="1"/>
  <c r="I4" i="3"/>
  <c r="H4" i="3"/>
  <c r="I3" i="3"/>
  <c r="H3" i="3"/>
  <c r="J3" i="3" s="1"/>
  <c r="K3" i="3" s="1"/>
  <c r="L3" i="3" s="1"/>
  <c r="F28" i="2"/>
  <c r="H28" i="2" s="1"/>
  <c r="F27" i="2"/>
  <c r="H27" i="2" s="1"/>
  <c r="F26" i="2"/>
  <c r="H26" i="2" s="1"/>
  <c r="F25" i="2"/>
  <c r="H25" i="2" s="1"/>
  <c r="F24" i="2"/>
  <c r="H24" i="2" s="1"/>
  <c r="F23" i="2"/>
  <c r="H23" i="2" s="1"/>
  <c r="K23" i="2" s="1"/>
  <c r="F22" i="2"/>
  <c r="H22" i="2" s="1"/>
  <c r="F21" i="2"/>
  <c r="H21" i="2" s="1"/>
  <c r="F20" i="2"/>
  <c r="H20" i="2" s="1"/>
  <c r="F19" i="2"/>
  <c r="H19" i="2" s="1"/>
  <c r="F18" i="2"/>
  <c r="H18" i="2" s="1"/>
  <c r="K18" i="2" s="1"/>
  <c r="F17" i="2"/>
  <c r="H17" i="2" s="1"/>
  <c r="F16" i="2"/>
  <c r="H16" i="2" s="1"/>
  <c r="K16" i="2" s="1"/>
  <c r="F15" i="2"/>
  <c r="H15" i="2" s="1"/>
  <c r="F14" i="2"/>
  <c r="H14" i="2" s="1"/>
  <c r="F13" i="2"/>
  <c r="H13" i="2" s="1"/>
  <c r="F12" i="2"/>
  <c r="H12" i="2" s="1"/>
  <c r="F11" i="2"/>
  <c r="H11" i="2" s="1"/>
  <c r="J11" i="2" s="1"/>
  <c r="F10" i="2"/>
  <c r="H10" i="2" s="1"/>
  <c r="F9" i="2"/>
  <c r="H9" i="2" s="1"/>
  <c r="F8" i="2"/>
  <c r="H8" i="2" s="1"/>
  <c r="F7" i="2"/>
  <c r="H7" i="2" s="1"/>
  <c r="K7" i="2" s="1"/>
  <c r="F6" i="2"/>
  <c r="H6" i="2" s="1"/>
  <c r="F5" i="2"/>
  <c r="H5" i="2" s="1"/>
  <c r="F4" i="2"/>
  <c r="H4" i="2" s="1"/>
  <c r="F3" i="2"/>
  <c r="H3" i="2" s="1"/>
  <c r="F2" i="2"/>
  <c r="H2" i="2" s="1"/>
  <c r="I2" i="2" s="1"/>
  <c r="I6" i="2" l="1"/>
  <c r="K6" i="2"/>
  <c r="J6" i="2"/>
  <c r="K14" i="2"/>
  <c r="I14" i="2"/>
  <c r="J9" i="2"/>
  <c r="K9" i="2"/>
  <c r="J27" i="2"/>
  <c r="K27" i="2"/>
  <c r="C11" i="4"/>
  <c r="C13" i="4"/>
  <c r="D15" i="4" a="1"/>
  <c r="D15" i="4" s="1"/>
  <c r="I22" i="2"/>
  <c r="K22" i="2"/>
  <c r="J22" i="2"/>
  <c r="J25" i="2"/>
  <c r="K25" i="2"/>
  <c r="I25" i="2"/>
  <c r="I5" i="2"/>
  <c r="K5" i="2"/>
  <c r="J5" i="2"/>
  <c r="K11" i="2"/>
  <c r="D10" i="4" a="1"/>
  <c r="D10" i="4" s="1"/>
  <c r="D14" i="4" a="1"/>
  <c r="D14" i="4" s="1"/>
  <c r="C21" i="4"/>
  <c r="I9" i="2"/>
  <c r="C6" i="4"/>
  <c r="C12" i="4"/>
  <c r="D16" i="4" a="1"/>
  <c r="D16" i="4" s="1"/>
  <c r="J13" i="2"/>
  <c r="K13" i="2"/>
  <c r="I13" i="2"/>
  <c r="K15" i="2"/>
  <c r="J15" i="2"/>
  <c r="I15" i="2"/>
  <c r="I8" i="2"/>
  <c r="J8" i="2"/>
  <c r="K8" i="2"/>
  <c r="K12" i="2"/>
  <c r="J12" i="2"/>
  <c r="I12" i="2"/>
  <c r="J17" i="2"/>
  <c r="K17" i="2"/>
  <c r="I17" i="2"/>
  <c r="I26" i="2"/>
  <c r="K26" i="2"/>
  <c r="J26" i="2"/>
  <c r="K3" i="2"/>
  <c r="I3" i="2"/>
  <c r="J3" i="2"/>
  <c r="K4" i="2"/>
  <c r="J4" i="2"/>
  <c r="I4" i="2"/>
  <c r="I19" i="2"/>
  <c r="K19" i="2"/>
  <c r="J19" i="2"/>
  <c r="I24" i="2"/>
  <c r="K24" i="2"/>
  <c r="J24" i="2"/>
  <c r="I10" i="2"/>
  <c r="K10" i="2"/>
  <c r="J10" i="2"/>
  <c r="K20" i="2"/>
  <c r="J20" i="2"/>
  <c r="I20" i="2"/>
  <c r="J21" i="2"/>
  <c r="I21" i="2"/>
  <c r="K21" i="2"/>
  <c r="K28" i="2"/>
  <c r="J28" i="2"/>
  <c r="I28" i="2"/>
  <c r="C7" i="4"/>
  <c r="C20" i="4"/>
  <c r="J2" i="2"/>
  <c r="J18" i="2"/>
  <c r="C4" i="4"/>
  <c r="C17" i="4"/>
  <c r="I18" i="2"/>
  <c r="K2" i="2"/>
  <c r="I16" i="2"/>
  <c r="C5" i="4"/>
  <c r="C18" i="4"/>
  <c r="J16" i="2"/>
  <c r="I7" i="2"/>
  <c r="I23" i="2"/>
  <c r="C9" i="4"/>
  <c r="J7" i="2"/>
  <c r="J23" i="2"/>
  <c r="C22" i="4"/>
  <c r="C19" i="4"/>
  <c r="I11" i="2"/>
  <c r="J14" i="2"/>
  <c r="I27" i="2"/>
  <c r="H97" i="1" l="1"/>
  <c r="I97" i="1" s="1"/>
  <c r="H96" i="1"/>
  <c r="I96" i="1" s="1"/>
  <c r="H95" i="1"/>
  <c r="I95" i="1" s="1"/>
  <c r="H94" i="1"/>
  <c r="I94" i="1" s="1"/>
  <c r="I93" i="1"/>
  <c r="H93" i="1"/>
  <c r="H92" i="1"/>
  <c r="I92" i="1" s="1"/>
  <c r="H91" i="1"/>
  <c r="I91" i="1" s="1"/>
  <c r="H90" i="1"/>
  <c r="I90" i="1" s="1"/>
  <c r="I89" i="1"/>
  <c r="H89" i="1"/>
  <c r="I88" i="1"/>
  <c r="H88" i="1"/>
  <c r="I87" i="1"/>
  <c r="H87" i="1"/>
  <c r="I86" i="1"/>
  <c r="H86" i="1"/>
  <c r="I85" i="1"/>
  <c r="H85" i="1"/>
  <c r="H84" i="1"/>
  <c r="I84" i="1" s="1"/>
  <c r="I83" i="1"/>
  <c r="H83" i="1"/>
  <c r="H82" i="1"/>
  <c r="I82" i="1" s="1"/>
  <c r="I81" i="1"/>
  <c r="H81" i="1"/>
  <c r="I80" i="1"/>
  <c r="H80" i="1"/>
  <c r="I79" i="1"/>
  <c r="H79" i="1"/>
  <c r="I78" i="1"/>
  <c r="H78" i="1"/>
  <c r="I77" i="1"/>
  <c r="H77" i="1"/>
  <c r="H76" i="1"/>
  <c r="I76" i="1" s="1"/>
  <c r="I75" i="1"/>
  <c r="H75" i="1"/>
  <c r="H74" i="1"/>
  <c r="I74" i="1" s="1"/>
  <c r="I73" i="1"/>
  <c r="H73" i="1"/>
  <c r="I72" i="1"/>
  <c r="H72" i="1"/>
  <c r="I71" i="1"/>
  <c r="H71" i="1"/>
  <c r="I70" i="1"/>
  <c r="H70" i="1"/>
  <c r="I69" i="1"/>
  <c r="H69" i="1"/>
  <c r="H68" i="1"/>
  <c r="I68" i="1" s="1"/>
  <c r="I67" i="1"/>
  <c r="H67" i="1"/>
  <c r="H66" i="1"/>
  <c r="I66" i="1" s="1"/>
  <c r="I65" i="1"/>
  <c r="H65" i="1"/>
  <c r="I64" i="1"/>
  <c r="H64" i="1"/>
  <c r="I63" i="1"/>
  <c r="H63" i="1"/>
  <c r="I62" i="1"/>
  <c r="H62" i="1"/>
  <c r="I61" i="1"/>
  <c r="H61" i="1"/>
  <c r="H60" i="1"/>
  <c r="I60" i="1" s="1"/>
  <c r="I59" i="1"/>
  <c r="H59" i="1"/>
  <c r="H58" i="1"/>
  <c r="I58" i="1" s="1"/>
  <c r="I57" i="1"/>
  <c r="H57" i="1"/>
  <c r="I56" i="1"/>
  <c r="H56" i="1"/>
  <c r="I55" i="1"/>
  <c r="H55" i="1"/>
  <c r="I54" i="1"/>
  <c r="H54" i="1"/>
  <c r="I53" i="1"/>
  <c r="H53" i="1"/>
  <c r="H52" i="1"/>
  <c r="I52" i="1" s="1"/>
  <c r="I51" i="1"/>
  <c r="H51" i="1"/>
  <c r="H50" i="1"/>
  <c r="I50" i="1" s="1"/>
  <c r="I49" i="1"/>
  <c r="H49" i="1"/>
  <c r="I48" i="1"/>
  <c r="H48" i="1"/>
  <c r="I47" i="1"/>
  <c r="H47" i="1"/>
  <c r="I46" i="1"/>
  <c r="H46" i="1"/>
  <c r="I45" i="1"/>
  <c r="H45" i="1"/>
  <c r="H44" i="1"/>
  <c r="I44" i="1" s="1"/>
  <c r="I43" i="1"/>
  <c r="H43" i="1"/>
  <c r="H42" i="1"/>
  <c r="I42" i="1" s="1"/>
  <c r="I41" i="1"/>
  <c r="H41" i="1"/>
  <c r="I40" i="1"/>
  <c r="H40" i="1"/>
  <c r="I39" i="1"/>
  <c r="H39" i="1"/>
  <c r="I38" i="1"/>
  <c r="H38" i="1"/>
  <c r="I37" i="1"/>
  <c r="H37" i="1"/>
  <c r="H36" i="1"/>
  <c r="I36" i="1" s="1"/>
  <c r="I35" i="1"/>
  <c r="H35" i="1"/>
  <c r="K34" i="1" a="1"/>
  <c r="K34" i="1" s="1"/>
  <c r="I34" i="1"/>
  <c r="H34" i="1"/>
  <c r="K33" i="1" a="1"/>
  <c r="K33" i="1" s="1"/>
  <c r="I33" i="1"/>
  <c r="H33" i="1"/>
  <c r="K32" i="1" a="1"/>
  <c r="K32" i="1" s="1"/>
  <c r="I32" i="1"/>
  <c r="H32" i="1"/>
  <c r="K31" i="1" a="1"/>
  <c r="K31" i="1" s="1"/>
  <c r="I31" i="1"/>
  <c r="H31" i="1"/>
  <c r="K30" i="1" a="1"/>
  <c r="K30" i="1" s="1"/>
  <c r="I30" i="1"/>
  <c r="H30" i="1"/>
  <c r="K29" i="1" a="1"/>
  <c r="K29" i="1" s="1"/>
  <c r="I29" i="1"/>
  <c r="H29" i="1"/>
  <c r="K28" i="1" a="1"/>
  <c r="K28" i="1" s="1"/>
  <c r="I28" i="1"/>
  <c r="H28" i="1"/>
  <c r="K27" i="1" a="1"/>
  <c r="K27" i="1" s="1"/>
  <c r="I27" i="1"/>
  <c r="H27" i="1"/>
  <c r="H26" i="1"/>
  <c r="I26" i="1" s="1"/>
  <c r="I25" i="1"/>
  <c r="H25" i="1"/>
  <c r="I24" i="1"/>
  <c r="H24" i="1"/>
  <c r="L23" i="1"/>
  <c r="H23" i="1"/>
  <c r="I23" i="1" s="1"/>
  <c r="H22" i="1"/>
  <c r="I22" i="1" s="1"/>
  <c r="H21" i="1"/>
  <c r="I21" i="1" s="1"/>
  <c r="H20" i="1"/>
  <c r="I20" i="1" s="1"/>
  <c r="L19" i="1"/>
  <c r="H19" i="1"/>
  <c r="I19" i="1" s="1"/>
  <c r="I18" i="1"/>
  <c r="H18" i="1"/>
  <c r="I17" i="1"/>
  <c r="H17" i="1"/>
  <c r="I16" i="1"/>
  <c r="H16" i="1"/>
  <c r="I15" i="1"/>
  <c r="H15" i="1"/>
  <c r="H14" i="1"/>
  <c r="I14" i="1" s="1"/>
  <c r="H13" i="1"/>
  <c r="I13" i="1" s="1"/>
  <c r="H12" i="1"/>
  <c r="I12" i="1" s="1"/>
  <c r="H11" i="1"/>
  <c r="I11" i="1" s="1"/>
  <c r="I10" i="1"/>
  <c r="H10" i="1"/>
  <c r="I9" i="1"/>
  <c r="H9" i="1"/>
  <c r="I8" i="1"/>
  <c r="H8" i="1"/>
  <c r="I7" i="1"/>
  <c r="H7" i="1"/>
  <c r="H6" i="1"/>
  <c r="I6" i="1" s="1"/>
  <c r="H5" i="1"/>
  <c r="I5" i="1" s="1"/>
  <c r="H4" i="1"/>
  <c r="I4" i="1" s="1"/>
  <c r="H3" i="1"/>
  <c r="I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<sst xmlns="http://schemas.openxmlformats.org/spreadsheetml/2006/main" count="15479" uniqueCount="2579">
  <si>
    <t>Last Name</t>
  </si>
  <si>
    <t>First Name</t>
  </si>
  <si>
    <t>UserID</t>
  </si>
  <si>
    <t>Test 1</t>
  </si>
  <si>
    <t>Test 2</t>
  </si>
  <si>
    <t>Test 3</t>
  </si>
  <si>
    <t>Test 4</t>
  </si>
  <si>
    <t>Average</t>
  </si>
  <si>
    <t>Grade</t>
  </si>
  <si>
    <t>Using Index and Match functions</t>
  </si>
  <si>
    <t>Goodwin</t>
  </si>
  <si>
    <t xml:space="preserve"> Jon</t>
  </si>
  <si>
    <t>ZAA852</t>
  </si>
  <si>
    <t>Wood</t>
  </si>
  <si>
    <t xml:space="preserve"> Tristian</t>
  </si>
  <si>
    <t>RXC606</t>
  </si>
  <si>
    <t>Match function will match a value and get the row or column</t>
  </si>
  <si>
    <t>Ahmad</t>
  </si>
  <si>
    <t xml:space="preserve"> Kalel</t>
  </si>
  <si>
    <t>RXP479</t>
  </si>
  <si>
    <t>Index function can be used to find values in a row / column.</t>
  </si>
  <si>
    <t>Hensley</t>
  </si>
  <si>
    <t xml:space="preserve"> Lauren</t>
  </si>
  <si>
    <t>RXT321</t>
  </si>
  <si>
    <t>Match function can be used inside Index function</t>
  </si>
  <si>
    <t>Bryant</t>
  </si>
  <si>
    <t xml:space="preserve"> Hunter</t>
  </si>
  <si>
    <t>SJP626</t>
  </si>
  <si>
    <t>Wurz</t>
  </si>
  <si>
    <t xml:space="preserve"> Alexandria</t>
  </si>
  <si>
    <t>KXV638</t>
  </si>
  <si>
    <t>Nwaekwe</t>
  </si>
  <si>
    <t xml:space="preserve"> Dallas</t>
  </si>
  <si>
    <t>LWB217</t>
  </si>
  <si>
    <t>King</t>
  </si>
  <si>
    <t xml:space="preserve"> Miles</t>
  </si>
  <si>
    <t>LXC481</t>
  </si>
  <si>
    <t>Grades</t>
  </si>
  <si>
    <t>Baugh</t>
  </si>
  <si>
    <t xml:space="preserve"> Winnie</t>
  </si>
  <si>
    <t>LXL805</t>
  </si>
  <si>
    <t>F</t>
  </si>
  <si>
    <t>Baqatyan</t>
  </si>
  <si>
    <t xml:space="preserve"> Charli</t>
  </si>
  <si>
    <t>LXM682</t>
  </si>
  <si>
    <t>D</t>
  </si>
  <si>
    <t>Verma</t>
  </si>
  <si>
    <t xml:space="preserve"> Zaniyah</t>
  </si>
  <si>
    <t>MDS517</t>
  </si>
  <si>
    <t>C</t>
  </si>
  <si>
    <t>Harry</t>
  </si>
  <si>
    <t xml:space="preserve"> Melany</t>
  </si>
  <si>
    <t>MJW651</t>
  </si>
  <si>
    <t>B</t>
  </si>
  <si>
    <t>Govindappa</t>
  </si>
  <si>
    <t xml:space="preserve"> Talon</t>
  </si>
  <si>
    <t>MXA820</t>
  </si>
  <si>
    <t>A</t>
  </si>
  <si>
    <t>McMillan</t>
  </si>
  <si>
    <t xml:space="preserve"> Melvin</t>
  </si>
  <si>
    <t>MXG453</t>
  </si>
  <si>
    <t>Danalian</t>
  </si>
  <si>
    <t>Aditi</t>
  </si>
  <si>
    <t>MXJ869</t>
  </si>
  <si>
    <r>
      <t xml:space="preserve">2. Find a particular data (Select a </t>
    </r>
    <r>
      <rPr>
        <sz val="12"/>
        <color rgb="FF00B0F0"/>
        <rFont val="Calibri"/>
        <family val="2"/>
      </rPr>
      <t>User ID</t>
    </r>
    <r>
      <rPr>
        <sz val="12"/>
        <rFont val="Calibri"/>
        <family val="2"/>
      </rPr>
      <t xml:space="preserve"> and a </t>
    </r>
    <r>
      <rPr>
        <sz val="12"/>
        <color rgb="FF00B0F0"/>
        <rFont val="Calibri"/>
        <family val="2"/>
      </rPr>
      <t>column heading</t>
    </r>
    <r>
      <rPr>
        <sz val="12"/>
        <rFont val="Calibri"/>
        <family val="2"/>
      </rPr>
      <t xml:space="preserve">) </t>
    </r>
  </si>
  <si>
    <t>Moran</t>
  </si>
  <si>
    <t xml:space="preserve"> Maisie</t>
  </si>
  <si>
    <t>MXM259</t>
  </si>
  <si>
    <t>User id</t>
  </si>
  <si>
    <t>Schuhmacher</t>
  </si>
  <si>
    <t xml:space="preserve"> Helena</t>
  </si>
  <si>
    <t>MXR447</t>
  </si>
  <si>
    <t>Shepherd</t>
  </si>
  <si>
    <t xml:space="preserve"> Manuel</t>
  </si>
  <si>
    <t>MXS535</t>
  </si>
  <si>
    <t>Singh</t>
  </si>
  <si>
    <t xml:space="preserve"> Emory</t>
  </si>
  <si>
    <t>SUK436</t>
  </si>
  <si>
    <t>Mathew</t>
  </si>
  <si>
    <t xml:space="preserve"> Kinley</t>
  </si>
  <si>
    <t>SVD773</t>
  </si>
  <si>
    <t xml:space="preserve">3.  Find the max </t>
  </si>
  <si>
    <t>Waldrop</t>
  </si>
  <si>
    <t xml:space="preserve"> Alma</t>
  </si>
  <si>
    <t>SXA553</t>
  </si>
  <si>
    <t>Aird</t>
  </si>
  <si>
    <t xml:space="preserve"> Reign</t>
  </si>
  <si>
    <t>SXB257</t>
  </si>
  <si>
    <t>Mandaogane</t>
  </si>
  <si>
    <t xml:space="preserve"> Justice</t>
  </si>
  <si>
    <t>SXB664</t>
  </si>
  <si>
    <t>Tao</t>
  </si>
  <si>
    <t xml:space="preserve"> Paris</t>
  </si>
  <si>
    <t>SXF387</t>
  </si>
  <si>
    <t>4.  Get a random sample of UserID's</t>
  </si>
  <si>
    <t>Robinson</t>
  </si>
  <si>
    <t xml:space="preserve"> Lyric</t>
  </si>
  <si>
    <t>SXG809</t>
  </si>
  <si>
    <t>Morris</t>
  </si>
  <si>
    <t xml:space="preserve"> Brandon</t>
  </si>
  <si>
    <t>SXJ351</t>
  </si>
  <si>
    <t>Zhu</t>
  </si>
  <si>
    <t xml:space="preserve"> Estella</t>
  </si>
  <si>
    <t>SXK544</t>
  </si>
  <si>
    <t>Swaim</t>
  </si>
  <si>
    <t>Shruti</t>
  </si>
  <si>
    <t>SXN566</t>
  </si>
  <si>
    <t>Yang</t>
  </si>
  <si>
    <t xml:space="preserve"> Ayan</t>
  </si>
  <si>
    <t>SXP361</t>
  </si>
  <si>
    <t>Darrow</t>
  </si>
  <si>
    <t xml:space="preserve"> Maren</t>
  </si>
  <si>
    <t>SXP449</t>
  </si>
  <si>
    <t>Braughton</t>
  </si>
  <si>
    <t xml:space="preserve"> Daniela</t>
  </si>
  <si>
    <t>SXP668</t>
  </si>
  <si>
    <t>Redfield</t>
  </si>
  <si>
    <t xml:space="preserve"> Logan</t>
  </si>
  <si>
    <t>SXP681</t>
  </si>
  <si>
    <t>Taylor</t>
  </si>
  <si>
    <t xml:space="preserve"> Gatlin</t>
  </si>
  <si>
    <t>SXS383</t>
  </si>
  <si>
    <t>Garcia</t>
  </si>
  <si>
    <t xml:space="preserve"> Addilyn</t>
  </si>
  <si>
    <t>SXT233</t>
  </si>
  <si>
    <t>Robles</t>
  </si>
  <si>
    <t xml:space="preserve"> Mustafa</t>
  </si>
  <si>
    <t>SXV495</t>
  </si>
  <si>
    <t>Lloyd</t>
  </si>
  <si>
    <t xml:space="preserve"> Graham</t>
  </si>
  <si>
    <t>TXH402</t>
  </si>
  <si>
    <t>Michael</t>
  </si>
  <si>
    <t xml:space="preserve"> Sasha</t>
  </si>
  <si>
    <t>TXM635</t>
  </si>
  <si>
    <t>Sandlin</t>
  </si>
  <si>
    <t xml:space="preserve"> Angie</t>
  </si>
  <si>
    <t>UBP787</t>
  </si>
  <si>
    <t>Alvarez</t>
  </si>
  <si>
    <t xml:space="preserve"> Sekani</t>
  </si>
  <si>
    <t>VXN727</t>
  </si>
  <si>
    <t>Browne</t>
  </si>
  <si>
    <t>MXZ575</t>
  </si>
  <si>
    <t>Fernandez</t>
  </si>
  <si>
    <t xml:space="preserve"> Rylie</t>
  </si>
  <si>
    <t>NAG620</t>
  </si>
  <si>
    <t>Fields</t>
  </si>
  <si>
    <t xml:space="preserve"> Meadow</t>
  </si>
  <si>
    <t>NVB255</t>
  </si>
  <si>
    <t>Jain</t>
  </si>
  <si>
    <t>AAJ534</t>
  </si>
  <si>
    <t>Jon-Ubabuco</t>
  </si>
  <si>
    <t xml:space="preserve"> Casen</t>
  </si>
  <si>
    <t>AHS446</t>
  </si>
  <si>
    <t>Mackey</t>
  </si>
  <si>
    <t xml:space="preserve"> Creed</t>
  </si>
  <si>
    <t>AMB350</t>
  </si>
  <si>
    <t>Shurtleff</t>
  </si>
  <si>
    <t xml:space="preserve"> Andrew</t>
  </si>
  <si>
    <t>AMB556</t>
  </si>
  <si>
    <t>Johnson</t>
  </si>
  <si>
    <t xml:space="preserve"> Demetrius</t>
  </si>
  <si>
    <t>AXA770</t>
  </si>
  <si>
    <t>Bumber</t>
  </si>
  <si>
    <t xml:space="preserve"> Phoenix</t>
  </si>
  <si>
    <t>AXP686</t>
  </si>
  <si>
    <t>Cole</t>
  </si>
  <si>
    <t xml:space="preserve"> Harlem</t>
  </si>
  <si>
    <t>AXS620</t>
  </si>
  <si>
    <t>Antone</t>
  </si>
  <si>
    <t xml:space="preserve"> Jayson</t>
  </si>
  <si>
    <t>AXS822</t>
  </si>
  <si>
    <t>Xu</t>
  </si>
  <si>
    <t>Li</t>
  </si>
  <si>
    <t>AXZ533</t>
  </si>
  <si>
    <t>Lima</t>
  </si>
  <si>
    <t>Sahana</t>
  </si>
  <si>
    <t>BXR386</t>
  </si>
  <si>
    <t>Nolen</t>
  </si>
  <si>
    <t xml:space="preserve"> Larry</t>
  </si>
  <si>
    <t>BXR550</t>
  </si>
  <si>
    <t>Krider</t>
  </si>
  <si>
    <t>CXR719</t>
  </si>
  <si>
    <t>Catral</t>
  </si>
  <si>
    <t xml:space="preserve"> Rex</t>
  </si>
  <si>
    <t>DAD399</t>
  </si>
  <si>
    <t>Soppin</t>
  </si>
  <si>
    <t xml:space="preserve"> Kaysen</t>
  </si>
  <si>
    <t>DRR238</t>
  </si>
  <si>
    <t>Chen</t>
  </si>
  <si>
    <t xml:space="preserve"> Ryker</t>
  </si>
  <si>
    <t>DXG717</t>
  </si>
  <si>
    <t>Hollister</t>
  </si>
  <si>
    <t xml:space="preserve"> Cannon</t>
  </si>
  <si>
    <t>FHS576</t>
  </si>
  <si>
    <t>Koroma</t>
  </si>
  <si>
    <t xml:space="preserve"> Clay</t>
  </si>
  <si>
    <t>GXN577</t>
  </si>
  <si>
    <t>Kaskas</t>
  </si>
  <si>
    <t xml:space="preserve"> Pablo</t>
  </si>
  <si>
    <t>GXS618</t>
  </si>
  <si>
    <t>Omana</t>
  </si>
  <si>
    <t xml:space="preserve"> Clarissa</t>
  </si>
  <si>
    <t>HXG564</t>
  </si>
  <si>
    <t>White</t>
  </si>
  <si>
    <t>Rajesh</t>
  </si>
  <si>
    <t>HXM394</t>
  </si>
  <si>
    <t>Bradley</t>
  </si>
  <si>
    <t xml:space="preserve"> Jesse</t>
  </si>
  <si>
    <t>HXP686</t>
  </si>
  <si>
    <t>McCartt</t>
  </si>
  <si>
    <t xml:space="preserve"> Brantley</t>
  </si>
  <si>
    <t>ISG568</t>
  </si>
  <si>
    <t>Glover</t>
  </si>
  <si>
    <t xml:space="preserve"> Cassandra</t>
  </si>
  <si>
    <t>JMS697</t>
  </si>
  <si>
    <t>Vu</t>
  </si>
  <si>
    <t xml:space="preserve"> Bodie</t>
  </si>
  <si>
    <t>JXK790</t>
  </si>
  <si>
    <t>Song</t>
  </si>
  <si>
    <t xml:space="preserve"> Makenzie</t>
  </si>
  <si>
    <t>JXP275</t>
  </si>
  <si>
    <t>User</t>
  </si>
  <si>
    <t xml:space="preserve"> Ezra</t>
  </si>
  <si>
    <t>JXS554</t>
  </si>
  <si>
    <t>Kimbrell</t>
  </si>
  <si>
    <t xml:space="preserve"> Boston</t>
  </si>
  <si>
    <t>JXZ272</t>
  </si>
  <si>
    <t>Melton</t>
  </si>
  <si>
    <t xml:space="preserve"> Atlas</t>
  </si>
  <si>
    <t>JZF635</t>
  </si>
  <si>
    <t>Okulate</t>
  </si>
  <si>
    <t xml:space="preserve"> Ibrahim</t>
  </si>
  <si>
    <t>KMS675</t>
  </si>
  <si>
    <t>Kaiser</t>
  </si>
  <si>
    <t xml:space="preserve"> Sebastian</t>
  </si>
  <si>
    <t>KXB306</t>
  </si>
  <si>
    <t xml:space="preserve"> Zaiden</t>
  </si>
  <si>
    <t>CAE227</t>
  </si>
  <si>
    <t>Mcbride</t>
  </si>
  <si>
    <t xml:space="preserve"> Brecken</t>
  </si>
  <si>
    <t>CDE565</t>
  </si>
  <si>
    <t>Yao</t>
  </si>
  <si>
    <t>Ahmed</t>
  </si>
  <si>
    <t>CJL660</t>
  </si>
  <si>
    <t>Corley</t>
  </si>
  <si>
    <t xml:space="preserve"> Felix</t>
  </si>
  <si>
    <t>CRE281</t>
  </si>
  <si>
    <t>Mahapatra</t>
  </si>
  <si>
    <t xml:space="preserve"> Cadence</t>
  </si>
  <si>
    <t>CSM231</t>
  </si>
  <si>
    <t>Whitaker</t>
  </si>
  <si>
    <t xml:space="preserve"> Ayleen</t>
  </si>
  <si>
    <t>KXD878</t>
  </si>
  <si>
    <t>Buquet</t>
  </si>
  <si>
    <t xml:space="preserve"> Oscar</t>
  </si>
  <si>
    <t>KXH384</t>
  </si>
  <si>
    <t>Aziz</t>
  </si>
  <si>
    <t xml:space="preserve"> John</t>
  </si>
  <si>
    <t>KXN807</t>
  </si>
  <si>
    <t>Baer</t>
  </si>
  <si>
    <t xml:space="preserve"> Leland</t>
  </si>
  <si>
    <t>KXR253</t>
  </si>
  <si>
    <t>Price</t>
  </si>
  <si>
    <t xml:space="preserve"> Lian</t>
  </si>
  <si>
    <t>KXS249</t>
  </si>
  <si>
    <t>Tsai</t>
  </si>
  <si>
    <t>Dilip</t>
  </si>
  <si>
    <t>NXA657</t>
  </si>
  <si>
    <t>Shah</t>
  </si>
  <si>
    <t xml:space="preserve"> Jaylin</t>
  </si>
  <si>
    <t>NXA694</t>
  </si>
  <si>
    <t>Jurecki</t>
  </si>
  <si>
    <t xml:space="preserve"> Oaklee</t>
  </si>
  <si>
    <t>NXK520</t>
  </si>
  <si>
    <t>Marchese</t>
  </si>
  <si>
    <t xml:space="preserve"> Xander</t>
  </si>
  <si>
    <t>PTD394</t>
  </si>
  <si>
    <t>Naik</t>
  </si>
  <si>
    <t xml:space="preserve"> Henrik</t>
  </si>
  <si>
    <t>PVB370</t>
  </si>
  <si>
    <t>Krueger</t>
  </si>
  <si>
    <t xml:space="preserve"> Mohamed</t>
  </si>
  <si>
    <t>PXS327</t>
  </si>
  <si>
    <t>Chism</t>
  </si>
  <si>
    <t xml:space="preserve"> Jakob</t>
  </si>
  <si>
    <t>RDS268</t>
  </si>
  <si>
    <t>Rusek</t>
  </si>
  <si>
    <t xml:space="preserve"> Justin</t>
  </si>
  <si>
    <t>VXY427</t>
  </si>
  <si>
    <t xml:space="preserve"> Kamryn</t>
  </si>
  <si>
    <t>WCB260</t>
  </si>
  <si>
    <t>Torres</t>
  </si>
  <si>
    <t xml:space="preserve"> Serena</t>
  </si>
  <si>
    <t>WXH806</t>
  </si>
  <si>
    <t>Cangelosi</t>
  </si>
  <si>
    <t xml:space="preserve"> Yaretzi</t>
  </si>
  <si>
    <t>YAS519</t>
  </si>
  <si>
    <t>Sturm</t>
  </si>
  <si>
    <t xml:space="preserve"> Ariel</t>
  </si>
  <si>
    <t>YDN893</t>
  </si>
  <si>
    <t>Canessa</t>
  </si>
  <si>
    <t xml:space="preserve"> Edison</t>
  </si>
  <si>
    <t>YXT355</t>
  </si>
  <si>
    <t>Date</t>
  </si>
  <si>
    <t>Product</t>
  </si>
  <si>
    <t>Region</t>
  </si>
  <si>
    <t>Employee</t>
  </si>
  <si>
    <t>Customer</t>
  </si>
  <si>
    <t>Units</t>
  </si>
  <si>
    <t>Sales</t>
  </si>
  <si>
    <t>$ Commission</t>
  </si>
  <si>
    <t>AND</t>
  </si>
  <si>
    <t>OR</t>
  </si>
  <si>
    <t>Shorts</t>
  </si>
  <si>
    <t>South</t>
  </si>
  <si>
    <t>Jack</t>
  </si>
  <si>
    <t>ZAT</t>
  </si>
  <si>
    <t>Commission = 3% if Sales &gt;= $800.  2% otherwise</t>
  </si>
  <si>
    <t>Cap</t>
  </si>
  <si>
    <t>East</t>
  </si>
  <si>
    <t>Mark</t>
  </si>
  <si>
    <t>WSD</t>
  </si>
  <si>
    <t>T-Shirt</t>
  </si>
  <si>
    <t>MidWest</t>
  </si>
  <si>
    <t>John</t>
  </si>
  <si>
    <t>T</t>
  </si>
  <si>
    <t>Put "Yes" if South sold ≥$400</t>
  </si>
  <si>
    <t>Socks</t>
  </si>
  <si>
    <t>Jackie</t>
  </si>
  <si>
    <t>PCC</t>
  </si>
  <si>
    <r>
      <t xml:space="preserve">Put "Yes" if South or sale is </t>
    </r>
    <r>
      <rPr>
        <sz val="12"/>
        <color theme="1"/>
        <rFont val="Aptos Narrow"/>
        <family val="2"/>
      </rPr>
      <t>≥</t>
    </r>
    <r>
      <rPr>
        <sz val="12"/>
        <color theme="1"/>
        <rFont val="Calibri"/>
        <family val="2"/>
      </rPr>
      <t>$400</t>
    </r>
  </si>
  <si>
    <t>MBG</t>
  </si>
  <si>
    <t>West</t>
  </si>
  <si>
    <t>Cathy</t>
  </si>
  <si>
    <t>ITTW</t>
  </si>
  <si>
    <t>YTR</t>
  </si>
  <si>
    <t>Sweat Shirt</t>
  </si>
  <si>
    <t>JAQ</t>
  </si>
  <si>
    <t>Stephanie</t>
  </si>
  <si>
    <t>GRR</t>
  </si>
  <si>
    <t>EPP</t>
  </si>
  <si>
    <t>BBT</t>
  </si>
  <si>
    <t>DDH</t>
  </si>
  <si>
    <t>TRU</t>
  </si>
  <si>
    <t>QT</t>
  </si>
  <si>
    <t>HHH</t>
  </si>
  <si>
    <t>KPSA</t>
  </si>
  <si>
    <t>FRED</t>
  </si>
  <si>
    <t>DFGH</t>
  </si>
  <si>
    <t>FM</t>
  </si>
  <si>
    <t>WT</t>
  </si>
  <si>
    <t>Bonus 1</t>
  </si>
  <si>
    <t>Bonus 2</t>
  </si>
  <si>
    <t>Comments</t>
  </si>
  <si>
    <t>Bonus 1:  5 if the highest score is above 90,  but the score shouldn't go past 100</t>
  </si>
  <si>
    <t>Bonus 2:  8 if lowest score is below 60</t>
  </si>
  <si>
    <t>Use Vlookup to assign grades</t>
  </si>
  <si>
    <t>comments</t>
  </si>
  <si>
    <t>Bad</t>
  </si>
  <si>
    <t>Need to work hard</t>
  </si>
  <si>
    <t>Good</t>
  </si>
  <si>
    <t>Excellent</t>
  </si>
  <si>
    <t>Function ---&gt;</t>
  </si>
  <si>
    <t>IF</t>
  </si>
  <si>
    <t xml:space="preserve">IFS </t>
  </si>
  <si>
    <t>Vlookup</t>
  </si>
  <si>
    <t>Gender</t>
  </si>
  <si>
    <t>Scores</t>
  </si>
  <si>
    <t>Pass / Fail</t>
  </si>
  <si>
    <t>Female</t>
  </si>
  <si>
    <t>Male</t>
  </si>
  <si>
    <t>Undeclared</t>
  </si>
  <si>
    <t>Pass &gt;=75</t>
  </si>
  <si>
    <t>Name</t>
  </si>
  <si>
    <t>XLookup Function</t>
  </si>
  <si>
    <t xml:space="preserve">Xlookup is an advanced version of Vlookup.  It is very flexible.  </t>
  </si>
  <si>
    <t>For example, we can assign grades using Lookup Table 1 or Lookup Table 2</t>
  </si>
  <si>
    <t>Lookup Table 1</t>
  </si>
  <si>
    <t>We can also retrive a whole record, and can look left ot right.</t>
  </si>
  <si>
    <t>Avanti</t>
  </si>
  <si>
    <t>Lisa</t>
  </si>
  <si>
    <t>Lookup Table 2</t>
  </si>
  <si>
    <t>Amount Sold</t>
  </si>
  <si>
    <t>Shipping Cost (Use IFS)</t>
  </si>
  <si>
    <t>Shipping cost (Use Vlookup)</t>
  </si>
  <si>
    <t>Percent Commission (Vlookup)</t>
  </si>
  <si>
    <t>Percent Commission (IFS)</t>
  </si>
  <si>
    <t>Commission Earned</t>
  </si>
  <si>
    <t>DFR</t>
  </si>
  <si>
    <t xml:space="preserve">Make proper lookup tables </t>
  </si>
  <si>
    <t>Jill</t>
  </si>
  <si>
    <t>TTT</t>
  </si>
  <si>
    <t xml:space="preserve">Shipping cost / order:  East - $10, West - $15, North - $12, South - $8. </t>
  </si>
  <si>
    <t>North</t>
  </si>
  <si>
    <t>PLOT</t>
  </si>
  <si>
    <t>ET</t>
  </si>
  <si>
    <t>Percent Commission on Amount sold:</t>
  </si>
  <si>
    <t>Percent</t>
  </si>
  <si>
    <t>Bracket</t>
  </si>
  <si>
    <t>0 - $299</t>
  </si>
  <si>
    <t>KBTB</t>
  </si>
  <si>
    <t>$300 - $799</t>
  </si>
  <si>
    <t>$800 - $1,499</t>
  </si>
  <si>
    <t>LOP</t>
  </si>
  <si>
    <t>$1,500 and more</t>
  </si>
  <si>
    <t>WFMI</t>
  </si>
  <si>
    <t>AA</t>
  </si>
  <si>
    <t>HII</t>
  </si>
  <si>
    <t>Amount</t>
  </si>
  <si>
    <t>Comission</t>
  </si>
  <si>
    <t>Working with Tables</t>
  </si>
  <si>
    <t xml:space="preserve">1. convert to table, name it UTD11, add a total row.  </t>
  </si>
  <si>
    <t>Ashley</t>
  </si>
  <si>
    <t>2. Add a column to compute the amount of each sale.</t>
  </si>
  <si>
    <t>3. Add a commission column (5% commission on the amount)</t>
  </si>
  <si>
    <t>4. Add slicers</t>
  </si>
  <si>
    <t>PSA</t>
  </si>
  <si>
    <t>ITW</t>
  </si>
  <si>
    <t>Total</t>
  </si>
  <si>
    <t>Invoice</t>
  </si>
  <si>
    <t>Commission  $</t>
  </si>
  <si>
    <t>Lookup and If set of functions</t>
  </si>
  <si>
    <t>Pants</t>
  </si>
  <si>
    <t>Riya</t>
  </si>
  <si>
    <t>Invoice = Sales + Shipping</t>
  </si>
  <si>
    <t>Commission on invoice amount</t>
  </si>
  <si>
    <t>Shipping cost / unit</t>
  </si>
  <si>
    <t>Riya - 6%</t>
  </si>
  <si>
    <t xml:space="preserve">Riya </t>
  </si>
  <si>
    <t>North - $2</t>
  </si>
  <si>
    <t>Cathy - 5%</t>
  </si>
  <si>
    <t>South - $3</t>
  </si>
  <si>
    <t>Mark - 7%</t>
  </si>
  <si>
    <t xml:space="preserve">Mark </t>
  </si>
  <si>
    <t>East - $1</t>
  </si>
  <si>
    <t>John - 5%</t>
  </si>
  <si>
    <t xml:space="preserve">John </t>
  </si>
  <si>
    <t>West - $4</t>
  </si>
  <si>
    <t>Jack - 6%</t>
  </si>
  <si>
    <t xml:space="preserve">Jack </t>
  </si>
  <si>
    <t>Stephanie - 7%</t>
  </si>
  <si>
    <t xml:space="preserve">Stephanie </t>
  </si>
  <si>
    <t>Jill - 5%</t>
  </si>
  <si>
    <t xml:space="preserve">Jill </t>
  </si>
  <si>
    <t xml:space="preserve">Answer question:  </t>
  </si>
  <si>
    <t>Total commission earned by Riya</t>
  </si>
  <si>
    <t>Total invoiced amount of T-shirts sold by Jack</t>
  </si>
  <si>
    <t>Number of invoices from North and South</t>
  </si>
  <si>
    <t>Total units of Pants and Shorts sold by Stephanie</t>
  </si>
  <si>
    <t>Total invoiced amount in December 2024</t>
  </si>
  <si>
    <t>Total units of Pants sold in 2025</t>
  </si>
  <si>
    <t xml:space="preserve">Use Conditional formating to identifying the invoices </t>
  </si>
  <si>
    <t>Green:  if $1000 and more</t>
  </si>
  <si>
    <t>Red: if $600 and less</t>
  </si>
  <si>
    <t>APS</t>
  </si>
  <si>
    <t>AST</t>
  </si>
  <si>
    <t>Date Sold</t>
  </si>
  <si>
    <t>City</t>
  </si>
  <si>
    <t>Total Sales</t>
  </si>
  <si>
    <t>Method</t>
  </si>
  <si>
    <t>Commission</t>
  </si>
  <si>
    <t>Column1</t>
  </si>
  <si>
    <t>Pivot table</t>
  </si>
  <si>
    <t>H-4546-11</t>
  </si>
  <si>
    <t>Purse</t>
  </si>
  <si>
    <t>Frisco</t>
  </si>
  <si>
    <t>Credit card</t>
  </si>
  <si>
    <t>Column Labels</t>
  </si>
  <si>
    <t>C-1202-11</t>
  </si>
  <si>
    <t>Hoddie</t>
  </si>
  <si>
    <t>Plano</t>
  </si>
  <si>
    <t>HTE</t>
  </si>
  <si>
    <t>Cash</t>
  </si>
  <si>
    <t>Total Sum of Units</t>
  </si>
  <si>
    <t>Total Sum of Total Sales</t>
  </si>
  <si>
    <t>D-9800-11</t>
  </si>
  <si>
    <t>Scarf</t>
  </si>
  <si>
    <t>Dallas</t>
  </si>
  <si>
    <t>ARP</t>
  </si>
  <si>
    <t>Row Labels</t>
  </si>
  <si>
    <t>Sum of Units</t>
  </si>
  <si>
    <t>Sum of Total Sales</t>
  </si>
  <si>
    <t>A-4986-11</t>
  </si>
  <si>
    <t>Diya</t>
  </si>
  <si>
    <t>Hat</t>
  </si>
  <si>
    <t>A-9544-12</t>
  </si>
  <si>
    <t>Richardson</t>
  </si>
  <si>
    <t>PKH</t>
  </si>
  <si>
    <t>B-1559-12</t>
  </si>
  <si>
    <t>Skirt</t>
  </si>
  <si>
    <t>Allen</t>
  </si>
  <si>
    <t>HNP</t>
  </si>
  <si>
    <t>Jacket</t>
  </si>
  <si>
    <t>H-7091-12</t>
  </si>
  <si>
    <t>Jeans</t>
  </si>
  <si>
    <t>C-1331-13</t>
  </si>
  <si>
    <t>F-6855-13</t>
  </si>
  <si>
    <t>TAP</t>
  </si>
  <si>
    <t>G-4825-13</t>
  </si>
  <si>
    <t>D-1167-13</t>
  </si>
  <si>
    <t>MSP</t>
  </si>
  <si>
    <t>Sweater</t>
  </si>
  <si>
    <t>H-4383-13</t>
  </si>
  <si>
    <t>Check</t>
  </si>
  <si>
    <t>E-4550-13</t>
  </si>
  <si>
    <t>ATP</t>
  </si>
  <si>
    <t>Grand Total</t>
  </si>
  <si>
    <t>B-9588-13</t>
  </si>
  <si>
    <t>B-2845-14</t>
  </si>
  <si>
    <t>B-7248-14</t>
  </si>
  <si>
    <t>KQR</t>
  </si>
  <si>
    <t>A-6269-14</t>
  </si>
  <si>
    <t>Coppell</t>
  </si>
  <si>
    <t>ZAA</t>
  </si>
  <si>
    <t>G-7715-14</t>
  </si>
  <si>
    <t>Gift card</t>
  </si>
  <si>
    <t>B-4450-14</t>
  </si>
  <si>
    <t>TSQ</t>
  </si>
  <si>
    <t>E-6864-14</t>
  </si>
  <si>
    <t>McKinney</t>
  </si>
  <si>
    <t>TSA</t>
  </si>
  <si>
    <t>E-4417-15</t>
  </si>
  <si>
    <t>D-2913-15</t>
  </si>
  <si>
    <t>PFF</t>
  </si>
  <si>
    <t>A-2871-15</t>
  </si>
  <si>
    <t>A-2730-15</t>
  </si>
  <si>
    <t>A-7076-15</t>
  </si>
  <si>
    <t>D-9803-15</t>
  </si>
  <si>
    <t>SAT</t>
  </si>
  <si>
    <t>E-8259-15</t>
  </si>
  <si>
    <t>G-2424-15</t>
  </si>
  <si>
    <t>D-5784-15</t>
  </si>
  <si>
    <t>G-1737-16</t>
  </si>
  <si>
    <t>B-3090-16</t>
  </si>
  <si>
    <t>B-3490-16</t>
  </si>
  <si>
    <t>G-7486-16</t>
  </si>
  <si>
    <t>AKJ</t>
  </si>
  <si>
    <t>D-4062-16</t>
  </si>
  <si>
    <t>A-8553-16</t>
  </si>
  <si>
    <t>JKA</t>
  </si>
  <si>
    <t>D-3082-16</t>
  </si>
  <si>
    <t>B-7616-16</t>
  </si>
  <si>
    <t>A-1457-16</t>
  </si>
  <si>
    <t>A-8299-16</t>
  </si>
  <si>
    <t>F-5001-16</t>
  </si>
  <si>
    <t>F-6790-17</t>
  </si>
  <si>
    <t>F-3844-17</t>
  </si>
  <si>
    <t>H-9531-17</t>
  </si>
  <si>
    <t>E-3324-17</t>
  </si>
  <si>
    <t>C-8431-17</t>
  </si>
  <si>
    <t>B-1951-18</t>
  </si>
  <si>
    <t>C-2273-18</t>
  </si>
  <si>
    <t>F-1862-18</t>
  </si>
  <si>
    <t>H-2792-19</t>
  </si>
  <si>
    <t>E-3741-19</t>
  </si>
  <si>
    <t>H-8627-19</t>
  </si>
  <si>
    <t>A-5266-19</t>
  </si>
  <si>
    <t>F-2498-19</t>
  </si>
  <si>
    <t>A-9471-19</t>
  </si>
  <si>
    <t>D-7513-19</t>
  </si>
  <si>
    <t>D-4325-19</t>
  </si>
  <si>
    <t>F-2754-19</t>
  </si>
  <si>
    <t>G-9190-19</t>
  </si>
  <si>
    <t>F-9722-20</t>
  </si>
  <si>
    <t>D-8576-20</t>
  </si>
  <si>
    <t>A-8384-20</t>
  </si>
  <si>
    <t>H-5092-20</t>
  </si>
  <si>
    <t>SMH</t>
  </si>
  <si>
    <t>E-3732-20</t>
  </si>
  <si>
    <t>C-1597-20</t>
  </si>
  <si>
    <t>A-1358-20</t>
  </si>
  <si>
    <t>D-9921-20</t>
  </si>
  <si>
    <t>D-8628-20</t>
  </si>
  <si>
    <t>E-4820-20</t>
  </si>
  <si>
    <t>E-5457-20</t>
  </si>
  <si>
    <t>G-6116-20</t>
  </si>
  <si>
    <t>E-5859-20</t>
  </si>
  <si>
    <t>A-8730-20</t>
  </si>
  <si>
    <t>D-5063-20</t>
  </si>
  <si>
    <t>B-1566-20</t>
  </si>
  <si>
    <t>D-2031-20</t>
  </si>
  <si>
    <t>E-3827-20</t>
  </si>
  <si>
    <t>F-8660-20</t>
  </si>
  <si>
    <t>B-7247-20</t>
  </si>
  <si>
    <t>F-3466-20</t>
  </si>
  <si>
    <t>C-1265-20</t>
  </si>
  <si>
    <t>G-2692-21</t>
  </si>
  <si>
    <t>H-8771-22</t>
  </si>
  <si>
    <t>D-3085-22</t>
  </si>
  <si>
    <t>F-1335-22</t>
  </si>
  <si>
    <t>B-9814-22</t>
  </si>
  <si>
    <t>C-6856-22</t>
  </si>
  <si>
    <t>F-8287-22</t>
  </si>
  <si>
    <t>H-4003-23</t>
  </si>
  <si>
    <t>A-8227-23</t>
  </si>
  <si>
    <t>A-6085-23</t>
  </si>
  <si>
    <t>F-8579-24</t>
  </si>
  <si>
    <t>A-9195-24</t>
  </si>
  <si>
    <t>G-2776-24</t>
  </si>
  <si>
    <t>G-5287-24</t>
  </si>
  <si>
    <t>F-3726-25</t>
  </si>
  <si>
    <t>H-2211-25</t>
  </si>
  <si>
    <t>D-7548-25</t>
  </si>
  <si>
    <t>A-5925-25</t>
  </si>
  <si>
    <t>E-1668-25</t>
  </si>
  <si>
    <t>C-8118-25</t>
  </si>
  <si>
    <t>E-8492-25</t>
  </si>
  <si>
    <t>D-2392-25</t>
  </si>
  <si>
    <t>F-4379-25</t>
  </si>
  <si>
    <t>C-6520-26</t>
  </si>
  <si>
    <t>H-5426-26</t>
  </si>
  <si>
    <t>E-4948-26</t>
  </si>
  <si>
    <t>C-9644-26</t>
  </si>
  <si>
    <t>G-4614-26</t>
  </si>
  <si>
    <t>E-5320-27</t>
  </si>
  <si>
    <t>H-8215-27</t>
  </si>
  <si>
    <t>G-8087-27</t>
  </si>
  <si>
    <t>C-8275-27</t>
  </si>
  <si>
    <t>E-1728-28</t>
  </si>
  <si>
    <t>F-7801-28</t>
  </si>
  <si>
    <t>C-3989-28</t>
  </si>
  <si>
    <t>C-1671-28</t>
  </si>
  <si>
    <t>F-6281-28</t>
  </si>
  <si>
    <t>A-3228-28</t>
  </si>
  <si>
    <t>C-1265-28</t>
  </si>
  <si>
    <t>B-8625-28</t>
  </si>
  <si>
    <t>F-1594-28</t>
  </si>
  <si>
    <t>G-7736-28</t>
  </si>
  <si>
    <t>F-8345-28</t>
  </si>
  <si>
    <t>C-9455-28</t>
  </si>
  <si>
    <t>H-2210-28</t>
  </si>
  <si>
    <t>D-2955-28</t>
  </si>
  <si>
    <t>F-3717-28</t>
  </si>
  <si>
    <t>C-7798-28</t>
  </si>
  <si>
    <t>E-8145-28</t>
  </si>
  <si>
    <t>D-2828-28</t>
  </si>
  <si>
    <t>E-1211-28</t>
  </si>
  <si>
    <t>E-7678-28</t>
  </si>
  <si>
    <t>A-7343-28</t>
  </si>
  <si>
    <t>F-7026-28</t>
  </si>
  <si>
    <t>G-3342-28</t>
  </si>
  <si>
    <t>B-6455-29</t>
  </si>
  <si>
    <t>E-2596-29</t>
  </si>
  <si>
    <t>A-8774-30</t>
  </si>
  <si>
    <t>G-8803-30</t>
  </si>
  <si>
    <t>DK-5835-1</t>
  </si>
  <si>
    <t>DK-6437-2</t>
  </si>
  <si>
    <t>AK-6267-2</t>
  </si>
  <si>
    <t>DK-2427-2</t>
  </si>
  <si>
    <t>BK-3279-2</t>
  </si>
  <si>
    <t>GK-2051-2</t>
  </si>
  <si>
    <t>BK-5645-3</t>
  </si>
  <si>
    <t>CK-3701-3</t>
  </si>
  <si>
    <t>CK-9568-3</t>
  </si>
  <si>
    <t>EK-4937-3</t>
  </si>
  <si>
    <t>HK-2003-3</t>
  </si>
  <si>
    <t>BK-2177-3</t>
  </si>
  <si>
    <t>DK-3500-3</t>
  </si>
  <si>
    <t>HK-1630-3</t>
  </si>
  <si>
    <t>HK-5072-3</t>
  </si>
  <si>
    <t>DK-8774-3</t>
  </si>
  <si>
    <t>AK-6545-3</t>
  </si>
  <si>
    <t>EK-9577-3</t>
  </si>
  <si>
    <t>AK-5918-3</t>
  </si>
  <si>
    <t>HK-3451-3</t>
  </si>
  <si>
    <t>CK-8055-3</t>
  </si>
  <si>
    <t>EK-8218-3</t>
  </si>
  <si>
    <t>BK-7715-3</t>
  </si>
  <si>
    <t>FK-6807-3</t>
  </si>
  <si>
    <t>AK-6498-3</t>
  </si>
  <si>
    <t>DK-4266-3</t>
  </si>
  <si>
    <t>EK-5112-4</t>
  </si>
  <si>
    <t>DK-5213-5</t>
  </si>
  <si>
    <t>FK-1876-5</t>
  </si>
  <si>
    <t>GK-6775-5</t>
  </si>
  <si>
    <t>BK-2522-5</t>
  </si>
  <si>
    <t>BK-2649-6</t>
  </si>
  <si>
    <t>GK-2154-7</t>
  </si>
  <si>
    <t>DK-6073-7</t>
  </si>
  <si>
    <t>EK-9896-7</t>
  </si>
  <si>
    <t>DK-5336-7</t>
  </si>
  <si>
    <t>DK-8001-7</t>
  </si>
  <si>
    <t>EK-8019-7</t>
  </si>
  <si>
    <t>HK-7567-7</t>
  </si>
  <si>
    <t>FK-9630-7</t>
  </si>
  <si>
    <t>HK-2689-7</t>
  </si>
  <si>
    <t>FK-3824-7</t>
  </si>
  <si>
    <t>CK-7706-7</t>
  </si>
  <si>
    <t>AK-5384-7</t>
  </si>
  <si>
    <t>CK-1983-7</t>
  </si>
  <si>
    <t>AK-2366-7</t>
  </si>
  <si>
    <t>AK-1155-7</t>
  </si>
  <si>
    <t>CK-7416-7</t>
  </si>
  <si>
    <t>EK-5110-7</t>
  </si>
  <si>
    <t>CK-4586-7</t>
  </si>
  <si>
    <t>CK-4765-7</t>
  </si>
  <si>
    <t>CK-8427-7</t>
  </si>
  <si>
    <t>HK-5907-7</t>
  </si>
  <si>
    <t>EK-8995-7</t>
  </si>
  <si>
    <t>DK-2359-7</t>
  </si>
  <si>
    <t>HK-7714-7</t>
  </si>
  <si>
    <t>BK-5262-7</t>
  </si>
  <si>
    <t>EK-7010-7</t>
  </si>
  <si>
    <t>CK-5587-7</t>
  </si>
  <si>
    <t>AK-9294-7</t>
  </si>
  <si>
    <t>GK-7599-7</t>
  </si>
  <si>
    <t>HK-2195-8</t>
  </si>
  <si>
    <t>GK-2772-8</t>
  </si>
  <si>
    <t>CK-1520-8</t>
  </si>
  <si>
    <t>DK-7178-8</t>
  </si>
  <si>
    <t>DK-2821-9</t>
  </si>
  <si>
    <t>DK-5875-9</t>
  </si>
  <si>
    <t>CK-9872-9</t>
  </si>
  <si>
    <t>HK-5962-9</t>
  </si>
  <si>
    <t>EK-4046-9</t>
  </si>
  <si>
    <t>GK-8378-9</t>
  </si>
  <si>
    <t>DK-8453-9</t>
  </si>
  <si>
    <t>DK-9629-9</t>
  </si>
  <si>
    <t>DK-6768-9</t>
  </si>
  <si>
    <t>A-2500-10</t>
  </si>
  <si>
    <t>H-3673-10</t>
  </si>
  <si>
    <t>C-3162-10</t>
  </si>
  <si>
    <t>A-4372-10</t>
  </si>
  <si>
    <t>B-8679-11</t>
  </si>
  <si>
    <t>C-8479-11</t>
  </si>
  <si>
    <t>H-3122-12</t>
  </si>
  <si>
    <t>G-4327-13</t>
  </si>
  <si>
    <t>G-8159-13</t>
  </si>
  <si>
    <t>B-8113-13</t>
  </si>
  <si>
    <t>D-7817-14</t>
  </si>
  <si>
    <t>D-3286-14</t>
  </si>
  <si>
    <t>C-3215-14</t>
  </si>
  <si>
    <t>D-3675-14</t>
  </si>
  <si>
    <t>F-1685-14</t>
  </si>
  <si>
    <t>A-3956-14</t>
  </si>
  <si>
    <t>A-7890-14</t>
  </si>
  <si>
    <t>D-6975-15</t>
  </si>
  <si>
    <t>E-7115-15</t>
  </si>
  <si>
    <t>B-9454-15</t>
  </si>
  <si>
    <t>C-1607-15</t>
  </si>
  <si>
    <t>H-6756-15</t>
  </si>
  <si>
    <t>B-9866-15</t>
  </si>
  <si>
    <t>G-8247-15</t>
  </si>
  <si>
    <t>C-5816-15</t>
  </si>
  <si>
    <t>E-1198-15</t>
  </si>
  <si>
    <t>C-5558-15</t>
  </si>
  <si>
    <t>D-9800-15</t>
  </si>
  <si>
    <t>B-1286-16</t>
  </si>
  <si>
    <t>E-2531-17</t>
  </si>
  <si>
    <t>D-7520-17</t>
  </si>
  <si>
    <t>B-9277-18</t>
  </si>
  <si>
    <t>A-1451-18</t>
  </si>
  <si>
    <t>G-4013-18</t>
  </si>
  <si>
    <t>G-3621-18</t>
  </si>
  <si>
    <t>C-8288-18</t>
  </si>
  <si>
    <t>F-8722-18</t>
  </si>
  <si>
    <t>D-5438-18</t>
  </si>
  <si>
    <t>B-4067-18</t>
  </si>
  <si>
    <t>A-7500-18</t>
  </si>
  <si>
    <t>H-5297-18</t>
  </si>
  <si>
    <t>C-5304-18</t>
  </si>
  <si>
    <t>H-8153-18</t>
  </si>
  <si>
    <t>A-8524-18</t>
  </si>
  <si>
    <t>C-1592-18</t>
  </si>
  <si>
    <t>F-1292-18</t>
  </si>
  <si>
    <t>H-7947-18</t>
  </si>
  <si>
    <t>E-8735-18</t>
  </si>
  <si>
    <t>G-7680-18</t>
  </si>
  <si>
    <t>C-1896-18</t>
  </si>
  <si>
    <t>G-6818-18</t>
  </si>
  <si>
    <t>E-7340-18</t>
  </si>
  <si>
    <t>C-3788-18</t>
  </si>
  <si>
    <t>C-4579-18</t>
  </si>
  <si>
    <t>E-8748-19</t>
  </si>
  <si>
    <t>A-5748-19</t>
  </si>
  <si>
    <t>F-7577-20</t>
  </si>
  <si>
    <t>B-2507-20</t>
  </si>
  <si>
    <t>C-5093-20</t>
  </si>
  <si>
    <t>G-9974-20</t>
  </si>
  <si>
    <t>E-2245-20</t>
  </si>
  <si>
    <t>C-1872-21</t>
  </si>
  <si>
    <t>C-6430-21</t>
  </si>
  <si>
    <t>F-4678-21</t>
  </si>
  <si>
    <t>H-9195-22</t>
  </si>
  <si>
    <t>A-3589-22</t>
  </si>
  <si>
    <t>B-7739-22</t>
  </si>
  <si>
    <t>F-6187-22</t>
  </si>
  <si>
    <t>G-9943-22</t>
  </si>
  <si>
    <t>F-3857-22</t>
  </si>
  <si>
    <t>B-4363-22</t>
  </si>
  <si>
    <t>B-8603-22</t>
  </si>
  <si>
    <t>B-1816-22</t>
  </si>
  <si>
    <t>G-4736-22</t>
  </si>
  <si>
    <t>G-9806-22</t>
  </si>
  <si>
    <t>H-5329-23</t>
  </si>
  <si>
    <t>G-8208-23</t>
  </si>
  <si>
    <t>A-9867-23</t>
  </si>
  <si>
    <t>B-3005-23</t>
  </si>
  <si>
    <t>A-2891-23</t>
  </si>
  <si>
    <t>E-9078-23</t>
  </si>
  <si>
    <t>D-6412-24</t>
  </si>
  <si>
    <t>G-2220-24</t>
  </si>
  <si>
    <t>D-9509-24</t>
  </si>
  <si>
    <t>A-1200-24</t>
  </si>
  <si>
    <t>F-2370-24</t>
  </si>
  <si>
    <t>H-9345-24</t>
  </si>
  <si>
    <t>D-1689-25</t>
  </si>
  <si>
    <t>F-5230-25</t>
  </si>
  <si>
    <t>F-7801-25</t>
  </si>
  <si>
    <t>E-6191-26</t>
  </si>
  <si>
    <t>B-1391-26</t>
  </si>
  <si>
    <t>B-6077-26</t>
  </si>
  <si>
    <t>E-4688-26</t>
  </si>
  <si>
    <t>A-1866-26</t>
  </si>
  <si>
    <t>D-7908-27</t>
  </si>
  <si>
    <t>E-9497-27</t>
  </si>
  <si>
    <t>C-7868-27</t>
  </si>
  <si>
    <t>B-4107-27</t>
  </si>
  <si>
    <t>B-7625-27</t>
  </si>
  <si>
    <t>C-4235-27</t>
  </si>
  <si>
    <t>H-6074-27</t>
  </si>
  <si>
    <t>F-7377-27</t>
  </si>
  <si>
    <t>D-8094-27</t>
  </si>
  <si>
    <t>H-1997-27</t>
  </si>
  <si>
    <t>G-3574-27</t>
  </si>
  <si>
    <t>D-8403-27</t>
  </si>
  <si>
    <t>F-2259-27</t>
  </si>
  <si>
    <t>F-1818-27</t>
  </si>
  <si>
    <t>F-8092-27</t>
  </si>
  <si>
    <t>H-1763-27</t>
  </si>
  <si>
    <t>C-4682-27</t>
  </si>
  <si>
    <t>H-4159-27</t>
  </si>
  <si>
    <t>C-9839-27</t>
  </si>
  <si>
    <t>C-4247-27</t>
  </si>
  <si>
    <t>C-1862-27</t>
  </si>
  <si>
    <t>F-8944-28</t>
  </si>
  <si>
    <t>E-4977-28</t>
  </si>
  <si>
    <t>H-1540-29</t>
  </si>
  <si>
    <t>G-2662-29</t>
  </si>
  <si>
    <t>B-6060-29</t>
  </si>
  <si>
    <t>F-4592-30</t>
  </si>
  <si>
    <t>G-8825-30</t>
  </si>
  <si>
    <t>C-9802-30</t>
  </si>
  <si>
    <t>E-9864-30</t>
  </si>
  <si>
    <t>F-1588-30</t>
  </si>
  <si>
    <t>B-4065-31</t>
  </si>
  <si>
    <t>AK-9029-1</t>
  </si>
  <si>
    <t>BK-3365-2</t>
  </si>
  <si>
    <t>BK-4365-2</t>
  </si>
  <si>
    <t>HK-8542-2</t>
  </si>
  <si>
    <t>HK-4668-2</t>
  </si>
  <si>
    <t>EK-6646-3</t>
  </si>
  <si>
    <t>FK-9788-4</t>
  </si>
  <si>
    <t>AK-7544-4</t>
  </si>
  <si>
    <t>AK-8091-4</t>
  </si>
  <si>
    <t>HK-3730-4</t>
  </si>
  <si>
    <t>AK-2951-4</t>
  </si>
  <si>
    <t>HK-2276-4</t>
  </si>
  <si>
    <t>FK-9446-4</t>
  </si>
  <si>
    <t>CK-4400-4</t>
  </si>
  <si>
    <t>DK-2591-4</t>
  </si>
  <si>
    <t>AK-4511-4</t>
  </si>
  <si>
    <t>BK-2516-4</t>
  </si>
  <si>
    <t>CK-5129-4</t>
  </si>
  <si>
    <t>GK-3598-4</t>
  </si>
  <si>
    <t>GK-3174-4</t>
  </si>
  <si>
    <t>EK-8421-4</t>
  </si>
  <si>
    <t>EK-8662-4</t>
  </si>
  <si>
    <t>FK-2176-4</t>
  </si>
  <si>
    <t>EK-6353-4</t>
  </si>
  <si>
    <t>FK-1656-5</t>
  </si>
  <si>
    <t>EK-9350-5</t>
  </si>
  <si>
    <t>EK-9619-5</t>
  </si>
  <si>
    <t>DK-9815-5</t>
  </si>
  <si>
    <t>GK-5137-5</t>
  </si>
  <si>
    <t>AK-8048-5</t>
  </si>
  <si>
    <t>CK-5635-5</t>
  </si>
  <si>
    <t>EK-1218-5</t>
  </si>
  <si>
    <t>AK-5388-6</t>
  </si>
  <si>
    <t>AK-2304-6</t>
  </si>
  <si>
    <t>DK-2522-6</t>
  </si>
  <si>
    <t>AK-2511-6</t>
  </si>
  <si>
    <t>BK-3408-6</t>
  </si>
  <si>
    <t>GK-4782-6</t>
  </si>
  <si>
    <t>BK-4343-6</t>
  </si>
  <si>
    <t>EK-7232-6</t>
  </si>
  <si>
    <t>FK-1633-6</t>
  </si>
  <si>
    <t>GK-5785-6</t>
  </si>
  <si>
    <t>DK-1593-7</t>
  </si>
  <si>
    <t>BK-5444-7</t>
  </si>
  <si>
    <t>FK-7815-7</t>
  </si>
  <si>
    <t>GK-2899-7</t>
  </si>
  <si>
    <t>CK-7059-7</t>
  </si>
  <si>
    <t>GK-4548-7</t>
  </si>
  <si>
    <t>FK-8664-7</t>
  </si>
  <si>
    <t>CK-8803-7</t>
  </si>
  <si>
    <t>GK-8908-7</t>
  </si>
  <si>
    <t>BK-6589-8</t>
  </si>
  <si>
    <t>GK-2793-8</t>
  </si>
  <si>
    <t>BK-4710-8</t>
  </si>
  <si>
    <t>DK-1730-9</t>
  </si>
  <si>
    <t>DK-3612-9</t>
  </si>
  <si>
    <t>DK-2595-9</t>
  </si>
  <si>
    <t>AK-8628-9</t>
  </si>
  <si>
    <t>HK-5930-9</t>
  </si>
  <si>
    <t>CK-7352-9</t>
  </si>
  <si>
    <t>B-3675-10</t>
  </si>
  <si>
    <t>H-8713-10</t>
  </si>
  <si>
    <t>F-8198-10</t>
  </si>
  <si>
    <t>C-4387-11</t>
  </si>
  <si>
    <t>E-5361-12</t>
  </si>
  <si>
    <t>E-4155-12</t>
  </si>
  <si>
    <t>E-2219-12</t>
  </si>
  <si>
    <t>C-3280-12</t>
  </si>
  <si>
    <t>C-8638-12</t>
  </si>
  <si>
    <t>A-9567-12</t>
  </si>
  <si>
    <t>A-1148-12</t>
  </si>
  <si>
    <t>A-1201-12</t>
  </si>
  <si>
    <t>D-4860-12</t>
  </si>
  <si>
    <t>C-9259-12</t>
  </si>
  <si>
    <t>A-2472-12</t>
  </si>
  <si>
    <t>A-8775-12</t>
  </si>
  <si>
    <t>G-9909-12</t>
  </si>
  <si>
    <t>D-9403-12</t>
  </si>
  <si>
    <t>G-5751-12</t>
  </si>
  <si>
    <t>D-6412-12</t>
  </si>
  <si>
    <t>E-5475-12</t>
  </si>
  <si>
    <t>H-9360-12</t>
  </si>
  <si>
    <t>E-2596-12</t>
  </si>
  <si>
    <t>G-9668-12</t>
  </si>
  <si>
    <t>G-1266-12</t>
  </si>
  <si>
    <t>G-9599-12</t>
  </si>
  <si>
    <t>C-7233-12</t>
  </si>
  <si>
    <t>H-4672-12</t>
  </si>
  <si>
    <t>G-3836-12</t>
  </si>
  <si>
    <t>H-2948-12</t>
  </si>
  <si>
    <t>C-4318-12</t>
  </si>
  <si>
    <t>G-4676-12</t>
  </si>
  <si>
    <t>D-3465-12</t>
  </si>
  <si>
    <t>E-1749-12</t>
  </si>
  <si>
    <t>C-2684-12</t>
  </si>
  <si>
    <t>D-4093-12</t>
  </si>
  <si>
    <t>G-8626-12</t>
  </si>
  <si>
    <t>B-1136-12</t>
  </si>
  <si>
    <t>F-2112-12</t>
  </si>
  <si>
    <t>B-9730-12</t>
  </si>
  <si>
    <t>A-7986-13</t>
  </si>
  <si>
    <t>G-8485-13</t>
  </si>
  <si>
    <t>E-8570-13</t>
  </si>
  <si>
    <t>D-1705-14</t>
  </si>
  <si>
    <t>D-9393-14</t>
  </si>
  <si>
    <t>B-1320-14</t>
  </si>
  <si>
    <t>H-6692-14</t>
  </si>
  <si>
    <t>B-7080-14</t>
  </si>
  <si>
    <t>G-5332-14</t>
  </si>
  <si>
    <t>A-7743-14</t>
  </si>
  <si>
    <t>G-4829-14</t>
  </si>
  <si>
    <t>F-8036-14</t>
  </si>
  <si>
    <t>F-4531-14</t>
  </si>
  <si>
    <t>A-5722-14</t>
  </si>
  <si>
    <t>C-4409-14</t>
  </si>
  <si>
    <t>A-5500-14</t>
  </si>
  <si>
    <t>G-2546-14</t>
  </si>
  <si>
    <t>E-8183-14</t>
  </si>
  <si>
    <t>G-1739-14</t>
  </si>
  <si>
    <t>D-9746-14</t>
  </si>
  <si>
    <t>F-1754-14</t>
  </si>
  <si>
    <t>B-1916-14</t>
  </si>
  <si>
    <t>F-9699-14</t>
  </si>
  <si>
    <t>D-6042-14</t>
  </si>
  <si>
    <t>A-1671-15</t>
  </si>
  <si>
    <t>D-3169-16</t>
  </si>
  <si>
    <t>B-7720-16</t>
  </si>
  <si>
    <t>B-5804-16</t>
  </si>
  <si>
    <t>B-1985-16</t>
  </si>
  <si>
    <t>E-7257-16</t>
  </si>
  <si>
    <t>G-6190-16</t>
  </si>
  <si>
    <t>C-7081-16</t>
  </si>
  <si>
    <t>H-2229-16</t>
  </si>
  <si>
    <t>C-7288-16</t>
  </si>
  <si>
    <t>E-5027-16</t>
  </si>
  <si>
    <t>A-9615-16</t>
  </si>
  <si>
    <t>H-8458-16</t>
  </si>
  <si>
    <t>B-6281-17</t>
  </si>
  <si>
    <t>B-3751-17</t>
  </si>
  <si>
    <t>E-6165-17</t>
  </si>
  <si>
    <t>F-8649-17</t>
  </si>
  <si>
    <t>G-3437-18</t>
  </si>
  <si>
    <t>B-7095-18</t>
  </si>
  <si>
    <t>H-6047-18</t>
  </si>
  <si>
    <t>D-3700-18</t>
  </si>
  <si>
    <t>F-2500-18</t>
  </si>
  <si>
    <t>B-6103-18</t>
  </si>
  <si>
    <t>C-2934-18</t>
  </si>
  <si>
    <t>B-9870-19</t>
  </si>
  <si>
    <t>C-3244-19</t>
  </si>
  <si>
    <t>E-7335-20</t>
  </si>
  <si>
    <t>B-4331-20</t>
  </si>
  <si>
    <t>B-6254-20</t>
  </si>
  <si>
    <t>H-9202-21</t>
  </si>
  <si>
    <t>E-3239-22</t>
  </si>
  <si>
    <t>G-3277-22</t>
  </si>
  <si>
    <t>E-7698-22</t>
  </si>
  <si>
    <t>F-5076-22</t>
  </si>
  <si>
    <t>G-7802-22</t>
  </si>
  <si>
    <t>E-4040-23</t>
  </si>
  <si>
    <t>E-9857-23</t>
  </si>
  <si>
    <t>C-7949-23</t>
  </si>
  <si>
    <t>B-4128-23</t>
  </si>
  <si>
    <t>H-3091-23</t>
  </si>
  <si>
    <t>G-4811-23</t>
  </si>
  <si>
    <t>A-7845-23</t>
  </si>
  <si>
    <t>D-4055-23</t>
  </si>
  <si>
    <t>H-3310-23</t>
  </si>
  <si>
    <t>A-7724-23</t>
  </si>
  <si>
    <t>B-6713-24</t>
  </si>
  <si>
    <t>G-5665-24</t>
  </si>
  <si>
    <t>B-1219-24</t>
  </si>
  <si>
    <t>A-1615-24</t>
  </si>
  <si>
    <t>D-8845-24</t>
  </si>
  <si>
    <t>F-2731-24</t>
  </si>
  <si>
    <t>C-7331-24</t>
  </si>
  <si>
    <t>C-8004-24</t>
  </si>
  <si>
    <t>C-2137-24</t>
  </si>
  <si>
    <t>D-1370-24</t>
  </si>
  <si>
    <t>G-6763-24</t>
  </si>
  <si>
    <t>F-4770-24</t>
  </si>
  <si>
    <t>B-9765-24</t>
  </si>
  <si>
    <t>G-2432-25</t>
  </si>
  <si>
    <t>E-1696-25</t>
  </si>
  <si>
    <t>H-9432-25</t>
  </si>
  <si>
    <t>C-1183-25</t>
  </si>
  <si>
    <t>D-5044-25</t>
  </si>
  <si>
    <t>D-6123-25</t>
  </si>
  <si>
    <t>D-3426-25</t>
  </si>
  <si>
    <t>E-6180-26</t>
  </si>
  <si>
    <t>B-4111-27</t>
  </si>
  <si>
    <t>D-9906-27</t>
  </si>
  <si>
    <t>G-8518-27</t>
  </si>
  <si>
    <t>D-4862-27</t>
  </si>
  <si>
    <t>B-1290-27</t>
  </si>
  <si>
    <t>A-1409-27</t>
  </si>
  <si>
    <t>E-1112-27</t>
  </si>
  <si>
    <t>B-4448-27</t>
  </si>
  <si>
    <t>D-7576-27</t>
  </si>
  <si>
    <t>H-8418-27</t>
  </si>
  <si>
    <t>F-7005-27</t>
  </si>
  <si>
    <t>G-8122-27</t>
  </si>
  <si>
    <t>D-5863-28</t>
  </si>
  <si>
    <t>G-4670-28</t>
  </si>
  <si>
    <t>B-7296-28</t>
  </si>
  <si>
    <t>G-5993-28</t>
  </si>
  <si>
    <t>G-9128-28</t>
  </si>
  <si>
    <t>C-5965-28</t>
  </si>
  <si>
    <t>E-4928-28</t>
  </si>
  <si>
    <t>A-9605-29</t>
  </si>
  <si>
    <t>D-7126-29</t>
  </si>
  <si>
    <t>A-3006-29</t>
  </si>
  <si>
    <t>C-9582-30</t>
  </si>
  <si>
    <t>F-2577-30</t>
  </si>
  <si>
    <t>D-7837-30</t>
  </si>
  <si>
    <t>E-3389-30</t>
  </si>
  <si>
    <t>C-6531-30</t>
  </si>
  <si>
    <t>E-1696-30</t>
  </si>
  <si>
    <t>H-2122-30</t>
  </si>
  <si>
    <t>B-1908-30</t>
  </si>
  <si>
    <t>H-6633-30</t>
  </si>
  <si>
    <t>B-2711-30</t>
  </si>
  <si>
    <t>F-2456-30</t>
  </si>
  <si>
    <t>B-5198-31</t>
  </si>
  <si>
    <t>F-3014-31</t>
  </si>
  <si>
    <t>EK-3967-1</t>
  </si>
  <si>
    <t>GK-2982-1</t>
  </si>
  <si>
    <t>FK-9299-1</t>
  </si>
  <si>
    <t>BK-6031-1</t>
  </si>
  <si>
    <t>EK-1276-1</t>
  </si>
  <si>
    <t>HK-3043-1</t>
  </si>
  <si>
    <t>EK-6733-2</t>
  </si>
  <si>
    <t>GK-4789-2</t>
  </si>
  <si>
    <t>EK-5023-2</t>
  </si>
  <si>
    <t>FK-4284-2</t>
  </si>
  <si>
    <t>DK-7025-3</t>
  </si>
  <si>
    <t>DK-4869-3</t>
  </si>
  <si>
    <t>BK-6916-4</t>
  </si>
  <si>
    <t>CK-8325-4</t>
  </si>
  <si>
    <t>CK-5357-5</t>
  </si>
  <si>
    <t>BK-9467-5</t>
  </si>
  <si>
    <t>BK-5718-5</t>
  </si>
  <si>
    <t>EK-3619-5</t>
  </si>
  <si>
    <t>FK-6379-5</t>
  </si>
  <si>
    <t>AK-8461-5</t>
  </si>
  <si>
    <t>CK-1475-6</t>
  </si>
  <si>
    <t>DK-9976-6</t>
  </si>
  <si>
    <t>DK-2199-7</t>
  </si>
  <si>
    <t>DK-8884-7</t>
  </si>
  <si>
    <t>DK-2163-7</t>
  </si>
  <si>
    <t>DK-7784-7</t>
  </si>
  <si>
    <t>AK-9082-7</t>
  </si>
  <si>
    <t>FK-6202-7</t>
  </si>
  <si>
    <t>HK-5799-7</t>
  </si>
  <si>
    <t>BK-5472-7</t>
  </si>
  <si>
    <t>FK-7633-7</t>
  </si>
  <si>
    <t>AK-4128-7</t>
  </si>
  <si>
    <t>DK-6365-7</t>
  </si>
  <si>
    <t>DK-9887-8</t>
  </si>
  <si>
    <t>EK-5625-8</t>
  </si>
  <si>
    <t>HK-9185-8</t>
  </si>
  <si>
    <t>AK-6759-8</t>
  </si>
  <si>
    <t>GK-3347-8</t>
  </si>
  <si>
    <t>HK-4875-8</t>
  </si>
  <si>
    <t>HK-1682-8</t>
  </si>
  <si>
    <t>EK-2573-8</t>
  </si>
  <si>
    <t>GK-9401-8</t>
  </si>
  <si>
    <t>DK-2001-8</t>
  </si>
  <si>
    <t>EK-9789-8</t>
  </si>
  <si>
    <t>CK-9106-8</t>
  </si>
  <si>
    <t>DK-8725-8</t>
  </si>
  <si>
    <t>EK-1415-8</t>
  </si>
  <si>
    <t>EK-3709-8</t>
  </si>
  <si>
    <t>CK-4036-8</t>
  </si>
  <si>
    <t>DK-4724-8</t>
  </si>
  <si>
    <t>GK-9303-8</t>
  </si>
  <si>
    <t>FK-6473-9</t>
  </si>
  <si>
    <t>D-3640-10</t>
  </si>
  <si>
    <t>C-2255-10</t>
  </si>
  <si>
    <t>D-2784-10</t>
  </si>
  <si>
    <t>G-1394-10</t>
  </si>
  <si>
    <t>A-3537-10</t>
  </si>
  <si>
    <t>H-9798-10</t>
  </si>
  <si>
    <t>E-2526-10</t>
  </si>
  <si>
    <t>F-1937-10</t>
  </si>
  <si>
    <t>B-9255-10</t>
  </si>
  <si>
    <t>D-2451-10</t>
  </si>
  <si>
    <t>C-5100-10</t>
  </si>
  <si>
    <t>D-9932-10</t>
  </si>
  <si>
    <t>E-6813-10</t>
  </si>
  <si>
    <t>E-4901-10</t>
  </si>
  <si>
    <t>B-5848-10</t>
  </si>
  <si>
    <t>H-5691-10</t>
  </si>
  <si>
    <t>H-5307-10</t>
  </si>
  <si>
    <t>B-4632-10</t>
  </si>
  <si>
    <t>D-5350-10</t>
  </si>
  <si>
    <t>F-3743-10</t>
  </si>
  <si>
    <t>B-5988-10</t>
  </si>
  <si>
    <t>F-5206-11</t>
  </si>
  <si>
    <t>F-2031-11</t>
  </si>
  <si>
    <t>D-8387-11</t>
  </si>
  <si>
    <t>G-1710-11</t>
  </si>
  <si>
    <t>C-7062-11</t>
  </si>
  <si>
    <t>B-5680-12</t>
  </si>
  <si>
    <t>C-9923-12</t>
  </si>
  <si>
    <t>C-9974-12</t>
  </si>
  <si>
    <t>B-8334-12</t>
  </si>
  <si>
    <t>F-1616-12</t>
  </si>
  <si>
    <t>A-2062-12</t>
  </si>
  <si>
    <t>F-8361-12</t>
  </si>
  <si>
    <t>E-9161-12</t>
  </si>
  <si>
    <t>G-6980-12</t>
  </si>
  <si>
    <t>C-1827-13</t>
  </si>
  <si>
    <t>H-2284-13</t>
  </si>
  <si>
    <t>A-3151-13</t>
  </si>
  <si>
    <t>E-8292-13</t>
  </si>
  <si>
    <t>D-4814-13</t>
  </si>
  <si>
    <t>D-5274-13</t>
  </si>
  <si>
    <t>H-8921-13</t>
  </si>
  <si>
    <t>F-5060-13</t>
  </si>
  <si>
    <t>G-3354-13</t>
  </si>
  <si>
    <t>H-9120-13</t>
  </si>
  <si>
    <t>E-9449-14</t>
  </si>
  <si>
    <t>G-1951-15</t>
  </si>
  <si>
    <t>F-9833-15</t>
  </si>
  <si>
    <t>B-5594-15</t>
  </si>
  <si>
    <t>F-2237-15</t>
  </si>
  <si>
    <t>C-1507-15</t>
  </si>
  <si>
    <t>H-1724-15</t>
  </si>
  <si>
    <t>G-9589-15</t>
  </si>
  <si>
    <t>F-2146-15</t>
  </si>
  <si>
    <t>B-2485-15</t>
  </si>
  <si>
    <t>A-8561-15</t>
  </si>
  <si>
    <t>E-1973-15</t>
  </si>
  <si>
    <t>C-2575-15</t>
  </si>
  <si>
    <t>F-1408-16</t>
  </si>
  <si>
    <t>F-7593-16</t>
  </si>
  <si>
    <t>G-9773-16</t>
  </si>
  <si>
    <t>A-3637-16</t>
  </si>
  <si>
    <t>E-9377-16</t>
  </si>
  <si>
    <t>E-2445-17</t>
  </si>
  <si>
    <t>F-8326-17</t>
  </si>
  <si>
    <t>D-5080-18</t>
  </si>
  <si>
    <t>H-6655-18</t>
  </si>
  <si>
    <t>B-2634-18</t>
  </si>
  <si>
    <t>C-5256-18</t>
  </si>
  <si>
    <t>D-6751-18</t>
  </si>
  <si>
    <t>A-7027-19</t>
  </si>
  <si>
    <t>B-9216-19</t>
  </si>
  <si>
    <t>D-5653-19</t>
  </si>
  <si>
    <t>B-5071-19</t>
  </si>
  <si>
    <t>A-5990-20</t>
  </si>
  <si>
    <t>C-2988-20</t>
  </si>
  <si>
    <t>H-7138-20</t>
  </si>
  <si>
    <t>D-7753-20</t>
  </si>
  <si>
    <t>B-2729-20</t>
  </si>
  <si>
    <t>A-8052-20</t>
  </si>
  <si>
    <t>E-3156-20</t>
  </si>
  <si>
    <t>B-8352-20</t>
  </si>
  <si>
    <t>A-6540-21</t>
  </si>
  <si>
    <t>G-5792-21</t>
  </si>
  <si>
    <t>A-9461-21</t>
  </si>
  <si>
    <t>A-9384-21</t>
  </si>
  <si>
    <t>H-1901-21</t>
  </si>
  <si>
    <t>G-8543-21</t>
  </si>
  <si>
    <t>C-5827-22</t>
  </si>
  <si>
    <t>B-9755-23</t>
  </si>
  <si>
    <t>A-3397-23</t>
  </si>
  <si>
    <t>D-2654-23</t>
  </si>
  <si>
    <t>B-8289-23</t>
  </si>
  <si>
    <t>F-8959-23</t>
  </si>
  <si>
    <t>A-9801-23</t>
  </si>
  <si>
    <t>F-7391-23</t>
  </si>
  <si>
    <t>C-5676-23</t>
  </si>
  <si>
    <t>C-7062-23</t>
  </si>
  <si>
    <t>H-3794-23</t>
  </si>
  <si>
    <t>G-8822-24</t>
  </si>
  <si>
    <t>G-6764-24</t>
  </si>
  <si>
    <t>B-7942-24</t>
  </si>
  <si>
    <t>D-7149-24</t>
  </si>
  <si>
    <t>C-7312-24</t>
  </si>
  <si>
    <t>B-2139-24</t>
  </si>
  <si>
    <t>F-3760-24</t>
  </si>
  <si>
    <t>A-7109-24</t>
  </si>
  <si>
    <t>H-3727-24</t>
  </si>
  <si>
    <t>A-3611-24</t>
  </si>
  <si>
    <t>E-9911-24</t>
  </si>
  <si>
    <t>D-3829-24</t>
  </si>
  <si>
    <t>G-6459-24</t>
  </si>
  <si>
    <t>B-9035-24</t>
  </si>
  <si>
    <t>E-4407-24</t>
  </si>
  <si>
    <t>F-4120-25</t>
  </si>
  <si>
    <t>A-4157-25</t>
  </si>
  <si>
    <t>D-7379-25</t>
  </si>
  <si>
    <t>F-2201-25</t>
  </si>
  <si>
    <t>H-4610-26</t>
  </si>
  <si>
    <t>D-8415-27</t>
  </si>
  <si>
    <t>A-8370-27</t>
  </si>
  <si>
    <t>B-5256-28</t>
  </si>
  <si>
    <t>E-4834-28</t>
  </si>
  <si>
    <t>E-3039-28</t>
  </si>
  <si>
    <t>H-3123-28</t>
  </si>
  <si>
    <t>G-9353-28</t>
  </si>
  <si>
    <t>F-4940-28</t>
  </si>
  <si>
    <t>E-7772-28</t>
  </si>
  <si>
    <t>A-7396-28</t>
  </si>
  <si>
    <t>B-5994-28</t>
  </si>
  <si>
    <t>H-5035-28</t>
  </si>
  <si>
    <t>B-5673-28</t>
  </si>
  <si>
    <t>H-8854-28</t>
  </si>
  <si>
    <t>G-2325-28</t>
  </si>
  <si>
    <t>E-5747-29</t>
  </si>
  <si>
    <t>G-8471-29</t>
  </si>
  <si>
    <t>B-9189-29</t>
  </si>
  <si>
    <t>F-9069-29</t>
  </si>
  <si>
    <t>B-5795-29</t>
  </si>
  <si>
    <t>G-3498-29</t>
  </si>
  <si>
    <t>E-7059-30</t>
  </si>
  <si>
    <t>G-7869-30</t>
  </si>
  <si>
    <t>B-4423-30</t>
  </si>
  <si>
    <t>H-6321-30</t>
  </si>
  <si>
    <t>A-4221-30</t>
  </si>
  <si>
    <t>E-9208-30</t>
  </si>
  <si>
    <t>F-3283-30</t>
  </si>
  <si>
    <t>HK-2365-1</t>
  </si>
  <si>
    <t>GK-1304-1</t>
  </si>
  <si>
    <t>AK-7202-1</t>
  </si>
  <si>
    <t>DK-7169-1</t>
  </si>
  <si>
    <t>DK-6784-1</t>
  </si>
  <si>
    <t>CK-1573-1</t>
  </si>
  <si>
    <t>BK-2630-1</t>
  </si>
  <si>
    <t>BK-1512-1</t>
  </si>
  <si>
    <t>FK-7331-1</t>
  </si>
  <si>
    <t>AK-5074-1</t>
  </si>
  <si>
    <t>GK-1549-1</t>
  </si>
  <si>
    <t>CK-5588-2</t>
  </si>
  <si>
    <t>BK-4182-2</t>
  </si>
  <si>
    <t>HK-1218-2</t>
  </si>
  <si>
    <t>HK-5888-2</t>
  </si>
  <si>
    <t>CK-7951-2</t>
  </si>
  <si>
    <t>AK-5163-2</t>
  </si>
  <si>
    <t>HK-9598-2</t>
  </si>
  <si>
    <t>EK-7780-2</t>
  </si>
  <si>
    <t>BK-8588-2</t>
  </si>
  <si>
    <t>EK-2054-2</t>
  </si>
  <si>
    <t>GK-5861-2</t>
  </si>
  <si>
    <t>GK-1895-2</t>
  </si>
  <si>
    <t>GK-4844-2</t>
  </si>
  <si>
    <t>BK-6385-2</t>
  </si>
  <si>
    <t>GK-2803-2</t>
  </si>
  <si>
    <t>BK-1326-2</t>
  </si>
  <si>
    <t>HK-8473-3</t>
  </si>
  <si>
    <t>FK-5868-3</t>
  </si>
  <si>
    <t>DK-6770-3</t>
  </si>
  <si>
    <t>CK-3377-3</t>
  </si>
  <si>
    <t>CK-4807-3</t>
  </si>
  <si>
    <t>FK-2238-3</t>
  </si>
  <si>
    <t>DK-8735-3</t>
  </si>
  <si>
    <t>AK-4696-3</t>
  </si>
  <si>
    <t>HK-2340-3</t>
  </si>
  <si>
    <t>BK-6226-3</t>
  </si>
  <si>
    <t>FK-2583-3</t>
  </si>
  <si>
    <t>FK-4902-3</t>
  </si>
  <si>
    <t>CK-9440-3</t>
  </si>
  <si>
    <t>GK-7330-4</t>
  </si>
  <si>
    <t>FK-4815-4</t>
  </si>
  <si>
    <t>EK-4908-4</t>
  </si>
  <si>
    <t>FK-6086-4</t>
  </si>
  <si>
    <t>HK-6404-4</t>
  </si>
  <si>
    <t>AK-4572-4</t>
  </si>
  <si>
    <t>GK-8935-4</t>
  </si>
  <si>
    <t>FK-9751-4</t>
  </si>
  <si>
    <t>DK-6879-4</t>
  </si>
  <si>
    <t>EK-8624-4</t>
  </si>
  <si>
    <t>EK-9971-4</t>
  </si>
  <si>
    <t>DK-8857-4</t>
  </si>
  <si>
    <t>EK-1696-4</t>
  </si>
  <si>
    <t>GK-1739-4</t>
  </si>
  <si>
    <t>DK-8748-4</t>
  </si>
  <si>
    <t>BK-3059-4</t>
  </si>
  <si>
    <t>CK-7648-5</t>
  </si>
  <si>
    <t>BK-5416-5</t>
  </si>
  <si>
    <t>BK-8123-5</t>
  </si>
  <si>
    <t>EK-2243-5</t>
  </si>
  <si>
    <t>FK-7821-5</t>
  </si>
  <si>
    <t>GK-8520-5</t>
  </si>
  <si>
    <t>HK-9085-5</t>
  </si>
  <si>
    <t>EK-9162-5</t>
  </si>
  <si>
    <t>GK-2023-5</t>
  </si>
  <si>
    <t>DK-4803-5</t>
  </si>
  <si>
    <t>EK-7436-5</t>
  </si>
  <si>
    <t>AK-4042-5</t>
  </si>
  <si>
    <t>CK-2423-5</t>
  </si>
  <si>
    <t>GK-5560-5</t>
  </si>
  <si>
    <t>DK-7233-5</t>
  </si>
  <si>
    <t>BK-6819-5</t>
  </si>
  <si>
    <t>HK-4472-5</t>
  </si>
  <si>
    <t>BK-8277-6</t>
  </si>
  <si>
    <t>HK-9072-6</t>
  </si>
  <si>
    <t>FK-7361-6</t>
  </si>
  <si>
    <t>HK-2868-7</t>
  </si>
  <si>
    <t>HK-2406-7</t>
  </si>
  <si>
    <t>GK-1291-7</t>
  </si>
  <si>
    <t>BK-5500-7</t>
  </si>
  <si>
    <t>BK-5613-7</t>
  </si>
  <si>
    <t>BK-5545-7</t>
  </si>
  <si>
    <t>EK-8978-7</t>
  </si>
  <si>
    <t>FK-4850-7</t>
  </si>
  <si>
    <t>FK-2746-7</t>
  </si>
  <si>
    <t>FK-9596-7</t>
  </si>
  <si>
    <t>CK-4491-7</t>
  </si>
  <si>
    <t>AK-4579-7</t>
  </si>
  <si>
    <t>EK-7873-7</t>
  </si>
  <si>
    <t>GK-7515-7</t>
  </si>
  <si>
    <t>CK-2449-8</t>
  </si>
  <si>
    <t>CK-7432-8</t>
  </si>
  <si>
    <t>GK-8142-8</t>
  </si>
  <si>
    <t>CK-6273-9</t>
  </si>
  <si>
    <t>HK-7215-9</t>
  </si>
  <si>
    <t>HK-2654-9</t>
  </si>
  <si>
    <t>EK-6136-9</t>
  </si>
  <si>
    <t>HK-8398-9</t>
  </si>
  <si>
    <t>GK-5838-9</t>
  </si>
  <si>
    <t>FK-8516-9</t>
  </si>
  <si>
    <t>DK-3054-9</t>
  </si>
  <si>
    <t>GK-3139-9</t>
  </si>
  <si>
    <t>DK-6771-9</t>
  </si>
  <si>
    <t>GK-7130-9</t>
  </si>
  <si>
    <t>DK-1176-9</t>
  </si>
  <si>
    <t>BK-5889-9</t>
  </si>
  <si>
    <t>G-5678-10</t>
  </si>
  <si>
    <t>B-1693-10</t>
  </si>
  <si>
    <t>G-2998-10</t>
  </si>
  <si>
    <t>H-3385-10</t>
  </si>
  <si>
    <t>G-9594-10</t>
  </si>
  <si>
    <t>A-2666-10</t>
  </si>
  <si>
    <t>D-4220-10</t>
  </si>
  <si>
    <t>A-9652-10</t>
  </si>
  <si>
    <t>B-7240-10</t>
  </si>
  <si>
    <t>B-8195-10</t>
  </si>
  <si>
    <t>G-7544-11</t>
  </si>
  <si>
    <t>E-6798-11</t>
  </si>
  <si>
    <t>H-8200-11</t>
  </si>
  <si>
    <t>A-6068-11</t>
  </si>
  <si>
    <t>C-5593-11</t>
  </si>
  <si>
    <t>B-1449-11</t>
  </si>
  <si>
    <t>D-1897-12</t>
  </si>
  <si>
    <t>H-4299-12</t>
  </si>
  <si>
    <t>B-8579-12</t>
  </si>
  <si>
    <t>C-4483-12</t>
  </si>
  <si>
    <t>C-1228-12</t>
  </si>
  <si>
    <t>C-3116-12</t>
  </si>
  <si>
    <t>C-9761-12</t>
  </si>
  <si>
    <t>A-3184-12</t>
  </si>
  <si>
    <t>C-4207-12</t>
  </si>
  <si>
    <t>F-9538-12</t>
  </si>
  <si>
    <t>B-2218-12</t>
  </si>
  <si>
    <t>D-1985-12</t>
  </si>
  <si>
    <t>F-2467-12</t>
  </si>
  <si>
    <t>E-4677-13</t>
  </si>
  <si>
    <t>D-5506-13</t>
  </si>
  <si>
    <t>D-9541-13</t>
  </si>
  <si>
    <t>A-6173-13</t>
  </si>
  <si>
    <t>G-5883-13</t>
  </si>
  <si>
    <t>E-8025-13</t>
  </si>
  <si>
    <t>A-9677-13</t>
  </si>
  <si>
    <t>F-1739-13</t>
  </si>
  <si>
    <t>C-4952-14</t>
  </si>
  <si>
    <t>H-6680-15</t>
  </si>
  <si>
    <t>H-8686-15</t>
  </si>
  <si>
    <t>C-8422-15</t>
  </si>
  <si>
    <t>B-3711-15</t>
  </si>
  <si>
    <t>C-1491-15</t>
  </si>
  <si>
    <t>F-9851-15</t>
  </si>
  <si>
    <t>H-6718-15</t>
  </si>
  <si>
    <t>B-3967-15</t>
  </si>
  <si>
    <t>A-3099-15</t>
  </si>
  <si>
    <t>C-4090-16</t>
  </si>
  <si>
    <t>A-2907-16</t>
  </si>
  <si>
    <t>F-5221-16</t>
  </si>
  <si>
    <t>A-3243-16</t>
  </si>
  <si>
    <t>C-1269-16</t>
  </si>
  <si>
    <t>D-1233-16</t>
  </si>
  <si>
    <t>H-3210-16</t>
  </si>
  <si>
    <t>E-8489-17</t>
  </si>
  <si>
    <t>D-4787-17</t>
  </si>
  <si>
    <t>B-4415-17</t>
  </si>
  <si>
    <t>E-6713-17</t>
  </si>
  <si>
    <t>A-7068-17</t>
  </si>
  <si>
    <t>C-9712-17</t>
  </si>
  <si>
    <t>C-8033-17</t>
  </si>
  <si>
    <t>G-6105-17</t>
  </si>
  <si>
    <t>A-7270-17</t>
  </si>
  <si>
    <t>A-1186-17</t>
  </si>
  <si>
    <t>E-5052-17</t>
  </si>
  <si>
    <t>D-4144-17</t>
  </si>
  <si>
    <t>A-1408-18</t>
  </si>
  <si>
    <t>A-9692-18</t>
  </si>
  <si>
    <t>G-6900-18</t>
  </si>
  <si>
    <t>E-8231-18</t>
  </si>
  <si>
    <t>G-7632-18</t>
  </si>
  <si>
    <t>E-4301-18</t>
  </si>
  <si>
    <t>F-5358-18</t>
  </si>
  <si>
    <t>B-9647-18</t>
  </si>
  <si>
    <t>C-3304-18</t>
  </si>
  <si>
    <t>D-1859-18</t>
  </si>
  <si>
    <t>H-3933-18</t>
  </si>
  <si>
    <t>B-1197-19</t>
  </si>
  <si>
    <t>D-9676-19</t>
  </si>
  <si>
    <t>H-5613-19</t>
  </si>
  <si>
    <t>D-3727-19</t>
  </si>
  <si>
    <t>H-6020-19</t>
  </si>
  <si>
    <t>D-4109-19</t>
  </si>
  <si>
    <t>E-1149-19</t>
  </si>
  <si>
    <t>C-7175-19</t>
  </si>
  <si>
    <t>B-6343-19</t>
  </si>
  <si>
    <t>B-4389-19</t>
  </si>
  <si>
    <t>A-3527-19</t>
  </si>
  <si>
    <t>B-4281-19</t>
  </si>
  <si>
    <t>A-3608-19</t>
  </si>
  <si>
    <t>D-4317-19</t>
  </si>
  <si>
    <t>H-5888-19</t>
  </si>
  <si>
    <t>G-8931-19</t>
  </si>
  <si>
    <t>A-6255-19</t>
  </si>
  <si>
    <t>C-1957-19</t>
  </si>
  <si>
    <t>G-8726-19</t>
  </si>
  <si>
    <t>C-4832-19</t>
  </si>
  <si>
    <t>G-3812-19</t>
  </si>
  <si>
    <t>C-7746-19</t>
  </si>
  <si>
    <t>E-4472-19</t>
  </si>
  <si>
    <t>F-2017-19</t>
  </si>
  <si>
    <t>A-6209-19</t>
  </si>
  <si>
    <t>E-8566-19</t>
  </si>
  <si>
    <t>H-1743-19</t>
  </si>
  <si>
    <t>A-4076-19</t>
  </si>
  <si>
    <t>G-6384-19</t>
  </si>
  <si>
    <t>B-2330-19</t>
  </si>
  <si>
    <t>E-9343-20</t>
  </si>
  <si>
    <t>G-1427-20</t>
  </si>
  <si>
    <t>A-5939-20</t>
  </si>
  <si>
    <t>B-1746-20</t>
  </si>
  <si>
    <t>G-2090-20</t>
  </si>
  <si>
    <t>F-5040-21</t>
  </si>
  <si>
    <t>D-2433-21</t>
  </si>
  <si>
    <t>F-5565-21</t>
  </si>
  <si>
    <t>G-8452-22</t>
  </si>
  <si>
    <t>H-1770-22</t>
  </si>
  <si>
    <t>H-7960-22</t>
  </si>
  <si>
    <t>E-9287-22</t>
  </si>
  <si>
    <t>B-8593-22</t>
  </si>
  <si>
    <t>F-7774-22</t>
  </si>
  <si>
    <t>C-6544-22</t>
  </si>
  <si>
    <t>B-7883-22</t>
  </si>
  <si>
    <t>H-5508-22</t>
  </si>
  <si>
    <t>E-4175-22</t>
  </si>
  <si>
    <t>E-1179-22</t>
  </si>
  <si>
    <t>G-3511-22</t>
  </si>
  <si>
    <t>D-6333-22</t>
  </si>
  <si>
    <t>E-6109-22</t>
  </si>
  <si>
    <t>E-6379-22</t>
  </si>
  <si>
    <t>E-5867-22</t>
  </si>
  <si>
    <t>H-6413-22</t>
  </si>
  <si>
    <t>D-5009-23</t>
  </si>
  <si>
    <t>B-1724-23</t>
  </si>
  <si>
    <t>G-3297-23</t>
  </si>
  <si>
    <t>D-6705-23</t>
  </si>
  <si>
    <t>A-7035-23</t>
  </si>
  <si>
    <t>F-4295-23</t>
  </si>
  <si>
    <t>A-9240-23</t>
  </si>
  <si>
    <t>B-2154-23</t>
  </si>
  <si>
    <t>E-8673-24</t>
  </si>
  <si>
    <t>C-8752-24</t>
  </si>
  <si>
    <t>G-7622-24</t>
  </si>
  <si>
    <t>E-7834-24</t>
  </si>
  <si>
    <t>C-6376-24</t>
  </si>
  <si>
    <t>F-1642-25</t>
  </si>
  <si>
    <t>D-3856-25</t>
  </si>
  <si>
    <t>E-2216-25</t>
  </si>
  <si>
    <t>B-8654-25</t>
  </si>
  <si>
    <t>D-4338-25</t>
  </si>
  <si>
    <t>D-9981-25</t>
  </si>
  <si>
    <t>B-6202-26</t>
  </si>
  <si>
    <t>G-2655-27</t>
  </si>
  <si>
    <t>H-8670-27</t>
  </si>
  <si>
    <t>H-7698-27</t>
  </si>
  <si>
    <t>F-7648-27</t>
  </si>
  <si>
    <t>F-9881-27</t>
  </si>
  <si>
    <t>H-2797-27</t>
  </si>
  <si>
    <t>B-9202-27</t>
  </si>
  <si>
    <t>D-2496-28</t>
  </si>
  <si>
    <t>F-7474-28</t>
  </si>
  <si>
    <t>A-3363-28</t>
  </si>
  <si>
    <t>E-8248-29</t>
  </si>
  <si>
    <t>D-8959-29</t>
  </si>
  <si>
    <t>B-6034-29</t>
  </si>
  <si>
    <t>G-4019-29</t>
  </si>
  <si>
    <t>G-5529-29</t>
  </si>
  <si>
    <t>B-3029-29</t>
  </si>
  <si>
    <t>H-4212-29</t>
  </si>
  <si>
    <t>A-2136-29</t>
  </si>
  <si>
    <t>H-2878-29</t>
  </si>
  <si>
    <t>B-1985-29</t>
  </si>
  <si>
    <t>H-4722-29</t>
  </si>
  <si>
    <t>D-8203-29</t>
  </si>
  <si>
    <t>E-7333-29</t>
  </si>
  <si>
    <t>A-4255-29</t>
  </si>
  <si>
    <t>H-8844-29</t>
  </si>
  <si>
    <t>C-9214-29</t>
  </si>
  <si>
    <t>C-6866-29</t>
  </si>
  <si>
    <t>C-8083-29</t>
  </si>
  <si>
    <t>H-2535-29</t>
  </si>
  <si>
    <t>B-9705-30</t>
  </si>
  <si>
    <t>G-6283-30</t>
  </si>
  <si>
    <t>D-8715-30</t>
  </si>
  <si>
    <t>B-4453-30</t>
  </si>
  <si>
    <t>E-7931-30</t>
  </si>
  <si>
    <t>A-1457-30</t>
  </si>
  <si>
    <t>H-7901-30</t>
  </si>
  <si>
    <t>A-4190-30</t>
  </si>
  <si>
    <t>C-6925-31</t>
  </si>
  <si>
    <t>D-3939-31</t>
  </si>
  <si>
    <t>D-4477-31</t>
  </si>
  <si>
    <t>B-9616-31</t>
  </si>
  <si>
    <t>H-4342-31</t>
  </si>
  <si>
    <t>A-5138-31</t>
  </si>
  <si>
    <t>B-7817-31</t>
  </si>
  <si>
    <t>D-5105-31</t>
  </si>
  <si>
    <t>C-5231-31</t>
  </si>
  <si>
    <t>A-3721-31</t>
  </si>
  <si>
    <t>G-2551-31</t>
  </si>
  <si>
    <t>F-2250-31</t>
  </si>
  <si>
    <t>E-3226-31</t>
  </si>
  <si>
    <t>G-1609-31</t>
  </si>
  <si>
    <t>C-4964-31</t>
  </si>
  <si>
    <t>F-9020-31</t>
  </si>
  <si>
    <t>F-8851-31</t>
  </si>
  <si>
    <t>F-1458-31</t>
  </si>
  <si>
    <t>A-4152-31</t>
  </si>
  <si>
    <t>A-9901-31</t>
  </si>
  <si>
    <t>C-4489-31</t>
  </si>
  <si>
    <t>A-1525-31</t>
  </si>
  <si>
    <t>E-6773-31</t>
  </si>
  <si>
    <t>G-1387-31</t>
  </si>
  <si>
    <t>A-9642-31</t>
  </si>
  <si>
    <t>F-7338-31</t>
  </si>
  <si>
    <t>D-1116-31</t>
  </si>
  <si>
    <t>D-3753-31</t>
  </si>
  <si>
    <t>AK-4698-1</t>
  </si>
  <si>
    <t>GK-4980-1</t>
  </si>
  <si>
    <t>HK-7415-1</t>
  </si>
  <si>
    <t>CK-2358-1</t>
  </si>
  <si>
    <t>AK-7983-1</t>
  </si>
  <si>
    <t>AK-6925-1</t>
  </si>
  <si>
    <t>AK-1456-1</t>
  </si>
  <si>
    <t>DK-6113-1</t>
  </si>
  <si>
    <t>FK-7924-1</t>
  </si>
  <si>
    <t>GK-6114-2</t>
  </si>
  <si>
    <t>AK-5346-2</t>
  </si>
  <si>
    <t>DK-4701-2</t>
  </si>
  <si>
    <t>BK-3403-2</t>
  </si>
  <si>
    <t>BK-1761-2</t>
  </si>
  <si>
    <t>EK-6591-2</t>
  </si>
  <si>
    <t>GK-9231-2</t>
  </si>
  <si>
    <t>HK-2787-2</t>
  </si>
  <si>
    <t>GK-7484-2</t>
  </si>
  <si>
    <t>HK-1887-2</t>
  </si>
  <si>
    <t>CK-9325-2</t>
  </si>
  <si>
    <t>HK-4797-2</t>
  </si>
  <si>
    <t>FK-4028-2</t>
  </si>
  <si>
    <t>EK-9345-3</t>
  </si>
  <si>
    <t>AK-4260-3</t>
  </si>
  <si>
    <t>DK-8880-3</t>
  </si>
  <si>
    <t>FK-3748-3</t>
  </si>
  <si>
    <t>AK-2314-3</t>
  </si>
  <si>
    <t>AK-7426-3</t>
  </si>
  <si>
    <t>DK-6575-3</t>
  </si>
  <si>
    <t>BK-2553-4</t>
  </si>
  <si>
    <t>FK-8584-4</t>
  </si>
  <si>
    <t>EK-3125-4</t>
  </si>
  <si>
    <t>DK-2834-4</t>
  </si>
  <si>
    <t>AK-2645-4</t>
  </si>
  <si>
    <t>HK-3926-4</t>
  </si>
  <si>
    <t>EK-4065-4</t>
  </si>
  <si>
    <t>FK-9034-4</t>
  </si>
  <si>
    <t>BK-6780-4</t>
  </si>
  <si>
    <t>CK-4662-4</t>
  </si>
  <si>
    <t>DK-9020-4</t>
  </si>
  <si>
    <t>GK-9752-4</t>
  </si>
  <si>
    <t>GK-3832-4</t>
  </si>
  <si>
    <t>BK-7087-4</t>
  </si>
  <si>
    <t>AK-3222-4</t>
  </si>
  <si>
    <t>EK-8285-4</t>
  </si>
  <si>
    <t>BK-8859-4</t>
  </si>
  <si>
    <t>DK-5249-4</t>
  </si>
  <si>
    <t>EK-5510-5</t>
  </si>
  <si>
    <t>DK-1589-5</t>
  </si>
  <si>
    <t>DK-8736-6</t>
  </si>
  <si>
    <t>AK-2642-6</t>
  </si>
  <si>
    <t>FK-1274-6</t>
  </si>
  <si>
    <t>AK-3358-6</t>
  </si>
  <si>
    <t>DK-8038-6</t>
  </si>
  <si>
    <t>DK-9735-6</t>
  </si>
  <si>
    <t>CK-8273-6</t>
  </si>
  <si>
    <t>HK-4139-6</t>
  </si>
  <si>
    <t>FK-8467-6</t>
  </si>
  <si>
    <t>CK-8500-7</t>
  </si>
  <si>
    <t>CK-5161-7</t>
  </si>
  <si>
    <t>GK-9838-7</t>
  </si>
  <si>
    <t>HK-9940-7</t>
  </si>
  <si>
    <t>DK-5485-8</t>
  </si>
  <si>
    <t>BK-1943-8</t>
  </si>
  <si>
    <t>FK-1913-9</t>
  </si>
  <si>
    <t>CK-5314-9</t>
  </si>
  <si>
    <t>FK-9193-9</t>
  </si>
  <si>
    <t>D-4113-10</t>
  </si>
  <si>
    <t>H-3150-10</t>
  </si>
  <si>
    <t>H-3838-10</t>
  </si>
  <si>
    <t>E-6984-10</t>
  </si>
  <si>
    <t>E-7674-10</t>
  </si>
  <si>
    <t>H-5815-10</t>
  </si>
  <si>
    <t>F-2430-10</t>
  </si>
  <si>
    <t>A-3008-10</t>
  </si>
  <si>
    <t>E-1832-11</t>
  </si>
  <si>
    <t>D-1985-11</t>
  </si>
  <si>
    <t>B-7827-11</t>
  </si>
  <si>
    <t>E-6718-11</t>
  </si>
  <si>
    <t>C-9578-11</t>
  </si>
  <si>
    <t>B-2578-11</t>
  </si>
  <si>
    <t>B-9997-12</t>
  </si>
  <si>
    <t>C-8084-12</t>
  </si>
  <si>
    <t>E-8033-12</t>
  </si>
  <si>
    <t>E-9750-12</t>
  </si>
  <si>
    <t>C-8912-12</t>
  </si>
  <si>
    <t>A-7550-12</t>
  </si>
  <si>
    <t>H-9725-12</t>
  </si>
  <si>
    <t>A-2897-12</t>
  </si>
  <si>
    <t>B-9820-12</t>
  </si>
  <si>
    <t>A-8882-12</t>
  </si>
  <si>
    <t>G-3259-12</t>
  </si>
  <si>
    <t>G-6868-12</t>
  </si>
  <si>
    <t>B-2204-12</t>
  </si>
  <si>
    <t>B-6171-12</t>
  </si>
  <si>
    <t>G-5977-12</t>
  </si>
  <si>
    <t>G-7237-12</t>
  </si>
  <si>
    <t>F-3702-12</t>
  </si>
  <si>
    <t>C-7678-12</t>
  </si>
  <si>
    <t>F-4204-12</t>
  </si>
  <si>
    <t>D-4658-12</t>
  </si>
  <si>
    <t>E-5459-12</t>
  </si>
  <si>
    <t>D-4452-12</t>
  </si>
  <si>
    <t>F-8906-12</t>
  </si>
  <si>
    <t>F-7832-13</t>
  </si>
  <si>
    <t>D-3657-14</t>
  </si>
  <si>
    <t>F-7772-14</t>
  </si>
  <si>
    <t>H-2557-14</t>
  </si>
  <si>
    <t>G-7704-14</t>
  </si>
  <si>
    <t>D-6952-14</t>
  </si>
  <si>
    <t>D-3851-14</t>
  </si>
  <si>
    <t>G-6459-14</t>
  </si>
  <si>
    <t>D-5181-14</t>
  </si>
  <si>
    <t>E-5770-14</t>
  </si>
  <si>
    <t>B-7556-14</t>
  </si>
  <si>
    <t>D-1111-14</t>
  </si>
  <si>
    <t>E-6075-14</t>
  </si>
  <si>
    <t>A-3791-14</t>
  </si>
  <si>
    <t>C-5844-14</t>
  </si>
  <si>
    <t>E-9314-14</t>
  </si>
  <si>
    <t>F-3227-14</t>
  </si>
  <si>
    <t>F-4802-14</t>
  </si>
  <si>
    <t>G-4120-14</t>
  </si>
  <si>
    <t>F-3050-14</t>
  </si>
  <si>
    <t>D-7916-14</t>
  </si>
  <si>
    <t>G-5535-14</t>
  </si>
  <si>
    <t>C-6367-14</t>
  </si>
  <si>
    <t>A-1691-14</t>
  </si>
  <si>
    <t>F-4884-14</t>
  </si>
  <si>
    <t>A-3045-14</t>
  </si>
  <si>
    <t>F-9510-14</t>
  </si>
  <si>
    <t>F-7232-14</t>
  </si>
  <si>
    <t>C-2713-14</t>
  </si>
  <si>
    <t>B-6768-14</t>
  </si>
  <si>
    <t>B-6687-14</t>
  </si>
  <si>
    <t>D-6805-14</t>
  </si>
  <si>
    <t>F-3446-14</t>
  </si>
  <si>
    <t>H-2413-14</t>
  </si>
  <si>
    <t>E-9491-14</t>
  </si>
  <si>
    <t>Loan Amount</t>
  </si>
  <si>
    <t>Interest Rate</t>
  </si>
  <si>
    <t>Years to pay</t>
  </si>
  <si>
    <t>House Payment</t>
  </si>
  <si>
    <t>Payment</t>
  </si>
  <si>
    <t>Simulation</t>
  </si>
  <si>
    <t>Extra Payment</t>
  </si>
  <si>
    <t>Payment Schedule</t>
  </si>
  <si>
    <t>Month</t>
  </si>
  <si>
    <t>Beginning balance</t>
  </si>
  <si>
    <t>Interest charged</t>
  </si>
  <si>
    <t>Monthly Payment</t>
  </si>
  <si>
    <t>Extra payment</t>
  </si>
  <si>
    <t>Ending balance</t>
  </si>
  <si>
    <t>Data</t>
  </si>
  <si>
    <t>Log</t>
  </si>
  <si>
    <t xml:space="preserve">Analyze the original data by drawing Histogram and Box plot.  </t>
  </si>
  <si>
    <t xml:space="preserve">Find  Mean, Median, and skewness.  </t>
  </si>
  <si>
    <t xml:space="preserve">Convert into Log base 5 and do the same.  </t>
  </si>
  <si>
    <t>Using a VBA code, do the following</t>
  </si>
  <si>
    <t>Quantity</t>
  </si>
  <si>
    <t>Commission earned</t>
  </si>
  <si>
    <t>Calculate the  amount sold</t>
  </si>
  <si>
    <t>If a quantity is more than 10, change the font color to Blue</t>
  </si>
  <si>
    <t>If the amount is $200 or more, color it green</t>
  </si>
  <si>
    <t>Any sale of $200 or more earns 3% commsion</t>
  </si>
  <si>
    <t xml:space="preserve">Create a command button </t>
  </si>
  <si>
    <t>Save the file as a Macro-enabled file</t>
  </si>
  <si>
    <t>Sum of commision</t>
  </si>
  <si>
    <t>Average of commission</t>
  </si>
  <si>
    <t>sum of amount sold</t>
  </si>
  <si>
    <t>Use Mid function to get the class and the section (Like 6332-001)</t>
  </si>
  <si>
    <t>OPRE-6332-Sec-001-21344</t>
  </si>
  <si>
    <t>6332-001</t>
  </si>
  <si>
    <t>BUAN-6332-Sec-001-21345</t>
  </si>
  <si>
    <t>BUAN-6332-Sec-501-21346</t>
  </si>
  <si>
    <t>6332-501</t>
  </si>
  <si>
    <t>BUAN-6332-Sec-501-21347</t>
  </si>
  <si>
    <t>OPRE-6332-Sec-001-21348</t>
  </si>
  <si>
    <t>OPRE-6332-Sec-501-21349</t>
  </si>
  <si>
    <t>OPRE-6332-Sec-001-21350</t>
  </si>
  <si>
    <t>OPRE-6332-Sec-501-21351</t>
  </si>
  <si>
    <t>OPRE-6332-Sec-001-21352</t>
  </si>
  <si>
    <t>Sub practice()</t>
  </si>
  <si>
    <t>Password = InputBox("enter password")</t>
  </si>
  <si>
    <t>If Password &lt;&gt; "G" Then Application.Close</t>
  </si>
  <si>
    <t>Dim qty As Range</t>
  </si>
  <si>
    <t>Set qty = Range(Cells(4, 1), Cells(40, 1))</t>
  </si>
  <si>
    <t>Cells(10, 5).Value = "Sum of commision"</t>
  </si>
  <si>
    <t>Cells(11, 5) = "Average of commission"</t>
  </si>
  <si>
    <t>Cells(10, 6) = WorksheetFunction.Sum(qty)</t>
  </si>
  <si>
    <t>Cells(11, 6) = WorksheetFunction.Average(qty)</t>
  </si>
  <si>
    <t>For i = 4 To 40</t>
  </si>
  <si>
    <t xml:space="preserve">    For j = 1 To 4</t>
  </si>
  <si>
    <t xml:space="preserve">    Cells(i, j).Font.Color = vbBlack</t>
  </si>
  <si>
    <t xml:space="preserve">    Next j</t>
  </si>
  <si>
    <t>Next i</t>
  </si>
  <si>
    <t>Cells(i, 3).Value = Cells(i, 1).Value * Cells(i, 2).Value</t>
  </si>
  <si>
    <t>If Cells(i, 1).Value &gt; 10 Then Cells(i, 1).Font.Color = vbBlue</t>
  </si>
  <si>
    <t>If Cells(i, 3).Value &gt; 200 Then Cells(i, 3).Font.Color = vbGreen</t>
  </si>
  <si>
    <t>If Cells(i, 3) &gt; 200 Then Cells(i, 4).Value = Cells(i, 3).Value * 0.03 Else Cells(i, 4).Value = 0</t>
  </si>
  <si>
    <t>End Sub</t>
  </si>
  <si>
    <t>Sub blank()</t>
  </si>
  <si>
    <t xml:space="preserve">    For j = 3 To 4</t>
  </si>
  <si>
    <t xml:space="preserve">    Cells(i, j).Value = Null</t>
  </si>
  <si>
    <t>Sub practice2()</t>
  </si>
  <si>
    <t>Dim fulltext</t>
  </si>
  <si>
    <t>Dim course</t>
  </si>
  <si>
    <t>Dim section</t>
  </si>
  <si>
    <t>Dim result</t>
  </si>
  <si>
    <t>For j = 6 To 14</t>
  </si>
  <si>
    <t>fulltext = Cells(j, 2).Value</t>
  </si>
  <si>
    <t>course = Mid(fulltext, 6, 4)</t>
  </si>
  <si>
    <t>section = Mid(fulltext, 15, 3)</t>
  </si>
  <si>
    <t>result = course &amp; "-" &amp; section</t>
  </si>
  <si>
    <t>Cells(j, 4).Value = result</t>
  </si>
  <si>
    <t>Cells(j, 4).Font.Size = Cells(j, 2).Font.Size</t>
  </si>
  <si>
    <t>Next j</t>
  </si>
  <si>
    <t>Do a 4-period weighted moving average forecast and find the errors as shown below</t>
  </si>
  <si>
    <t xml:space="preserve">Weights: </t>
  </si>
  <si>
    <t>Forecast  WMA</t>
  </si>
  <si>
    <t>MAD</t>
  </si>
  <si>
    <t>MSE</t>
  </si>
  <si>
    <t>MAPE</t>
  </si>
  <si>
    <t xml:space="preserve"> </t>
  </si>
  <si>
    <t xml:space="preserve">1. Create UserID which consists of the 2nd and 3rd letter of the 1st name and the last 2 letters of the last name. </t>
  </si>
  <si>
    <t>Logan</t>
  </si>
  <si>
    <t xml:space="preserve">2. Find Average after  </t>
  </si>
  <si>
    <t>Jon</t>
  </si>
  <si>
    <t>a. adding 10 popints to the highest test score (but not going past 105)</t>
  </si>
  <si>
    <t>Zaniyah</t>
  </si>
  <si>
    <t>b. adding 12 to the lowest score</t>
  </si>
  <si>
    <t>Kalel</t>
  </si>
  <si>
    <t>3.  Assign grades unsing Vlookup.</t>
  </si>
  <si>
    <t>Oaklee</t>
  </si>
  <si>
    <t>0 to &lt; 60:   F;     60 to &lt;70:  D;      70 to &lt;  80:  C;    80 to &lt; 90:  B,   90 or more:  A</t>
  </si>
  <si>
    <t>Mohamed</t>
  </si>
  <si>
    <t>Tristian</t>
  </si>
  <si>
    <t>Melvin</t>
  </si>
  <si>
    <t xml:space="preserve">Do not change the original Scores!  </t>
  </si>
  <si>
    <t>Note:  Some of you may find it easier to do this using VBA.</t>
  </si>
  <si>
    <t>Alma</t>
  </si>
  <si>
    <t xml:space="preserve">Whatever approach you use is OK.  </t>
  </si>
  <si>
    <t>Manuel</t>
  </si>
  <si>
    <t>Gatlin</t>
  </si>
  <si>
    <t>Alexandria</t>
  </si>
  <si>
    <t>Winnie</t>
  </si>
  <si>
    <t xml:space="preserve">  </t>
  </si>
  <si>
    <t>Melany</t>
  </si>
  <si>
    <t>Brandon</t>
  </si>
  <si>
    <t>Miles</t>
  </si>
  <si>
    <t>Emory</t>
  </si>
  <si>
    <t>Talon</t>
  </si>
  <si>
    <t>25-year old Stephanie wants to retire in 30 years.  She wants to have a million dollar in her saving at the time of retirement.  How much should she save every month to reach that million dollar goal?  The annual return she expects is 6.5% which will be compounded monthly?  </t>
  </si>
  <si>
    <t>Oscar</t>
  </si>
  <si>
    <t>Felix</t>
  </si>
  <si>
    <t>If you invest $500 each month at an annual rate of 7%, in how many month will it become $300,000?  The answer could be in decimals.</t>
  </si>
  <si>
    <t>Lian</t>
  </si>
  <si>
    <t>Paris</t>
  </si>
  <si>
    <t>Someone will pay you:  year 1   $2500,   Year 3:  $4000,   year 4:  $5000.  What is the present value of it assuming 4.67% annual return?</t>
  </si>
  <si>
    <t>Lyric</t>
  </si>
  <si>
    <t>Lauren</t>
  </si>
  <si>
    <t>If you invest $273 each month for 10 years and the annual interest rate is 7.15%, what will be present value of this investment?  Interest is compounded monthly. </t>
  </si>
  <si>
    <t>Yaretzi</t>
  </si>
  <si>
    <t>Ariel</t>
  </si>
  <si>
    <t>Bill is investing $5,000 at an anuual interest rate of 7.24%.  In how many years, will this investment become 3.5 times of its current value? Use Log function. </t>
  </si>
  <si>
    <t>Hunter</t>
  </si>
  <si>
    <t>Atlas</t>
  </si>
  <si>
    <t>Jack is investing $15,000 at an anuual interest rate of 6.12%.  In how many years, this investment will become $40,000? Use Log function. </t>
  </si>
  <si>
    <t>Boston</t>
  </si>
  <si>
    <t>Serena</t>
  </si>
  <si>
    <t>Helena</t>
  </si>
  <si>
    <t>Kinley</t>
  </si>
  <si>
    <t>Reign</t>
  </si>
  <si>
    <t>Ezra</t>
  </si>
  <si>
    <t>H</t>
  </si>
  <si>
    <t>Rylie</t>
  </si>
  <si>
    <t>S</t>
  </si>
  <si>
    <t>EOQ</t>
  </si>
  <si>
    <t>Ayleen</t>
  </si>
  <si>
    <t>Edison</t>
  </si>
  <si>
    <t>Jaylin</t>
  </si>
  <si>
    <t>INGH</t>
  </si>
  <si>
    <t>Makenzie</t>
  </si>
  <si>
    <t>Leland</t>
  </si>
  <si>
    <t>!L</t>
  </si>
  <si>
    <t>Henrik</t>
  </si>
  <si>
    <t>Kamryn</t>
  </si>
  <si>
    <t>2nd B</t>
  </si>
  <si>
    <t>Angie</t>
  </si>
  <si>
    <t>Addilyn</t>
  </si>
  <si>
    <t>Jakob</t>
  </si>
  <si>
    <t>Creed</t>
  </si>
  <si>
    <t>Justin</t>
  </si>
  <si>
    <t>Cadence</t>
  </si>
  <si>
    <t>Charli</t>
  </si>
  <si>
    <t>Xander</t>
  </si>
  <si>
    <t>Estella</t>
  </si>
  <si>
    <t>Vuga</t>
  </si>
  <si>
    <t>Bodie</t>
  </si>
  <si>
    <t>Zaiden</t>
  </si>
  <si>
    <t>Ayan</t>
  </si>
  <si>
    <t>Mustafa</t>
  </si>
  <si>
    <t>Maisie</t>
  </si>
  <si>
    <t>Justice</t>
  </si>
  <si>
    <t>Harlem</t>
  </si>
  <si>
    <t>Sebastian</t>
  </si>
  <si>
    <t>Sasha</t>
  </si>
  <si>
    <t>Sekani</t>
  </si>
  <si>
    <t>Meadow</t>
  </si>
  <si>
    <t>Brecken</t>
  </si>
  <si>
    <t>Phoenix</t>
  </si>
  <si>
    <t>Maren</t>
  </si>
  <si>
    <t>Demetrius</t>
  </si>
  <si>
    <t>Graham</t>
  </si>
  <si>
    <t>Daniela</t>
  </si>
  <si>
    <t>Casen</t>
  </si>
  <si>
    <t>Ryker</t>
  </si>
  <si>
    <t>Ibrahim</t>
  </si>
  <si>
    <t>Andrew</t>
  </si>
  <si>
    <t>Jayson</t>
  </si>
  <si>
    <t>Xuan</t>
  </si>
  <si>
    <t>Cannon</t>
  </si>
  <si>
    <t>Larry</t>
  </si>
  <si>
    <t>Kaysen</t>
  </si>
  <si>
    <t>Pablo</t>
  </si>
  <si>
    <t>Rex</t>
  </si>
  <si>
    <t>Clarissa</t>
  </si>
  <si>
    <t>Clay</t>
  </si>
  <si>
    <t>Cassandra</t>
  </si>
  <si>
    <t>Jesse</t>
  </si>
  <si>
    <t>Brantley</t>
  </si>
  <si>
    <t xml:space="preserve">Each Company's amount due and sales date for a particualr invoice is given in the table below. </t>
  </si>
  <si>
    <t>The first Row has been Solved for your reference.</t>
  </si>
  <si>
    <t>Use advanced filter to get a list of the companies</t>
  </si>
  <si>
    <t>Calculate by how many days is the payment late for each invoice in Column G.</t>
  </si>
  <si>
    <t>Refer to the Penalty Criteria to calculate what Penalty percenatge applies to each Invoice in Column H.</t>
  </si>
  <si>
    <t>Last step would be calculating the Total penalty for each Invoice in Column I.</t>
  </si>
  <si>
    <t>Company Name</t>
  </si>
  <si>
    <t>Company Code</t>
  </si>
  <si>
    <t>Amount due</t>
  </si>
  <si>
    <t>Sales Date</t>
  </si>
  <si>
    <t>Today</t>
  </si>
  <si>
    <t>Days Late</t>
  </si>
  <si>
    <t>% Penalty (Use IFS)</t>
  </si>
  <si>
    <t>Penalty</t>
  </si>
  <si>
    <t>Penalty Criteria (computed on the whole amount; see the 1st line calculation and the example below)</t>
  </si>
  <si>
    <t>Valin Group</t>
  </si>
  <si>
    <t>INV58169-Q</t>
  </si>
  <si>
    <t>No penalty for 1st 30 days.</t>
  </si>
  <si>
    <t>JFE Steel</t>
  </si>
  <si>
    <t>INV54843-R</t>
  </si>
  <si>
    <t xml:space="preserve">1% penalty if more than 30 days  </t>
  </si>
  <si>
    <t>JSW Steel</t>
  </si>
  <si>
    <t>INV66640-Q</t>
  </si>
  <si>
    <t xml:space="preserve">2% penalty if 60 or more days  </t>
  </si>
  <si>
    <t>Gerdau</t>
  </si>
  <si>
    <t>INV21038-Y</t>
  </si>
  <si>
    <t>3% penalty if 80 or more days</t>
  </si>
  <si>
    <t>IMIDRO</t>
  </si>
  <si>
    <t>INV23109-F</t>
  </si>
  <si>
    <t>Example: On a $4,200 invoice overdue 87 days, Total penalty = $4200 * 0.03 = $126.</t>
  </si>
  <si>
    <t>U. S. Steel Corporation</t>
  </si>
  <si>
    <t>INV53537-Q</t>
  </si>
  <si>
    <t>INV11452-C</t>
  </si>
  <si>
    <t>Tata Steel Group</t>
  </si>
  <si>
    <t>INV32027-R</t>
  </si>
  <si>
    <t>INV28897-C</t>
  </si>
  <si>
    <t>Shagang Group</t>
  </si>
  <si>
    <t>INV55259-Q</t>
  </si>
  <si>
    <t>ArcelorMittal</t>
  </si>
  <si>
    <t>INV36080-Y</t>
  </si>
  <si>
    <t>INV54503-R</t>
  </si>
  <si>
    <t>INV29550-R</t>
  </si>
  <si>
    <t>Nucor Corporation</t>
  </si>
  <si>
    <t>INV20024-C</t>
  </si>
  <si>
    <t>INV11761-F</t>
  </si>
  <si>
    <t>Baowu Steel Group</t>
  </si>
  <si>
    <t>INV26576-F</t>
  </si>
  <si>
    <t>Total penality</t>
  </si>
  <si>
    <t>INV55069-Y</t>
  </si>
  <si>
    <t>Total penality JSW</t>
  </si>
  <si>
    <t>Total penality SAIL</t>
  </si>
  <si>
    <t>INV59333-R</t>
  </si>
  <si>
    <t>HBIS Group</t>
  </si>
  <si>
    <t>Benxi Steel</t>
  </si>
  <si>
    <t>ThyssenKrupp</t>
  </si>
  <si>
    <t>INV19148-K</t>
  </si>
  <si>
    <t>Ansteel Group</t>
  </si>
  <si>
    <t>INV19541-R</t>
  </si>
  <si>
    <t>INV43381-Y</t>
  </si>
  <si>
    <t>INV61344-F</t>
  </si>
  <si>
    <t>INV27558-Y</t>
  </si>
  <si>
    <t>INV18621-Q</t>
  </si>
  <si>
    <t>NLMK</t>
  </si>
  <si>
    <t>INV45174-Q</t>
  </si>
  <si>
    <t>INV29171-Y</t>
  </si>
  <si>
    <t>Maanshan Steel</t>
  </si>
  <si>
    <t>INV15039-K</t>
  </si>
  <si>
    <t>INV66374-C</t>
  </si>
  <si>
    <t>China Steel Corporation</t>
  </si>
  <si>
    <t>INV43125-K</t>
  </si>
  <si>
    <t>Hyundai Steel</t>
  </si>
  <si>
    <t>INV31054-F</t>
  </si>
  <si>
    <t>INV60648-R</t>
  </si>
  <si>
    <t>INV32811-C</t>
  </si>
  <si>
    <t>INV55663-C</t>
  </si>
  <si>
    <t>INV32036-Y</t>
  </si>
  <si>
    <t>SAIL</t>
  </si>
  <si>
    <t>INV31235-A</t>
  </si>
  <si>
    <t>INV11566-Q</t>
  </si>
  <si>
    <t>INV41211-A</t>
  </si>
  <si>
    <t>Shandong Steel Group</t>
  </si>
  <si>
    <t>INV50969-F</t>
  </si>
  <si>
    <t>INV44638-R</t>
  </si>
  <si>
    <t>INV33043-Y</t>
  </si>
  <si>
    <t>INV54933-Q</t>
  </si>
  <si>
    <t>Shougang Group</t>
  </si>
  <si>
    <t>INV55703-F</t>
  </si>
  <si>
    <t>INV55598-K</t>
  </si>
  <si>
    <t>INV41647-C</t>
  </si>
  <si>
    <t>INV43145-Q</t>
  </si>
  <si>
    <t>INV12291-C</t>
  </si>
  <si>
    <t>INV24123-R</t>
  </si>
  <si>
    <t>INV62784-F</t>
  </si>
  <si>
    <t>INV52221-C</t>
  </si>
  <si>
    <t>NSSMC Group</t>
  </si>
  <si>
    <t>INV47506-F</t>
  </si>
  <si>
    <t>INV23358-Q</t>
  </si>
  <si>
    <t>INV57742-F</t>
  </si>
  <si>
    <t>INV66626-C</t>
  </si>
  <si>
    <t>INV39292-F</t>
  </si>
  <si>
    <t>INV63403-K</t>
  </si>
  <si>
    <t>INV29834-F</t>
  </si>
  <si>
    <t>POSCO</t>
  </si>
  <si>
    <t>INV39939-K</t>
  </si>
  <si>
    <t>INV22278-C</t>
  </si>
  <si>
    <t>INV40853-C</t>
  </si>
  <si>
    <t>INV51479-K</t>
  </si>
  <si>
    <t>INV35196-F</t>
  </si>
  <si>
    <t>INV50101-C</t>
  </si>
  <si>
    <t>INV39105-C</t>
  </si>
  <si>
    <t>INV52570-R</t>
  </si>
  <si>
    <t>INV52413-K</t>
  </si>
  <si>
    <t>INV32513-A</t>
  </si>
  <si>
    <t>INV25781-A</t>
  </si>
  <si>
    <t>INV18194-A</t>
  </si>
  <si>
    <t>INV35615-Q</t>
  </si>
  <si>
    <t>INV42763-C</t>
  </si>
  <si>
    <t>INV31666-R</t>
  </si>
  <si>
    <t>INV54942-R</t>
  </si>
  <si>
    <t>INV27163-R</t>
  </si>
  <si>
    <t>INV21365-F</t>
  </si>
  <si>
    <t>INV50552-C</t>
  </si>
  <si>
    <t>INV27977-F</t>
  </si>
  <si>
    <t>INV39073-Y</t>
  </si>
  <si>
    <t>INV48397-C</t>
  </si>
  <si>
    <t>INV63045-A</t>
  </si>
  <si>
    <t>INV24960-Y</t>
  </si>
  <si>
    <t>INV24366-Y</t>
  </si>
  <si>
    <t>INV60620-K</t>
  </si>
  <si>
    <t>INV31879-Q</t>
  </si>
  <si>
    <t>INV25497-R</t>
  </si>
  <si>
    <t>INV27464-K</t>
  </si>
  <si>
    <t>INV53079-Y</t>
  </si>
  <si>
    <t>INV46809-Y</t>
  </si>
  <si>
    <t>INV23229-A</t>
  </si>
  <si>
    <t>INV13808-C</t>
  </si>
  <si>
    <t>INV12794-R</t>
  </si>
  <si>
    <t>INV35152-F</t>
  </si>
  <si>
    <t>INV18899-F</t>
  </si>
  <si>
    <t>INV29121-F</t>
  </si>
  <si>
    <t>INV46470-F</t>
  </si>
  <si>
    <t>INV55062-A</t>
  </si>
  <si>
    <t>INV50289-R</t>
  </si>
  <si>
    <t>INV23114-Q</t>
  </si>
  <si>
    <t>INV41030-A</t>
  </si>
  <si>
    <t>INV38678-K</t>
  </si>
  <si>
    <t>INV16755-Q</t>
  </si>
  <si>
    <t>INV61210-A</t>
  </si>
  <si>
    <t>INV26202-K</t>
  </si>
  <si>
    <t>INV19814-R</t>
  </si>
  <si>
    <t>INV11781-F</t>
  </si>
  <si>
    <t>INV62668-F</t>
  </si>
  <si>
    <t>INV65789-A</t>
  </si>
  <si>
    <t>INV45917-C</t>
  </si>
  <si>
    <t>INV24365-Q</t>
  </si>
  <si>
    <t>INV40202-Y</t>
  </si>
  <si>
    <t>INV16287-R</t>
  </si>
  <si>
    <t>INV65847-F</t>
  </si>
  <si>
    <t>INV25988-R</t>
  </si>
  <si>
    <t>INV57438-Q</t>
  </si>
  <si>
    <t>INV45341-Q</t>
  </si>
  <si>
    <t>INV57455-K</t>
  </si>
  <si>
    <t>INV24331-R</t>
  </si>
  <si>
    <t>INV15396-K</t>
  </si>
  <si>
    <t>INV48928-Q</t>
  </si>
  <si>
    <t>INV66242-Y</t>
  </si>
  <si>
    <t>INV37893-K</t>
  </si>
  <si>
    <t>INV44626-F</t>
  </si>
  <si>
    <t>INV20408-A</t>
  </si>
  <si>
    <t>INV26287-F</t>
  </si>
  <si>
    <t>INV44789-R</t>
  </si>
  <si>
    <t>INV13341-K</t>
  </si>
  <si>
    <t>INV11873-A</t>
  </si>
  <si>
    <t>INV56503-K</t>
  </si>
  <si>
    <t>INV50016-Y</t>
  </si>
  <si>
    <t>INV18914-Y</t>
  </si>
  <si>
    <t>INV62543-F</t>
  </si>
  <si>
    <t>INV33512-K</t>
  </si>
  <si>
    <t>INV37167-A</t>
  </si>
  <si>
    <t>INV63610-Q</t>
  </si>
  <si>
    <t>INV38912-Q</t>
  </si>
  <si>
    <t>INV64985-C</t>
  </si>
  <si>
    <t>INV39081-F</t>
  </si>
  <si>
    <t>INV40146-Q</t>
  </si>
  <si>
    <t>INV13870-A</t>
  </si>
  <si>
    <t>INV62310-K</t>
  </si>
  <si>
    <t>INV36435-K</t>
  </si>
  <si>
    <t>INV19879-A</t>
  </si>
  <si>
    <t>INV63462-Q</t>
  </si>
  <si>
    <t>INV20005-K</t>
  </si>
  <si>
    <t>INV18923-A</t>
  </si>
  <si>
    <t>INV58301-C</t>
  </si>
  <si>
    <t>INV14245-C</t>
  </si>
  <si>
    <t>INV51827-K</t>
  </si>
  <si>
    <t>INV43539-R</t>
  </si>
  <si>
    <t>INV45696-C</t>
  </si>
  <si>
    <t>INV31731-C</t>
  </si>
  <si>
    <t>INV60041-C</t>
  </si>
  <si>
    <t>INV17967-Y</t>
  </si>
  <si>
    <t>INV44162-R</t>
  </si>
  <si>
    <t>INV50158-Q</t>
  </si>
  <si>
    <t>INV54592-Q</t>
  </si>
  <si>
    <t>INV40323-Y</t>
  </si>
  <si>
    <t>INV29831-Q</t>
  </si>
  <si>
    <t>INV11784-F</t>
  </si>
  <si>
    <t>INV18416-F</t>
  </si>
  <si>
    <t>INV31758-F</t>
  </si>
  <si>
    <t>INV62405-A</t>
  </si>
  <si>
    <t>INV21453-Q</t>
  </si>
  <si>
    <t>INV25287-A</t>
  </si>
  <si>
    <t>INV64842-R</t>
  </si>
  <si>
    <t>INV35332-Y</t>
  </si>
  <si>
    <t>INV17506-R</t>
  </si>
  <si>
    <t>INV49613-A</t>
  </si>
  <si>
    <t>INV15089-Y</t>
  </si>
  <si>
    <t>INV35687-A</t>
  </si>
  <si>
    <t>INV21086-K</t>
  </si>
  <si>
    <t>Jianlong Group</t>
  </si>
  <si>
    <t>INV11876-C</t>
  </si>
  <si>
    <t>INV23959-K</t>
  </si>
  <si>
    <t>INV21426-R</t>
  </si>
  <si>
    <t>INV35511-Q</t>
  </si>
  <si>
    <t>INV40500-C</t>
  </si>
  <si>
    <t>INV12913-A</t>
  </si>
  <si>
    <t>INV32556-Q</t>
  </si>
  <si>
    <t>INV16570-F</t>
  </si>
  <si>
    <t>INV46558-F</t>
  </si>
  <si>
    <t>INV22231-C</t>
  </si>
  <si>
    <t>INV46048-F</t>
  </si>
  <si>
    <t>INV36915-F</t>
  </si>
  <si>
    <t>INV43262-Q</t>
  </si>
  <si>
    <t>INV55620-C</t>
  </si>
  <si>
    <t>INV64840-Q</t>
  </si>
  <si>
    <t>INV43570-A</t>
  </si>
  <si>
    <t>INV54457-K</t>
  </si>
  <si>
    <t>INV25425-F</t>
  </si>
  <si>
    <t>INV63606-A</t>
  </si>
  <si>
    <t>INV54781-Y</t>
  </si>
  <si>
    <t>INV47296-R</t>
  </si>
  <si>
    <t>INV41017-Q</t>
  </si>
  <si>
    <t>INV14145-F</t>
  </si>
  <si>
    <t>INV35583-C</t>
  </si>
  <si>
    <t>INV62973-R</t>
  </si>
  <si>
    <t>INV37978-K</t>
  </si>
  <si>
    <t>INV27232-K</t>
  </si>
  <si>
    <t>INV59604-Q</t>
  </si>
  <si>
    <t>INV55316-Q</t>
  </si>
  <si>
    <t>INV12015-Y</t>
  </si>
  <si>
    <t>INV63034-R</t>
  </si>
  <si>
    <t>INV67084-Y</t>
  </si>
  <si>
    <t>INV33736-A</t>
  </si>
  <si>
    <t>INV52841-R</t>
  </si>
  <si>
    <t>INV51434-Y</t>
  </si>
  <si>
    <t>INV28219-Q</t>
  </si>
  <si>
    <t>INV18567-Q</t>
  </si>
  <si>
    <t>INV36478-A</t>
  </si>
  <si>
    <t>INV35239-K</t>
  </si>
  <si>
    <t>INV33364-Y</t>
  </si>
  <si>
    <t>INV19466-C</t>
  </si>
  <si>
    <t>INV60991-F</t>
  </si>
  <si>
    <t>INV50092-Q</t>
  </si>
  <si>
    <t>INV33225-C</t>
  </si>
  <si>
    <t>INV40541-Q</t>
  </si>
  <si>
    <t>INV53265-Q</t>
  </si>
  <si>
    <t>INV40497-K</t>
  </si>
  <si>
    <t>INV39469-K</t>
  </si>
  <si>
    <t>INV62741-A</t>
  </si>
  <si>
    <t>INV37884-R</t>
  </si>
  <si>
    <t>INV42602-F</t>
  </si>
  <si>
    <t>INV52331-A</t>
  </si>
  <si>
    <t>INV17152-A</t>
  </si>
  <si>
    <t>INV11447-R</t>
  </si>
  <si>
    <t>INV65407-R</t>
  </si>
  <si>
    <t>INV22111-Q</t>
  </si>
  <si>
    <t>INV56268-Q</t>
  </si>
  <si>
    <t>INV32835-Y</t>
  </si>
  <si>
    <t>INV27171-Y</t>
  </si>
  <si>
    <t>INV27908-A</t>
  </si>
  <si>
    <t>INV41096-F</t>
  </si>
  <si>
    <t>INV27552-Q</t>
  </si>
  <si>
    <t>INV34538-K</t>
  </si>
  <si>
    <t>INV62608-Y</t>
  </si>
  <si>
    <t>INV53372-R</t>
  </si>
  <si>
    <t>INV57711-F</t>
  </si>
  <si>
    <t>INV50254-Y</t>
  </si>
  <si>
    <t>INV24617-K</t>
  </si>
  <si>
    <t>INV49634-K</t>
  </si>
  <si>
    <t>INV31859-Q</t>
  </si>
  <si>
    <t>INV30444-Y</t>
  </si>
  <si>
    <t>INV31472-K</t>
  </si>
  <si>
    <t>INV46746-A</t>
  </si>
  <si>
    <t>INV62821-Y</t>
  </si>
  <si>
    <t>INV55838-C</t>
  </si>
  <si>
    <t>INV22421-R</t>
  </si>
  <si>
    <t>INV43393-Y</t>
  </si>
  <si>
    <t>INV28439-Q</t>
  </si>
  <si>
    <t>INV28496-F</t>
  </si>
  <si>
    <t>INV26379-C</t>
  </si>
  <si>
    <t>INV63140-A</t>
  </si>
  <si>
    <t>INV34459-A</t>
  </si>
  <si>
    <t>INV31004-A</t>
  </si>
  <si>
    <t>INV53157-A</t>
  </si>
  <si>
    <t>INV58043-C</t>
  </si>
  <si>
    <t>INV55540-A</t>
  </si>
  <si>
    <t>INV22333-C</t>
  </si>
  <si>
    <t>INV49164-F</t>
  </si>
  <si>
    <t>INV40360-Y</t>
  </si>
  <si>
    <t>INV56942-K</t>
  </si>
  <si>
    <t>INV14819-Y</t>
  </si>
  <si>
    <t>INV24828-C</t>
  </si>
  <si>
    <t>INV57240-R</t>
  </si>
  <si>
    <t>INV32207-C</t>
  </si>
  <si>
    <t>INV16963-Y</t>
  </si>
  <si>
    <t>INV57715-K</t>
  </si>
  <si>
    <t>INV23300-K</t>
  </si>
  <si>
    <t>INV24661-C</t>
  </si>
  <si>
    <t>INV30243-Q</t>
  </si>
  <si>
    <t>INV19470-Y</t>
  </si>
  <si>
    <t>INV37072-Q</t>
  </si>
  <si>
    <t>INV24300-A</t>
  </si>
  <si>
    <t>INV21100-K</t>
  </si>
  <si>
    <t>INV32189-F</t>
  </si>
  <si>
    <t>INV55896-R</t>
  </si>
  <si>
    <t>INV34573-R</t>
  </si>
  <si>
    <t>INV17459-F</t>
  </si>
  <si>
    <t>INV63878-F</t>
  </si>
  <si>
    <t>INV40400-C</t>
  </si>
  <si>
    <t>INV12402-A</t>
  </si>
  <si>
    <t>INV51362-Y</t>
  </si>
  <si>
    <t>INV44366-A</t>
  </si>
  <si>
    <t>INV54467-K</t>
  </si>
  <si>
    <t>INV66498-R</t>
  </si>
  <si>
    <t>INV48629-R</t>
  </si>
  <si>
    <t>INV13452-Y</t>
  </si>
  <si>
    <t>INV39501-Y</t>
  </si>
  <si>
    <t>INV16204-C</t>
  </si>
  <si>
    <t>INV59342-K</t>
  </si>
  <si>
    <t>INV55051-R</t>
  </si>
  <si>
    <t>INV43518-Q</t>
  </si>
  <si>
    <t>INV55281-R</t>
  </si>
  <si>
    <t>INV46634-Q</t>
  </si>
  <si>
    <t>INV19033-R</t>
  </si>
  <si>
    <t>INV33610-C</t>
  </si>
  <si>
    <t>INV36557-F</t>
  </si>
  <si>
    <t>INV17193-A</t>
  </si>
  <si>
    <t>INV60518-Q</t>
  </si>
  <si>
    <t>INV15361-R</t>
  </si>
  <si>
    <t>INV13425-Q</t>
  </si>
  <si>
    <t>INV17260-A</t>
  </si>
  <si>
    <t>INV47591-R</t>
  </si>
  <si>
    <t>INV24625-A</t>
  </si>
  <si>
    <t>INV61783-A</t>
  </si>
  <si>
    <t>INV12740-C</t>
  </si>
  <si>
    <t>INV23329-C</t>
  </si>
  <si>
    <t>INV36621-K</t>
  </si>
  <si>
    <t>INV42118-F</t>
  </si>
  <si>
    <t>INV65455-Q</t>
  </si>
  <si>
    <t>INV32749-Q</t>
  </si>
  <si>
    <t>INV14715-A</t>
  </si>
  <si>
    <t>INV47433-R</t>
  </si>
  <si>
    <t>INV52031-Q</t>
  </si>
  <si>
    <t>INV60207-Q</t>
  </si>
  <si>
    <t>INV50637-Q</t>
  </si>
  <si>
    <t>INV59812-C</t>
  </si>
  <si>
    <t>INV35046-R</t>
  </si>
  <si>
    <t>INV11900-A</t>
  </si>
  <si>
    <t>INV64692-R</t>
  </si>
  <si>
    <t>INV37583-F</t>
  </si>
  <si>
    <t>INV57429-Y</t>
  </si>
  <si>
    <t xml:space="preserve">Drop the lowest test score and calculate the final average score for each student.  Use the weights given. </t>
  </si>
  <si>
    <t>Assign grades to every one (use Vlookup).  Make sure that your formulas matches the provided sample calculation for Ryann.</t>
  </si>
  <si>
    <t xml:space="preserve">Note:  Create a Vloookup table for grades to use it.   Answer quiz questions.    </t>
  </si>
  <si>
    <t>Student</t>
  </si>
  <si>
    <t>Section</t>
  </si>
  <si>
    <t>Status</t>
  </si>
  <si>
    <t>Quiz 1</t>
  </si>
  <si>
    <t>Quiz 2</t>
  </si>
  <si>
    <t>HW 1</t>
  </si>
  <si>
    <t>HW 2</t>
  </si>
  <si>
    <t>HW 3</t>
  </si>
  <si>
    <t>HW 4</t>
  </si>
  <si>
    <t>Avg</t>
  </si>
  <si>
    <t>Weight</t>
  </si>
  <si>
    <t xml:space="preserve">Test </t>
  </si>
  <si>
    <t>Ryann</t>
  </si>
  <si>
    <t>Sec-A</t>
  </si>
  <si>
    <t>Senior</t>
  </si>
  <si>
    <t>Quiz</t>
  </si>
  <si>
    <t>Sec-C</t>
  </si>
  <si>
    <t>Junior</t>
  </si>
  <si>
    <t>HW</t>
  </si>
  <si>
    <t>Lilly</t>
  </si>
  <si>
    <t>Sec-B</t>
  </si>
  <si>
    <t>Anaya</t>
  </si>
  <si>
    <t xml:space="preserve">Grades  </t>
  </si>
  <si>
    <t>Jason</t>
  </si>
  <si>
    <t>&lt; 65</t>
  </si>
  <si>
    <t>Vincenzo</t>
  </si>
  <si>
    <t>65 to &lt;73</t>
  </si>
  <si>
    <t>Arielle</t>
  </si>
  <si>
    <t>73 to &lt; 83</t>
  </si>
  <si>
    <t>Catherine</t>
  </si>
  <si>
    <t>83 to &lt; 90</t>
  </si>
  <si>
    <t>Jasper</t>
  </si>
  <si>
    <t>&gt;= 90</t>
  </si>
  <si>
    <t>Karsyn</t>
  </si>
  <si>
    <t>Maximo</t>
  </si>
  <si>
    <t>average</t>
  </si>
  <si>
    <t>Waylon</t>
  </si>
  <si>
    <t>avg sec C</t>
  </si>
  <si>
    <t>Aniyah</t>
  </si>
  <si>
    <t>high avg junior</t>
  </si>
  <si>
    <t>high avg senior</t>
  </si>
  <si>
    <t>Xinyue</t>
  </si>
  <si>
    <t>%of seniors sec-B</t>
  </si>
  <si>
    <t>Kyle</t>
  </si>
  <si>
    <t>avg score senior in sec b got C grade</t>
  </si>
  <si>
    <t>Marilyn</t>
  </si>
  <si>
    <t>senior, sec b, grad c, &gt;-80 in test1</t>
  </si>
  <si>
    <t>Sonali</t>
  </si>
  <si>
    <t>Brodie</t>
  </si>
  <si>
    <t>Julissa</t>
  </si>
  <si>
    <t>Harmony</t>
  </si>
  <si>
    <t>Kyson</t>
  </si>
  <si>
    <t>Edward</t>
  </si>
  <si>
    <t>Eliza</t>
  </si>
  <si>
    <t>Jessica</t>
  </si>
  <si>
    <t>Sergio</t>
  </si>
  <si>
    <t>Kynlee</t>
  </si>
  <si>
    <t>Freyja</t>
  </si>
  <si>
    <t>Kolton</t>
  </si>
  <si>
    <t>Elle</t>
  </si>
  <si>
    <t>Archer</t>
  </si>
  <si>
    <t>Arturo</t>
  </si>
  <si>
    <t>Felipe</t>
  </si>
  <si>
    <t>Maurice</t>
  </si>
  <si>
    <t>Eve</t>
  </si>
  <si>
    <t>Dior</t>
  </si>
  <si>
    <t>Blaire</t>
  </si>
  <si>
    <t>Alaiya</t>
  </si>
  <si>
    <t>Juliette</t>
  </si>
  <si>
    <t>Reid</t>
  </si>
  <si>
    <t>Joaquin</t>
  </si>
  <si>
    <t>Kristian</t>
  </si>
  <si>
    <t>Arian</t>
  </si>
  <si>
    <t>Frankie</t>
  </si>
  <si>
    <t>Kayden</t>
  </si>
  <si>
    <t>Marceline</t>
  </si>
  <si>
    <t>Christina</t>
  </si>
  <si>
    <t>Kiara</t>
  </si>
  <si>
    <t>Derek</t>
  </si>
  <si>
    <t>Kristopher</t>
  </si>
  <si>
    <t>Sawyer</t>
  </si>
  <si>
    <t>Nicolas</t>
  </si>
  <si>
    <t>Canaan</t>
  </si>
  <si>
    <t>Kylen</t>
  </si>
  <si>
    <t>Hadlee</t>
  </si>
  <si>
    <t>Camilo</t>
  </si>
  <si>
    <t>Alondra</t>
  </si>
  <si>
    <t>Novalee</t>
  </si>
  <si>
    <t>Rayna</t>
  </si>
  <si>
    <t>Apollo</t>
  </si>
  <si>
    <t>Bobby</t>
  </si>
  <si>
    <t>Noelle</t>
  </si>
  <si>
    <t>Rosemary</t>
  </si>
  <si>
    <t>Shane</t>
  </si>
  <si>
    <t>Kylo</t>
  </si>
  <si>
    <t>Jaxson</t>
  </si>
  <si>
    <t>Bexley</t>
  </si>
  <si>
    <t>Ares</t>
  </si>
  <si>
    <t>Lachlan</t>
  </si>
  <si>
    <t>Elliot</t>
  </si>
  <si>
    <t>Martha</t>
  </si>
  <si>
    <t>Jordan</t>
  </si>
  <si>
    <t>Wesley</t>
  </si>
  <si>
    <t>Paityn</t>
  </si>
  <si>
    <t>Liberty</t>
  </si>
  <si>
    <t>Ashish</t>
  </si>
  <si>
    <t>Ricardo</t>
  </si>
  <si>
    <t>Elina</t>
  </si>
  <si>
    <t>Manvi</t>
  </si>
  <si>
    <t>Ashlyn</t>
  </si>
  <si>
    <t>Hadleigh</t>
  </si>
  <si>
    <t>Alfredo</t>
  </si>
  <si>
    <t>Pearl</t>
  </si>
  <si>
    <t>Talia</t>
  </si>
  <si>
    <t>Dalton</t>
  </si>
  <si>
    <t>Aisha</t>
  </si>
  <si>
    <t>Donald</t>
  </si>
  <si>
    <t>Irene</t>
  </si>
  <si>
    <t>Drake</t>
  </si>
  <si>
    <t>Tru</t>
  </si>
  <si>
    <t>Karla</t>
  </si>
  <si>
    <t>Violette</t>
  </si>
  <si>
    <t>Adonis</t>
  </si>
  <si>
    <t>Jett</t>
  </si>
  <si>
    <t>Alana</t>
  </si>
  <si>
    <t>Abel</t>
  </si>
  <si>
    <t>Ameer</t>
  </si>
  <si>
    <t>Marlon</t>
  </si>
  <si>
    <t>Hector</t>
  </si>
  <si>
    <t>Royal</t>
  </si>
  <si>
    <t>Niko</t>
  </si>
  <si>
    <t>Alessandro</t>
  </si>
  <si>
    <t>Sage</t>
  </si>
  <si>
    <t>Ainhoa</t>
  </si>
  <si>
    <t>Kaiya</t>
  </si>
  <si>
    <t>April</t>
  </si>
  <si>
    <t>Kyrie</t>
  </si>
  <si>
    <t>Devon</t>
  </si>
  <si>
    <t>Rakesh</t>
  </si>
  <si>
    <t>Rayan</t>
  </si>
  <si>
    <t>Arianna</t>
  </si>
  <si>
    <t>Kendall</t>
  </si>
  <si>
    <t>Kori</t>
  </si>
  <si>
    <t>Vance</t>
  </si>
  <si>
    <t>Brooke</t>
  </si>
  <si>
    <t>Kamiyah</t>
  </si>
  <si>
    <t>Adam</t>
  </si>
  <si>
    <t>Cecelia</t>
  </si>
  <si>
    <t>Xavier</t>
  </si>
  <si>
    <t>Ellen</t>
  </si>
  <si>
    <t>Katelyn</t>
  </si>
  <si>
    <t>Lina</t>
  </si>
  <si>
    <t>Mylo</t>
  </si>
  <si>
    <t>Warren</t>
  </si>
  <si>
    <t>Keilani</t>
  </si>
  <si>
    <t>Dakari</t>
  </si>
  <si>
    <t>Juniper</t>
  </si>
  <si>
    <t>Dylan</t>
  </si>
  <si>
    <t>Rory</t>
  </si>
  <si>
    <t>Yehuda</t>
  </si>
  <si>
    <t>Hanna</t>
  </si>
  <si>
    <t>Rosalee</t>
  </si>
  <si>
    <t>Saint</t>
  </si>
  <si>
    <t>Mara</t>
  </si>
  <si>
    <t>Tomas</t>
  </si>
  <si>
    <t>Azalea</t>
  </si>
  <si>
    <t>Joe</t>
  </si>
  <si>
    <t>Michaela</t>
  </si>
  <si>
    <t>Mitchell</t>
  </si>
  <si>
    <t>Fletcher</t>
  </si>
  <si>
    <t>Anya</t>
  </si>
  <si>
    <t>Bianca</t>
  </si>
  <si>
    <t>Juan</t>
  </si>
  <si>
    <t>Zaire</t>
  </si>
  <si>
    <t>Cruz</t>
  </si>
  <si>
    <t>Avery</t>
  </si>
  <si>
    <t>Kenny</t>
  </si>
  <si>
    <t>Addilynn</t>
  </si>
  <si>
    <t>Mukesh</t>
  </si>
  <si>
    <t>Milan</t>
  </si>
  <si>
    <t>Riley</t>
  </si>
  <si>
    <t>Flynn</t>
  </si>
  <si>
    <t>Khalani</t>
  </si>
  <si>
    <t>Jeremy</t>
  </si>
  <si>
    <t>Gloria</t>
  </si>
  <si>
    <t>Maxton</t>
  </si>
  <si>
    <t>Aila</t>
  </si>
  <si>
    <t>Rebecca</t>
  </si>
  <si>
    <t>Rodrigo</t>
  </si>
  <si>
    <t>Kayleigh</t>
  </si>
  <si>
    <t>Magnus</t>
  </si>
  <si>
    <t>Vivian</t>
  </si>
  <si>
    <t>Hayley</t>
  </si>
  <si>
    <t>Haven</t>
  </si>
  <si>
    <t>Miley</t>
  </si>
  <si>
    <t>Juliet</t>
  </si>
  <si>
    <t>Finnegan</t>
  </si>
  <si>
    <t>Wilson</t>
  </si>
  <si>
    <t>Aubree</t>
  </si>
  <si>
    <t>Avalynn</t>
  </si>
  <si>
    <t>Faith</t>
  </si>
  <si>
    <t>Saoirse</t>
  </si>
  <si>
    <t>Tyson</t>
  </si>
  <si>
    <t>Damian</t>
  </si>
  <si>
    <t>Walter</t>
  </si>
  <si>
    <t>Brinley</t>
  </si>
  <si>
    <t>Beau</t>
  </si>
  <si>
    <t>Everett</t>
  </si>
  <si>
    <t>Jessie</t>
  </si>
  <si>
    <t>Tinsley</t>
  </si>
  <si>
    <t>Ivanna</t>
  </si>
  <si>
    <t>Emerie</t>
  </si>
  <si>
    <t>Barbara</t>
  </si>
  <si>
    <t>Kaleb</t>
  </si>
  <si>
    <t>Jamison</t>
  </si>
  <si>
    <t>Sterling</t>
  </si>
  <si>
    <t>Maliyah</t>
  </si>
  <si>
    <t>Moises</t>
  </si>
  <si>
    <t>Aiden</t>
  </si>
  <si>
    <t>Sagar</t>
  </si>
  <si>
    <t>Lilah</t>
  </si>
  <si>
    <t>Amina</t>
  </si>
  <si>
    <t>Indie</t>
  </si>
  <si>
    <t>Keaton</t>
  </si>
  <si>
    <t>Scott</t>
  </si>
  <si>
    <t>Ali</t>
  </si>
  <si>
    <t>Nico</t>
  </si>
  <si>
    <t>Zyaire</t>
  </si>
  <si>
    <t>Josue</t>
  </si>
  <si>
    <t>Kingston</t>
  </si>
  <si>
    <t>Kumar</t>
  </si>
  <si>
    <t>Xzavier</t>
  </si>
  <si>
    <t>Isabel</t>
  </si>
  <si>
    <t>Analia</t>
  </si>
  <si>
    <t>Gavin</t>
  </si>
  <si>
    <t>Noor</t>
  </si>
  <si>
    <t>Mazikeen</t>
  </si>
  <si>
    <t>Valeria</t>
  </si>
  <si>
    <t>Clayton</t>
  </si>
  <si>
    <t>Josie</t>
  </si>
  <si>
    <t>Santino</t>
  </si>
  <si>
    <t>Hudson</t>
  </si>
  <si>
    <t>Wade</t>
  </si>
  <si>
    <t>Annalise</t>
  </si>
  <si>
    <t>Jaxen</t>
  </si>
  <si>
    <t>Milani</t>
  </si>
  <si>
    <t>Muhammad</t>
  </si>
  <si>
    <t>Alivia</t>
  </si>
  <si>
    <t>Camryn</t>
  </si>
  <si>
    <t>Mack</t>
  </si>
  <si>
    <t>Cara</t>
  </si>
  <si>
    <t>Grant</t>
  </si>
  <si>
    <t>Leonidas</t>
  </si>
  <si>
    <t>Florence</t>
  </si>
  <si>
    <t>Knox</t>
  </si>
  <si>
    <t>Jonas</t>
  </si>
  <si>
    <t>Gracelynn</t>
  </si>
  <si>
    <t>SKU</t>
  </si>
  <si>
    <t>Total Units Sold</t>
  </si>
  <si>
    <t>Unit Cube</t>
  </si>
  <si>
    <t>Annual Popularity p_i</t>
  </si>
  <si>
    <t>Annual_Flow_f_i</t>
  </si>
  <si>
    <t>Sqrt Flow</t>
  </si>
  <si>
    <t>Prct. Space Allocated</t>
  </si>
  <si>
    <t>Actual Space allocated</t>
  </si>
  <si>
    <t>Labor Efficiency</t>
  </si>
  <si>
    <t>Labor Efficiency rank</t>
  </si>
  <si>
    <t>Included ? x_i</t>
  </si>
  <si>
    <t>Pick savings</t>
  </si>
  <si>
    <t>Annual replenishments</t>
  </si>
  <si>
    <t>Repl cost</t>
  </si>
  <si>
    <t>maximum Net benefit</t>
  </si>
  <si>
    <t>corresponding SKUs</t>
  </si>
  <si>
    <t>Size of Forward Area</t>
  </si>
  <si>
    <t>Cost per Pick from Reserve</t>
  </si>
  <si>
    <t>Cost per Pick from Forward</t>
  </si>
  <si>
    <t>Savings per Pick</t>
  </si>
  <si>
    <t>Cost per Replenishment</t>
  </si>
  <si>
    <t>#SKU included in Forward Area</t>
  </si>
  <si>
    <t>Aggregate Pick savings</t>
  </si>
  <si>
    <t>Aggregate Replinishment cost</t>
  </si>
  <si>
    <t>Overall Net benefits</t>
  </si>
  <si>
    <t>select options from yellow cells (drop 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</si>
</sst>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 #,##0.00;[Red]&quot;₹&quot;\ \-#,##0.00"/>
    <numFmt numFmtId="43" formatCode="_ * #,##0.00_ ;_ * \-#,##0.00_ ;_ * &quot;-&quot;??_ ;_ @_ "/>
    <numFmt numFmtId="164" formatCode="0.0"/>
    <numFmt numFmtId="165" formatCode="&quot;$&quot;#,##0.00_);[Red]\(&quot;$&quot;#,##0.00\)"/>
    <numFmt numFmtId="166" formatCode="m/d/yy"/>
    <numFmt numFmtId="167" formatCode="_(&quot;$&quot;* #,##0.00_);_(&quot;$&quot;* \(#,##0.00\);_(&quot;$&quot;* &quot;-&quot;??_);_(@_)"/>
    <numFmt numFmtId="168" formatCode="&quot;$&quot;#,##0_);[Red]\(&quot;$&quot;#,##0\)"/>
    <numFmt numFmtId="169" formatCode="&quot;$&quot;#,##0.0_);\(&quot;$&quot;#,##0.0\)"/>
    <numFmt numFmtId="170" formatCode="&quot;$&quot;#,##0.00_);\(&quot;$&quot;#,##0.00\)"/>
    <numFmt numFmtId="171" formatCode="_(* #,##0.00_);_(* \(#,##0.00\);_(* &quot;-&quot;??_);_(@_)"/>
    <numFmt numFmtId="172" formatCode="0.000"/>
  </numFmts>
  <fonts count="31" x14ac:knownFonts="1">
    <font>
      <sz val="12"/>
      <color theme="1"/>
      <name val="Calibri"/>
      <family val="2"/>
    </font>
    <font>
      <sz val="11"/>
      <color theme="1"/>
      <name val="Calibri"/>
      <family val="2"/>
      <scheme val="minor"/>
    </font>
    <font>
      <b/>
      <sz val="11"/>
      <color theme="1"/>
      <name val="Calibri"/>
      <family val="2"/>
      <scheme val="minor"/>
    </font>
    <font>
      <sz val="12"/>
      <color theme="1"/>
      <name val="Calibri"/>
      <family val="2"/>
    </font>
    <font>
      <b/>
      <sz val="12"/>
      <name val="Calibri"/>
      <family val="2"/>
    </font>
    <font>
      <sz val="12"/>
      <name val="Calibri"/>
      <family val="2"/>
    </font>
    <font>
      <sz val="11"/>
      <name val="Calibri"/>
      <family val="2"/>
      <scheme val="minor"/>
    </font>
    <font>
      <sz val="12"/>
      <color rgb="FF00B0F0"/>
      <name val="Calibri"/>
      <family val="2"/>
    </font>
    <font>
      <b/>
      <sz val="11"/>
      <name val="Calibri"/>
      <family val="2"/>
    </font>
    <font>
      <sz val="12"/>
      <name val="Arial"/>
      <family val="2"/>
    </font>
    <font>
      <sz val="12"/>
      <color theme="1"/>
      <name val="Aptos Narrow"/>
      <family val="2"/>
    </font>
    <font>
      <b/>
      <sz val="12"/>
      <color theme="1"/>
      <name val="Calibri"/>
      <family val="2"/>
    </font>
    <font>
      <b/>
      <sz val="14"/>
      <color theme="1"/>
      <name val="Calibri"/>
      <family val="2"/>
    </font>
    <font>
      <sz val="14"/>
      <color theme="1"/>
      <name val="Calibri"/>
      <family val="2"/>
    </font>
    <font>
      <b/>
      <sz val="12"/>
      <name val="Calibri"/>
      <family val="2"/>
      <scheme val="minor"/>
    </font>
    <font>
      <b/>
      <sz val="12"/>
      <color theme="1"/>
      <name val="Calibri"/>
      <family val="2"/>
      <scheme val="minor"/>
    </font>
    <font>
      <sz val="12"/>
      <color theme="1"/>
      <name val="Calibri"/>
      <family val="2"/>
      <scheme val="minor"/>
    </font>
    <font>
      <sz val="12"/>
      <name val="Calibri"/>
      <family val="2"/>
      <scheme val="minor"/>
    </font>
    <font>
      <sz val="16"/>
      <color theme="1"/>
      <name val="Calibri"/>
      <family val="2"/>
    </font>
    <font>
      <sz val="11"/>
      <color rgb="FF000000"/>
      <name val="Calibri"/>
      <family val="2"/>
    </font>
    <font>
      <sz val="11"/>
      <color rgb="FF000000"/>
      <name val="Calibri"/>
      <family val="2"/>
      <scheme val="minor"/>
    </font>
    <font>
      <sz val="11"/>
      <color rgb="FF00FF00"/>
      <name val="Calibri"/>
      <family val="2"/>
      <scheme val="minor"/>
    </font>
    <font>
      <sz val="11"/>
      <color rgb="FF0000FF"/>
      <name val="Calibri"/>
      <family val="2"/>
      <scheme val="minor"/>
    </font>
    <font>
      <u/>
      <sz val="11"/>
      <color theme="10"/>
      <name val="Calibri"/>
      <family val="2"/>
      <scheme val="minor"/>
    </font>
    <font>
      <sz val="14"/>
      <color theme="1"/>
      <name val="Calibri"/>
      <family val="2"/>
      <scheme val="minor"/>
    </font>
    <font>
      <b/>
      <sz val="11"/>
      <name val="Calibri"/>
      <family val="2"/>
      <scheme val="minor"/>
    </font>
    <font>
      <sz val="7"/>
      <color rgb="FF000000"/>
      <name val="Arial"/>
      <family val="2"/>
    </font>
    <font>
      <sz val="7"/>
      <color theme="1"/>
      <name val="Arial"/>
      <family val="2"/>
    </font>
    <font>
      <b/>
      <i/>
      <sz val="12"/>
      <color theme="4" tint="-0.499984740745262"/>
      <name val="Calibri"/>
      <family val="2"/>
    </font>
    <font>
      <b/>
      <sz val="12"/>
      <color rgb="FFFF0000"/>
      <name val="Calibri"/>
      <family val="2"/>
    </font>
    <font>
      <b/>
      <sz val="16"/>
      <color rgb="FFFF0000"/>
      <name val="Calibri"/>
      <family val="2"/>
    </font>
  </fonts>
  <fills count="32">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9FDD93"/>
        <bgColor indexed="64"/>
      </patternFill>
    </fill>
    <fill>
      <patternFill patternType="solid">
        <fgColor rgb="FFAEE0C1"/>
        <bgColor indexed="64"/>
      </patternFill>
    </fill>
    <fill>
      <patternFill patternType="solid">
        <fgColor rgb="FFB6E5AD"/>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A7D971"/>
        <bgColor indexed="64"/>
      </patternFill>
    </fill>
    <fill>
      <patternFill patternType="solid">
        <fgColor theme="7" tint="0.39997558519241921"/>
        <bgColor indexed="64"/>
      </patternFill>
    </fill>
    <fill>
      <patternFill patternType="solid">
        <fgColor rgb="FFCAE8AA"/>
        <bgColor indexed="64"/>
      </patternFill>
    </fill>
    <fill>
      <patternFill patternType="solid">
        <fgColor rgb="FFFFFFB3"/>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B483D9"/>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CADFF2"/>
        <bgColor indexed="64"/>
      </patternFill>
    </fill>
    <fill>
      <patternFill patternType="solid">
        <fgColor rgb="FFF4D5BE"/>
        <bgColor indexed="64"/>
      </patternFill>
    </fill>
    <fill>
      <patternFill patternType="solid">
        <fgColor rgb="FFEEF99F"/>
        <bgColor indexed="64"/>
      </patternFill>
    </fill>
    <fill>
      <patternFill patternType="solid">
        <fgColor rgb="FFCCE9AD"/>
        <bgColor indexed="64"/>
      </patternFill>
    </fill>
    <fill>
      <patternFill patternType="solid">
        <fgColor rgb="FFDEC8EE"/>
        <bgColor indexed="64"/>
      </patternFill>
    </fill>
    <fill>
      <patternFill patternType="solid">
        <fgColor theme="6" tint="0.59999389629810485"/>
        <bgColor indexed="64"/>
      </patternFill>
    </fill>
  </fills>
  <borders count="4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8">
    <xf numFmtId="0" fontId="0" fillId="0" borderId="0"/>
    <xf numFmtId="0" fontId="1" fillId="0" borderId="0"/>
    <xf numFmtId="167" fontId="1" fillId="0" borderId="0" applyFont="0" applyFill="0" applyBorder="0" applyAlignment="0" applyProtection="0"/>
    <xf numFmtId="9" fontId="1"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71" fontId="3" fillId="0" borderId="0" applyFont="0" applyFill="0" applyBorder="0" applyAlignment="0" applyProtection="0"/>
    <xf numFmtId="0" fontId="23" fillId="0" borderId="0" applyNumberFormat="0" applyFill="0" applyBorder="0" applyAlignment="0" applyProtection="0"/>
  </cellStyleXfs>
  <cellXfs count="382">
    <xf numFmtId="0" fontId="0" fillId="0" borderId="0" xfId="0"/>
    <xf numFmtId="0" fontId="4" fillId="2" borderId="1" xfId="0" applyFont="1" applyFill="1" applyBorder="1" applyAlignment="1">
      <alignment vertical="center"/>
    </xf>
    <xf numFmtId="0" fontId="5" fillId="2" borderId="0" xfId="0" applyFont="1" applyFill="1"/>
    <xf numFmtId="0" fontId="6" fillId="2" borderId="2" xfId="0" applyFont="1" applyFill="1" applyBorder="1"/>
    <xf numFmtId="0" fontId="5" fillId="2" borderId="2" xfId="0" applyFont="1" applyFill="1" applyBorder="1"/>
    <xf numFmtId="1" fontId="5" fillId="2" borderId="2" xfId="0" applyNumberFormat="1" applyFont="1" applyFill="1" applyBorder="1" applyAlignment="1">
      <alignment horizontal="center" vertical="center"/>
    </xf>
    <xf numFmtId="164" fontId="5" fillId="2" borderId="2" xfId="0" applyNumberFormat="1" applyFont="1" applyFill="1" applyBorder="1" applyAlignment="1">
      <alignment horizontal="center"/>
    </xf>
    <xf numFmtId="0" fontId="5" fillId="2" borderId="2" xfId="0" applyFont="1" applyFill="1" applyBorder="1" applyAlignment="1">
      <alignment horizontal="left"/>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5" fillId="4" borderId="2" xfId="0" applyFont="1" applyFill="1" applyBorder="1"/>
    <xf numFmtId="164" fontId="5" fillId="2" borderId="0" xfId="0" applyNumberFormat="1" applyFont="1" applyFill="1"/>
    <xf numFmtId="0" fontId="5" fillId="2" borderId="0" xfId="0" applyFont="1" applyFill="1" applyAlignment="1">
      <alignment horizontal="center"/>
    </xf>
    <xf numFmtId="0" fontId="5" fillId="2" borderId="0" xfId="0" applyFont="1" applyFill="1" applyAlignment="1">
      <alignment horizontal="left"/>
    </xf>
    <xf numFmtId="0" fontId="8" fillId="5" borderId="2" xfId="0" applyFont="1" applyFill="1" applyBorder="1" applyAlignment="1">
      <alignment horizontal="center" vertical="center"/>
    </xf>
    <xf numFmtId="0" fontId="8" fillId="5" borderId="9" xfId="0" applyFont="1" applyFill="1" applyBorder="1" applyAlignment="1">
      <alignment horizontal="center" vertical="center"/>
    </xf>
    <xf numFmtId="0" fontId="8" fillId="5" borderId="1" xfId="0" applyFont="1" applyFill="1" applyBorder="1" applyAlignment="1">
      <alignment horizontal="center" vertical="center"/>
    </xf>
    <xf numFmtId="0" fontId="9" fillId="5" borderId="2" xfId="0" applyFont="1" applyFill="1" applyBorder="1" applyAlignment="1">
      <alignment horizontal="center" vertical="center"/>
    </xf>
    <xf numFmtId="0" fontId="0" fillId="5" borderId="2" xfId="0" applyFill="1" applyBorder="1" applyAlignment="1">
      <alignment horizontal="center" vertical="center"/>
    </xf>
    <xf numFmtId="0" fontId="0" fillId="5" borderId="0" xfId="0" applyFill="1"/>
    <xf numFmtId="14" fontId="9" fillId="5" borderId="2" xfId="0" applyNumberFormat="1" applyFont="1" applyFill="1" applyBorder="1" applyAlignment="1">
      <alignment horizontal="center"/>
    </xf>
    <xf numFmtId="0" fontId="0" fillId="5" borderId="9" xfId="0" applyFill="1" applyBorder="1"/>
    <xf numFmtId="0" fontId="0" fillId="5" borderId="9" xfId="0" applyFill="1" applyBorder="1" applyAlignment="1">
      <alignment horizontal="center"/>
    </xf>
    <xf numFmtId="165" fontId="0" fillId="5" borderId="9" xfId="0" applyNumberFormat="1" applyFill="1" applyBorder="1"/>
    <xf numFmtId="165" fontId="0" fillId="5" borderId="1" xfId="0" applyNumberFormat="1" applyFill="1" applyBorder="1"/>
    <xf numFmtId="14" fontId="0" fillId="5" borderId="0" xfId="0" applyNumberFormat="1" applyFill="1"/>
    <xf numFmtId="0" fontId="0" fillId="5" borderId="10" xfId="0" applyFill="1" applyBorder="1"/>
    <xf numFmtId="0" fontId="0" fillId="5" borderId="11" xfId="0" applyFill="1" applyBorder="1"/>
    <xf numFmtId="0" fontId="11" fillId="5" borderId="0" xfId="0" applyFont="1" applyFill="1" applyAlignment="1">
      <alignment horizontal="center" vertical="center"/>
    </xf>
    <xf numFmtId="0" fontId="0" fillId="5" borderId="0" xfId="0" applyFill="1" applyAlignment="1">
      <alignment horizontal="right" vertical="center"/>
    </xf>
    <xf numFmtId="0" fontId="11" fillId="5" borderId="0" xfId="0" applyFont="1" applyFill="1" applyAlignment="1">
      <alignment horizontal="center"/>
    </xf>
    <xf numFmtId="0" fontId="0" fillId="5" borderId="2" xfId="0" applyFill="1" applyBorder="1"/>
    <xf numFmtId="165" fontId="0" fillId="5" borderId="2" xfId="0" applyNumberFormat="1" applyFill="1" applyBorder="1"/>
    <xf numFmtId="0" fontId="0" fillId="5" borderId="0" xfId="0" applyFill="1" applyAlignment="1">
      <alignment horizontal="center"/>
    </xf>
    <xf numFmtId="0" fontId="9" fillId="5" borderId="0" xfId="0" applyFont="1" applyFill="1"/>
    <xf numFmtId="0" fontId="0" fillId="5" borderId="0" xfId="0" applyFill="1" applyAlignment="1">
      <alignment horizontal="center" vertical="center"/>
    </xf>
    <xf numFmtId="0" fontId="4" fillId="2" borderId="1" xfId="0" applyFont="1" applyFill="1" applyBorder="1" applyAlignment="1">
      <alignment horizontal="center" vertical="center"/>
    </xf>
    <xf numFmtId="0" fontId="4" fillId="2" borderId="0" xfId="0" applyFont="1" applyFill="1" applyAlignment="1">
      <alignment horizontal="center" vertical="center"/>
    </xf>
    <xf numFmtId="0" fontId="4" fillId="2" borderId="12" xfId="0" applyFont="1" applyFill="1" applyBorder="1" applyAlignment="1">
      <alignment horizontal="center" vertical="center"/>
    </xf>
    <xf numFmtId="0" fontId="5" fillId="2" borderId="0" xfId="0" applyFont="1" applyFill="1" applyAlignment="1">
      <alignment horizontal="center" vertical="center"/>
    </xf>
    <xf numFmtId="2" fontId="5" fillId="2" borderId="2" xfId="0" applyNumberFormat="1" applyFont="1" applyFill="1" applyBorder="1" applyAlignment="1">
      <alignment horizontal="center"/>
    </xf>
    <xf numFmtId="0" fontId="5" fillId="2" borderId="2" xfId="0"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2" xfId="0" applyFont="1" applyBorder="1" applyAlignment="1">
      <alignment horizontal="center" vertical="center"/>
    </xf>
    <xf numFmtId="0" fontId="11" fillId="0" borderId="2" xfId="0" applyFont="1" applyBorder="1"/>
    <xf numFmtId="0" fontId="0" fillId="0" borderId="2" xfId="0" applyBorder="1" applyAlignment="1">
      <alignment horizontal="center" vertical="center"/>
    </xf>
    <xf numFmtId="0" fontId="0" fillId="0" borderId="2" xfId="0" applyBorder="1"/>
    <xf numFmtId="0" fontId="11" fillId="6" borderId="2" xfId="0" applyFont="1" applyFill="1" applyBorder="1" applyAlignment="1">
      <alignment horizontal="center"/>
    </xf>
    <xf numFmtId="0" fontId="0" fillId="6" borderId="2" xfId="0" applyFill="1" applyBorder="1" applyAlignment="1">
      <alignment horizontal="center" vertical="center"/>
    </xf>
    <xf numFmtId="0" fontId="0" fillId="7" borderId="2" xfId="0" applyFill="1" applyBorder="1"/>
    <xf numFmtId="0" fontId="0" fillId="0" borderId="0" xfId="0" applyAlignment="1">
      <alignment horizontal="center" vertical="center"/>
    </xf>
    <xf numFmtId="0" fontId="12" fillId="7" borderId="2" xfId="0" applyFont="1" applyFill="1" applyBorder="1" applyAlignment="1">
      <alignment horizontal="center" vertical="center"/>
    </xf>
    <xf numFmtId="0" fontId="13" fillId="7" borderId="0" xfId="0" applyFont="1" applyFill="1"/>
    <xf numFmtId="0" fontId="13" fillId="7" borderId="13" xfId="0" applyFont="1" applyFill="1" applyBorder="1"/>
    <xf numFmtId="0" fontId="13" fillId="7" borderId="11" xfId="0" applyFont="1" applyFill="1" applyBorder="1"/>
    <xf numFmtId="0" fontId="13" fillId="7" borderId="2" xfId="0" applyFont="1" applyFill="1" applyBorder="1" applyAlignment="1">
      <alignment horizontal="left" vertical="center"/>
    </xf>
    <xf numFmtId="0" fontId="13" fillId="7" borderId="2" xfId="0" applyFont="1" applyFill="1" applyBorder="1" applyAlignment="1">
      <alignment horizontal="center" vertical="center"/>
    </xf>
    <xf numFmtId="14" fontId="13" fillId="7" borderId="2" xfId="0" applyNumberFormat="1" applyFont="1" applyFill="1" applyBorder="1" applyAlignment="1">
      <alignment horizontal="center" vertical="center"/>
    </xf>
    <xf numFmtId="0" fontId="13" fillId="7" borderId="13" xfId="0" applyFont="1" applyFill="1" applyBorder="1" applyAlignment="1">
      <alignment horizontal="center" vertical="center"/>
    </xf>
    <xf numFmtId="0" fontId="13" fillId="7" borderId="11" xfId="0" applyFont="1" applyFill="1" applyBorder="1" applyAlignment="1">
      <alignment horizontal="center" vertical="center"/>
    </xf>
    <xf numFmtId="0" fontId="13" fillId="7" borderId="0" xfId="0" applyFont="1" applyFill="1" applyAlignment="1">
      <alignment vertical="center"/>
    </xf>
    <xf numFmtId="0" fontId="12" fillId="7" borderId="0" xfId="0" applyFont="1" applyFill="1" applyAlignment="1">
      <alignment vertical="center"/>
    </xf>
    <xf numFmtId="14" fontId="13" fillId="7" borderId="0" xfId="0" applyNumberFormat="1" applyFont="1" applyFill="1" applyAlignment="1">
      <alignment horizontal="center" vertical="center"/>
    </xf>
    <xf numFmtId="0" fontId="13" fillId="7" borderId="0" xfId="0" applyFont="1" applyFill="1" applyAlignment="1">
      <alignment horizontal="center" vertical="center"/>
    </xf>
    <xf numFmtId="0" fontId="8" fillId="5" borderId="9" xfId="1" applyFont="1" applyFill="1" applyBorder="1" applyAlignment="1" applyProtection="1">
      <alignment horizontal="center" vertical="center" wrapText="1"/>
      <protection locked="0"/>
    </xf>
    <xf numFmtId="0" fontId="8" fillId="8" borderId="9" xfId="1" applyFont="1" applyFill="1" applyBorder="1" applyAlignment="1">
      <alignment horizontal="center" vertical="center" wrapText="1"/>
    </xf>
    <xf numFmtId="0" fontId="8" fillId="8" borderId="1" xfId="1" applyFont="1" applyFill="1" applyBorder="1" applyAlignment="1" applyProtection="1">
      <alignment horizontal="center" vertical="center" wrapText="1"/>
      <protection locked="0"/>
    </xf>
    <xf numFmtId="0" fontId="8" fillId="8" borderId="14" xfId="1" applyFont="1" applyFill="1" applyBorder="1" applyAlignment="1" applyProtection="1">
      <alignment horizontal="center" vertical="center" wrapText="1"/>
      <protection locked="0"/>
    </xf>
    <xf numFmtId="10" fontId="8" fillId="8" borderId="14" xfId="1" applyNumberFormat="1" applyFont="1" applyFill="1" applyBorder="1" applyAlignment="1" applyProtection="1">
      <alignment horizontal="center" vertical="center" wrapText="1"/>
      <protection locked="0"/>
    </xf>
    <xf numFmtId="0" fontId="1" fillId="5" borderId="0" xfId="1" applyFill="1" applyProtection="1">
      <protection locked="0"/>
    </xf>
    <xf numFmtId="166" fontId="1" fillId="5" borderId="2" xfId="1" applyNumberFormat="1" applyFill="1" applyBorder="1" applyProtection="1">
      <protection locked="0"/>
    </xf>
    <xf numFmtId="0" fontId="1" fillId="5" borderId="2" xfId="1" applyFill="1" applyBorder="1"/>
    <xf numFmtId="165" fontId="1" fillId="5" borderId="2" xfId="1" applyNumberFormat="1" applyFill="1" applyBorder="1"/>
    <xf numFmtId="165" fontId="1" fillId="5" borderId="2" xfId="1" applyNumberFormat="1" applyFill="1" applyBorder="1" applyProtection="1">
      <protection locked="0"/>
    </xf>
    <xf numFmtId="165" fontId="1" fillId="5" borderId="2" xfId="1" applyNumberFormat="1" applyFill="1" applyBorder="1" applyAlignment="1" applyProtection="1">
      <alignment horizontal="center" vertical="center"/>
      <protection locked="0"/>
    </xf>
    <xf numFmtId="167" fontId="0" fillId="5" borderId="2" xfId="2" applyFont="1" applyFill="1" applyBorder="1" applyAlignment="1" applyProtection="1">
      <alignment horizontal="center" vertical="center"/>
      <protection locked="0"/>
    </xf>
    <xf numFmtId="10" fontId="1" fillId="5" borderId="2" xfId="1" applyNumberFormat="1" applyFill="1" applyBorder="1" applyAlignment="1" applyProtection="1">
      <alignment horizontal="center" vertical="center"/>
      <protection locked="0"/>
    </xf>
    <xf numFmtId="10" fontId="0" fillId="5" borderId="2" xfId="3" applyNumberFormat="1" applyFont="1" applyFill="1" applyBorder="1" applyAlignment="1" applyProtection="1">
      <alignment horizontal="center" vertical="center"/>
      <protection locked="0"/>
    </xf>
    <xf numFmtId="0" fontId="1" fillId="5" borderId="0" xfId="1" applyFill="1" applyAlignment="1" applyProtection="1">
      <alignment horizontal="left"/>
      <protection locked="0"/>
    </xf>
    <xf numFmtId="0" fontId="1" fillId="5" borderId="2" xfId="1" applyFill="1" applyBorder="1" applyProtection="1">
      <protection locked="0"/>
    </xf>
    <xf numFmtId="0" fontId="2" fillId="5" borderId="2" xfId="1" applyFont="1" applyFill="1" applyBorder="1" applyAlignment="1" applyProtection="1">
      <alignment horizontal="center" vertical="center"/>
      <protection locked="0"/>
    </xf>
    <xf numFmtId="0" fontId="1" fillId="5" borderId="2" xfId="1" applyFill="1" applyBorder="1" applyAlignment="1" applyProtection="1">
      <alignment horizontal="center" vertical="center"/>
      <protection locked="0"/>
    </xf>
    <xf numFmtId="0" fontId="1" fillId="5" borderId="0" xfId="1" applyFill="1" applyAlignment="1" applyProtection="1">
      <alignment horizontal="center" vertical="center"/>
      <protection locked="0"/>
    </xf>
    <xf numFmtId="167" fontId="0" fillId="5" borderId="0" xfId="2" applyFont="1" applyFill="1" applyBorder="1" applyProtection="1">
      <protection locked="0"/>
    </xf>
    <xf numFmtId="0" fontId="1" fillId="5" borderId="0" xfId="1" applyFill="1" applyAlignment="1" applyProtection="1">
      <alignment horizontal="center"/>
      <protection locked="0"/>
    </xf>
    <xf numFmtId="10" fontId="1" fillId="5" borderId="0" xfId="1" applyNumberFormat="1" applyFill="1" applyProtection="1">
      <protection locked="0"/>
    </xf>
    <xf numFmtId="0" fontId="8" fillId="9" borderId="0" xfId="0" applyFont="1" applyFill="1" applyAlignment="1">
      <alignment horizontal="center" vertical="center"/>
    </xf>
    <xf numFmtId="0" fontId="8" fillId="9" borderId="15" xfId="0" applyFont="1" applyFill="1" applyBorder="1" applyAlignment="1">
      <alignment horizontal="center" vertical="center"/>
    </xf>
    <xf numFmtId="0" fontId="0" fillId="9" borderId="0" xfId="0" applyFill="1"/>
    <xf numFmtId="0" fontId="0" fillId="9" borderId="16" xfId="0" applyFill="1" applyBorder="1"/>
    <xf numFmtId="0" fontId="0" fillId="9" borderId="9" xfId="0" applyFill="1" applyBorder="1"/>
    <xf numFmtId="0" fontId="0" fillId="9" borderId="9" xfId="0" applyFill="1" applyBorder="1" applyAlignment="1">
      <alignment horizontal="center"/>
    </xf>
    <xf numFmtId="165" fontId="0" fillId="9" borderId="9" xfId="0" applyNumberFormat="1" applyFill="1" applyBorder="1"/>
    <xf numFmtId="0" fontId="0" fillId="9" borderId="15" xfId="0" applyFill="1" applyBorder="1"/>
    <xf numFmtId="0" fontId="11" fillId="9" borderId="0" xfId="0" applyFont="1" applyFill="1"/>
    <xf numFmtId="0" fontId="0" fillId="9" borderId="0" xfId="0" applyFill="1" applyAlignment="1">
      <alignment horizontal="left"/>
    </xf>
    <xf numFmtId="0" fontId="0" fillId="9" borderId="17" xfId="0" applyFill="1" applyBorder="1"/>
    <xf numFmtId="0" fontId="0" fillId="9" borderId="1" xfId="0" applyFill="1" applyBorder="1"/>
    <xf numFmtId="0" fontId="0" fillId="9" borderId="1" xfId="0" applyFill="1" applyBorder="1" applyAlignment="1">
      <alignment horizontal="center"/>
    </xf>
    <xf numFmtId="0" fontId="0" fillId="9" borderId="15" xfId="0" applyFill="1" applyBorder="1" applyAlignment="1">
      <alignment horizontal="center"/>
    </xf>
    <xf numFmtId="165" fontId="0" fillId="9" borderId="15" xfId="0" applyNumberFormat="1" applyFill="1" applyBorder="1"/>
    <xf numFmtId="0" fontId="0" fillId="9" borderId="0" xfId="0" applyFill="1" applyAlignment="1">
      <alignment horizontal="center"/>
    </xf>
    <xf numFmtId="0" fontId="14" fillId="6" borderId="2" xfId="0" applyFont="1" applyFill="1" applyBorder="1" applyAlignment="1">
      <alignment horizontal="center" vertical="center"/>
    </xf>
    <xf numFmtId="0" fontId="14" fillId="6" borderId="9" xfId="0" applyFont="1" applyFill="1" applyBorder="1" applyAlignment="1">
      <alignment horizontal="center" vertical="center"/>
    </xf>
    <xf numFmtId="0" fontId="14" fillId="6" borderId="1" xfId="0" applyFont="1" applyFill="1" applyBorder="1" applyAlignment="1" applyProtection="1">
      <alignment horizontal="center" vertical="center"/>
      <protection locked="0"/>
    </xf>
    <xf numFmtId="0" fontId="15" fillId="6" borderId="2" xfId="0" applyFont="1" applyFill="1" applyBorder="1" applyProtection="1">
      <protection locked="0"/>
    </xf>
    <xf numFmtId="0" fontId="0" fillId="6" borderId="0" xfId="0" applyFill="1" applyProtection="1">
      <protection locked="0"/>
    </xf>
    <xf numFmtId="0" fontId="16" fillId="6" borderId="0" xfId="0" applyFont="1" applyFill="1" applyProtection="1">
      <protection locked="0"/>
    </xf>
    <xf numFmtId="0" fontId="15" fillId="6" borderId="0" xfId="0" applyFont="1" applyFill="1" applyProtection="1">
      <protection locked="0"/>
    </xf>
    <xf numFmtId="14" fontId="17" fillId="6" borderId="2" xfId="0" applyNumberFormat="1" applyFont="1" applyFill="1" applyBorder="1" applyAlignment="1">
      <alignment horizontal="center"/>
    </xf>
    <xf numFmtId="0" fontId="16" fillId="6" borderId="9" xfId="0" applyFont="1" applyFill="1" applyBorder="1"/>
    <xf numFmtId="0" fontId="16" fillId="6" borderId="9" xfId="0" applyFont="1" applyFill="1" applyBorder="1" applyAlignment="1">
      <alignment horizontal="center"/>
    </xf>
    <xf numFmtId="165" fontId="16" fillId="6" borderId="9" xfId="0" applyNumberFormat="1" applyFont="1" applyFill="1" applyBorder="1"/>
    <xf numFmtId="165" fontId="16" fillId="6" borderId="1" xfId="0" applyNumberFormat="1" applyFont="1" applyFill="1" applyBorder="1" applyProtection="1">
      <protection locked="0"/>
    </xf>
    <xf numFmtId="0" fontId="16" fillId="6" borderId="2" xfId="0" applyFont="1" applyFill="1" applyBorder="1" applyProtection="1">
      <protection locked="0"/>
    </xf>
    <xf numFmtId="0" fontId="16" fillId="6" borderId="2" xfId="0" applyFont="1" applyFill="1" applyBorder="1" applyAlignment="1" applyProtection="1">
      <alignment horizontal="center"/>
      <protection locked="0"/>
    </xf>
    <xf numFmtId="9" fontId="0" fillId="6" borderId="2" xfId="0" applyNumberFormat="1" applyFill="1" applyBorder="1" applyProtection="1">
      <protection locked="0"/>
    </xf>
    <xf numFmtId="165" fontId="16" fillId="6" borderId="2" xfId="0" applyNumberFormat="1" applyFont="1" applyFill="1" applyBorder="1"/>
    <xf numFmtId="14" fontId="16" fillId="6" borderId="0" xfId="0" applyNumberFormat="1" applyFont="1" applyFill="1" applyProtection="1">
      <protection locked="0"/>
    </xf>
    <xf numFmtId="0" fontId="16" fillId="6" borderId="18" xfId="0" applyFont="1" applyFill="1" applyBorder="1" applyProtection="1">
      <protection locked="0"/>
    </xf>
    <xf numFmtId="0" fontId="16" fillId="6" borderId="19" xfId="0" applyFont="1" applyFill="1" applyBorder="1" applyProtection="1">
      <protection locked="0"/>
    </xf>
    <xf numFmtId="0" fontId="16" fillId="6" borderId="13" xfId="0" applyFont="1" applyFill="1" applyBorder="1"/>
    <xf numFmtId="0" fontId="16" fillId="6" borderId="13" xfId="0" applyFont="1" applyFill="1" applyBorder="1" applyAlignment="1">
      <alignment horizontal="center"/>
    </xf>
    <xf numFmtId="165" fontId="16" fillId="6" borderId="13" xfId="0" applyNumberFormat="1" applyFont="1" applyFill="1" applyBorder="1"/>
    <xf numFmtId="0" fontId="0" fillId="6" borderId="0" xfId="0" applyFill="1" applyAlignment="1" applyProtection="1">
      <alignment horizontal="center"/>
      <protection locked="0"/>
    </xf>
    <xf numFmtId="0" fontId="14" fillId="9" borderId="20" xfId="0" applyFont="1" applyFill="1" applyBorder="1" applyAlignment="1">
      <alignment horizontal="center" vertical="center"/>
    </xf>
    <xf numFmtId="0" fontId="14" fillId="9" borderId="21" xfId="0" applyFont="1" applyFill="1" applyBorder="1" applyAlignment="1">
      <alignment horizontal="center" vertical="center"/>
    </xf>
    <xf numFmtId="0" fontId="14" fillId="9" borderId="22" xfId="0" applyFont="1" applyFill="1" applyBorder="1" applyAlignment="1">
      <alignment horizontal="center" vertical="center"/>
    </xf>
    <xf numFmtId="0" fontId="14" fillId="9" borderId="23" xfId="0" applyFont="1" applyFill="1" applyBorder="1" applyAlignment="1">
      <alignment horizontal="center" vertical="center"/>
    </xf>
    <xf numFmtId="0" fontId="14" fillId="9" borderId="18" xfId="0" applyFont="1" applyFill="1" applyBorder="1" applyAlignment="1">
      <alignment horizontal="center" vertical="center"/>
    </xf>
    <xf numFmtId="14" fontId="17" fillId="9" borderId="24" xfId="0" applyNumberFormat="1" applyFont="1" applyFill="1" applyBorder="1" applyAlignment="1">
      <alignment horizontal="center"/>
    </xf>
    <xf numFmtId="14" fontId="17" fillId="9" borderId="0" xfId="0" applyNumberFormat="1" applyFont="1" applyFill="1" applyAlignment="1">
      <alignment horizontal="center"/>
    </xf>
    <xf numFmtId="0" fontId="16" fillId="9" borderId="15" xfId="0" applyFont="1" applyFill="1" applyBorder="1" applyAlignment="1">
      <alignment horizontal="center"/>
    </xf>
    <xf numFmtId="165" fontId="16" fillId="9" borderId="15" xfId="0" applyNumberFormat="1" applyFont="1" applyFill="1" applyBorder="1"/>
    <xf numFmtId="165" fontId="16" fillId="9" borderId="14" xfId="0" applyNumberFormat="1" applyFont="1" applyFill="1" applyBorder="1" applyAlignment="1">
      <alignment horizontal="center"/>
    </xf>
    <xf numFmtId="165" fontId="16" fillId="9" borderId="15" xfId="0" applyNumberFormat="1" applyFont="1" applyFill="1" applyBorder="1" applyAlignment="1">
      <alignment horizontal="center"/>
    </xf>
    <xf numFmtId="165" fontId="17" fillId="9" borderId="25" xfId="0" applyNumberFormat="1" applyFont="1" applyFill="1" applyBorder="1" applyAlignment="1">
      <alignment horizontal="center" vertical="center"/>
    </xf>
    <xf numFmtId="14" fontId="17" fillId="9" borderId="5" xfId="0" applyNumberFormat="1" applyFont="1" applyFill="1" applyBorder="1" applyAlignment="1">
      <alignment horizontal="center"/>
    </xf>
    <xf numFmtId="14" fontId="17" fillId="9" borderId="16" xfId="0" applyNumberFormat="1" applyFont="1" applyFill="1" applyBorder="1" applyAlignment="1">
      <alignment horizontal="center"/>
    </xf>
    <xf numFmtId="0" fontId="16" fillId="9" borderId="9" xfId="0" applyFont="1" applyFill="1" applyBorder="1" applyAlignment="1">
      <alignment horizontal="center"/>
    </xf>
    <xf numFmtId="165" fontId="16" fillId="9" borderId="9" xfId="0" applyNumberFormat="1" applyFont="1" applyFill="1" applyBorder="1"/>
    <xf numFmtId="165" fontId="16" fillId="9" borderId="1" xfId="0" applyNumberFormat="1" applyFont="1" applyFill="1" applyBorder="1" applyAlignment="1">
      <alignment horizontal="center"/>
    </xf>
    <xf numFmtId="165" fontId="16" fillId="9" borderId="9" xfId="0" applyNumberFormat="1" applyFont="1" applyFill="1" applyBorder="1" applyAlignment="1">
      <alignment horizontal="center"/>
    </xf>
    <xf numFmtId="165" fontId="17" fillId="9" borderId="13" xfId="0" applyNumberFormat="1" applyFont="1" applyFill="1" applyBorder="1" applyAlignment="1">
      <alignment horizontal="center" vertical="center"/>
    </xf>
    <xf numFmtId="0" fontId="0" fillId="0" borderId="0" xfId="0" applyAlignment="1">
      <alignment horizontal="left"/>
    </xf>
    <xf numFmtId="165" fontId="0" fillId="0" borderId="0" xfId="0" applyNumberFormat="1"/>
    <xf numFmtId="14" fontId="17" fillId="9" borderId="7" xfId="0" applyNumberFormat="1" applyFont="1" applyFill="1" applyBorder="1" applyAlignment="1">
      <alignment horizontal="center"/>
    </xf>
    <xf numFmtId="165" fontId="17" fillId="9" borderId="9" xfId="0" applyNumberFormat="1" applyFont="1" applyFill="1" applyBorder="1" applyAlignment="1">
      <alignment horizontal="center" vertical="center"/>
    </xf>
    <xf numFmtId="0" fontId="16" fillId="9" borderId="0" xfId="0" applyFont="1" applyFill="1"/>
    <xf numFmtId="0" fontId="16" fillId="9" borderId="0" xfId="0" applyFont="1" applyFill="1" applyAlignment="1">
      <alignment horizontal="center"/>
    </xf>
    <xf numFmtId="0" fontId="0" fillId="8" borderId="0" xfId="0" applyFill="1" applyAlignment="1">
      <alignment horizontal="center" vertical="center"/>
    </xf>
    <xf numFmtId="0" fontId="15" fillId="8" borderId="2" xfId="0" applyFont="1" applyFill="1" applyBorder="1" applyAlignment="1">
      <alignment horizontal="left"/>
    </xf>
    <xf numFmtId="168" fontId="2" fillId="8" borderId="2" xfId="0" applyNumberFormat="1" applyFont="1" applyFill="1" applyBorder="1" applyAlignment="1">
      <alignment horizontal="left"/>
    </xf>
    <xf numFmtId="0" fontId="2" fillId="8" borderId="0" xfId="0" applyFont="1" applyFill="1"/>
    <xf numFmtId="0" fontId="0" fillId="8" borderId="0" xfId="0" applyFill="1"/>
    <xf numFmtId="9" fontId="2" fillId="8" borderId="2" xfId="0" applyNumberFormat="1" applyFont="1" applyFill="1" applyBorder="1" applyAlignment="1">
      <alignment horizontal="left"/>
    </xf>
    <xf numFmtId="165" fontId="0" fillId="8" borderId="0" xfId="0" applyNumberFormat="1" applyFill="1"/>
    <xf numFmtId="167" fontId="0" fillId="8" borderId="0" xfId="4" applyFont="1" applyFill="1"/>
    <xf numFmtId="0" fontId="2" fillId="8" borderId="0" xfId="0" applyFont="1" applyFill="1" applyAlignment="1">
      <alignment horizontal="left" vertical="center"/>
    </xf>
    <xf numFmtId="164" fontId="2" fillId="8" borderId="2" xfId="0" applyNumberFormat="1" applyFont="1" applyFill="1" applyBorder="1" applyAlignment="1">
      <alignment horizontal="left"/>
    </xf>
    <xf numFmtId="0" fontId="18" fillId="8" borderId="0" xfId="0" applyFont="1" applyFill="1"/>
    <xf numFmtId="0" fontId="15" fillId="8" borderId="2" xfId="0" applyFont="1" applyFill="1" applyBorder="1" applyAlignment="1">
      <alignment horizontal="left" vertical="center" wrapText="1"/>
    </xf>
    <xf numFmtId="169" fontId="2" fillId="8" borderId="2" xfId="0" applyNumberFormat="1" applyFont="1" applyFill="1" applyBorder="1" applyAlignment="1">
      <alignment horizontal="left" vertical="center"/>
    </xf>
    <xf numFmtId="0" fontId="0" fillId="8" borderId="0" xfId="0" applyFill="1" applyAlignment="1">
      <alignment vertical="center"/>
    </xf>
    <xf numFmtId="168" fontId="2" fillId="8" borderId="2" xfId="0" applyNumberFormat="1" applyFont="1" applyFill="1" applyBorder="1" applyAlignment="1">
      <alignment horizontal="center" vertical="center" wrapText="1"/>
    </xf>
    <xf numFmtId="9" fontId="0" fillId="8" borderId="0" xfId="5" applyFont="1" applyFill="1"/>
    <xf numFmtId="0" fontId="2" fillId="8" borderId="30" xfId="0" applyFont="1" applyFill="1" applyBorder="1" applyAlignment="1">
      <alignment horizontal="center"/>
    </xf>
    <xf numFmtId="0" fontId="2" fillId="8" borderId="31" xfId="0" applyFont="1" applyFill="1" applyBorder="1" applyAlignment="1">
      <alignment horizontal="center"/>
    </xf>
    <xf numFmtId="0" fontId="2" fillId="8" borderId="27" xfId="0" applyFont="1" applyFill="1" applyBorder="1" applyAlignment="1">
      <alignment horizontal="center"/>
    </xf>
    <xf numFmtId="0" fontId="2" fillId="8" borderId="32" xfId="0" applyFont="1" applyFill="1" applyBorder="1" applyAlignment="1">
      <alignment horizontal="center" vertical="center"/>
    </xf>
    <xf numFmtId="0" fontId="2" fillId="8" borderId="33" xfId="0" applyFont="1" applyFill="1" applyBorder="1" applyAlignment="1">
      <alignment horizontal="center" vertical="center" wrapText="1"/>
    </xf>
    <xf numFmtId="0" fontId="2" fillId="8" borderId="34" xfId="0" applyFont="1" applyFill="1" applyBorder="1" applyAlignment="1">
      <alignment horizontal="center" vertical="center" wrapText="1"/>
    </xf>
    <xf numFmtId="0" fontId="2" fillId="8" borderId="5" xfId="0" applyFont="1" applyFill="1" applyBorder="1" applyAlignment="1">
      <alignment horizontal="center" vertical="center"/>
    </xf>
    <xf numFmtId="168" fontId="0" fillId="8" borderId="2" xfId="0" applyNumberFormat="1" applyFill="1" applyBorder="1"/>
    <xf numFmtId="0" fontId="2" fillId="8" borderId="2" xfId="0" applyFont="1" applyFill="1" applyBorder="1" applyAlignment="1">
      <alignment horizontal="center" vertical="center" wrapText="1"/>
    </xf>
    <xf numFmtId="169" fontId="2" fillId="8" borderId="2" xfId="0" applyNumberFormat="1" applyFont="1" applyFill="1" applyBorder="1" applyAlignment="1">
      <alignment horizontal="center" vertical="center" wrapText="1"/>
    </xf>
    <xf numFmtId="168" fontId="2" fillId="8" borderId="6" xfId="0" applyNumberFormat="1" applyFont="1" applyFill="1" applyBorder="1" applyAlignment="1">
      <alignment horizontal="center" vertical="center" wrapText="1"/>
    </xf>
    <xf numFmtId="0" fontId="0" fillId="8" borderId="24" xfId="0" applyFill="1" applyBorder="1" applyAlignment="1">
      <alignment horizontal="center" vertical="center"/>
    </xf>
    <xf numFmtId="168" fontId="0" fillId="8" borderId="12" xfId="0" applyNumberFormat="1" applyFill="1" applyBorder="1"/>
    <xf numFmtId="167" fontId="0" fillId="8" borderId="12" xfId="0" applyNumberFormat="1" applyFill="1" applyBorder="1" applyAlignment="1">
      <alignment horizontal="left"/>
    </xf>
    <xf numFmtId="165" fontId="0" fillId="8" borderId="12" xfId="0" applyNumberFormat="1" applyFill="1" applyBorder="1"/>
    <xf numFmtId="170" fontId="0" fillId="8" borderId="35" xfId="0" applyNumberFormat="1" applyFill="1" applyBorder="1"/>
    <xf numFmtId="0" fontId="0" fillId="8" borderId="5" xfId="0" applyFill="1" applyBorder="1" applyAlignment="1">
      <alignment horizontal="center" vertical="center"/>
    </xf>
    <xf numFmtId="171" fontId="0" fillId="8" borderId="0" xfId="6" applyFont="1" applyFill="1"/>
    <xf numFmtId="14" fontId="0" fillId="8" borderId="0" xfId="0" applyNumberFormat="1" applyFill="1"/>
    <xf numFmtId="171" fontId="0" fillId="8" borderId="0" xfId="0" applyNumberFormat="1" applyFill="1"/>
    <xf numFmtId="0" fontId="0" fillId="8" borderId="7" xfId="0" applyFill="1" applyBorder="1" applyAlignment="1">
      <alignment horizontal="center" vertical="center"/>
    </xf>
    <xf numFmtId="167" fontId="0" fillId="8" borderId="0" xfId="0" applyNumberFormat="1" applyFill="1"/>
    <xf numFmtId="0" fontId="1" fillId="8" borderId="0" xfId="1" applyFill="1"/>
    <xf numFmtId="0" fontId="2" fillId="8" borderId="2" xfId="1" applyFont="1" applyFill="1" applyBorder="1" applyAlignment="1">
      <alignment horizontal="center" vertical="center"/>
    </xf>
    <xf numFmtId="0" fontId="1" fillId="8" borderId="0" xfId="1" applyFill="1" applyAlignment="1">
      <alignment horizontal="center" vertical="center"/>
    </xf>
    <xf numFmtId="0" fontId="20" fillId="8" borderId="2" xfId="1" applyFont="1" applyFill="1" applyBorder="1" applyAlignment="1">
      <alignment horizontal="center" vertical="center"/>
    </xf>
    <xf numFmtId="167" fontId="20" fillId="8" borderId="2" xfId="2" applyFont="1" applyFill="1" applyBorder="1" applyAlignment="1">
      <alignment horizontal="center" vertical="center"/>
    </xf>
    <xf numFmtId="0" fontId="20" fillId="8" borderId="2" xfId="1" applyFont="1" applyFill="1" applyBorder="1"/>
    <xf numFmtId="0" fontId="20" fillId="8" borderId="0" xfId="1" applyFont="1" applyFill="1"/>
    <xf numFmtId="0" fontId="21" fillId="8" borderId="2" xfId="1" applyFont="1" applyFill="1" applyBorder="1" applyAlignment="1">
      <alignment horizontal="center" vertical="center"/>
    </xf>
    <xf numFmtId="0" fontId="22" fillId="8" borderId="2" xfId="1" applyFont="1" applyFill="1" applyBorder="1" applyAlignment="1">
      <alignment horizontal="center" vertical="center"/>
    </xf>
    <xf numFmtId="0" fontId="23" fillId="2" borderId="0" xfId="7" applyFill="1"/>
    <xf numFmtId="0" fontId="1" fillId="2" borderId="0" xfId="1" applyFill="1"/>
    <xf numFmtId="0" fontId="13" fillId="2" borderId="0" xfId="1" applyFont="1" applyFill="1" applyAlignment="1">
      <alignment vertical="center"/>
    </xf>
    <xf numFmtId="0" fontId="13" fillId="2" borderId="2" xfId="1" applyFont="1" applyFill="1" applyBorder="1" applyAlignment="1">
      <alignment vertical="center"/>
    </xf>
    <xf numFmtId="0" fontId="24" fillId="2" borderId="2" xfId="1" applyFont="1" applyFill="1" applyBorder="1"/>
    <xf numFmtId="0" fontId="1" fillId="0" borderId="0" xfId="1"/>
    <xf numFmtId="0" fontId="1" fillId="9" borderId="0" xfId="1" applyFill="1"/>
    <xf numFmtId="0" fontId="1" fillId="9" borderId="2" xfId="1" applyFill="1" applyBorder="1" applyAlignment="1">
      <alignment horizontal="center" vertical="center"/>
    </xf>
    <xf numFmtId="0" fontId="2" fillId="9" borderId="2" xfId="1" applyFont="1" applyFill="1" applyBorder="1" applyAlignment="1">
      <alignment horizontal="center"/>
    </xf>
    <xf numFmtId="0" fontId="2" fillId="9" borderId="2" xfId="1" applyFont="1" applyFill="1" applyBorder="1" applyAlignment="1">
      <alignment horizontal="center" vertical="center"/>
    </xf>
    <xf numFmtId="0" fontId="1" fillId="9" borderId="2" xfId="1" applyFill="1" applyBorder="1" applyAlignment="1">
      <alignment horizontal="center"/>
    </xf>
    <xf numFmtId="0" fontId="1" fillId="9" borderId="2" xfId="1" applyFill="1" applyBorder="1"/>
    <xf numFmtId="0" fontId="1" fillId="9" borderId="0" xfId="1" applyFill="1" applyAlignment="1">
      <alignment horizontal="center" vertical="center"/>
    </xf>
    <xf numFmtId="0" fontId="2" fillId="9" borderId="2" xfId="1" applyFont="1" applyFill="1" applyBorder="1"/>
    <xf numFmtId="0" fontId="4" fillId="4" borderId="1" xfId="1" applyFont="1" applyFill="1" applyBorder="1" applyAlignment="1">
      <alignment vertical="center"/>
    </xf>
    <xf numFmtId="0" fontId="4" fillId="4" borderId="2" xfId="1" applyFont="1" applyFill="1" applyBorder="1" applyAlignment="1">
      <alignment horizontal="center" vertical="center"/>
    </xf>
    <xf numFmtId="0" fontId="5" fillId="3" borderId="0" xfId="1" applyFont="1" applyFill="1"/>
    <xf numFmtId="0" fontId="5" fillId="10" borderId="36" xfId="1" applyFont="1" applyFill="1" applyBorder="1"/>
    <xf numFmtId="0" fontId="5" fillId="10" borderId="26" xfId="1" applyFont="1" applyFill="1" applyBorder="1"/>
    <xf numFmtId="0" fontId="5" fillId="10" borderId="28" xfId="1" applyFont="1" applyFill="1" applyBorder="1"/>
    <xf numFmtId="0" fontId="4" fillId="11" borderId="2" xfId="1" applyFont="1" applyFill="1" applyBorder="1"/>
    <xf numFmtId="0" fontId="25" fillId="11" borderId="2" xfId="1" applyFont="1" applyFill="1" applyBorder="1"/>
    <xf numFmtId="2" fontId="4" fillId="12" borderId="2" xfId="1" applyNumberFormat="1" applyFont="1" applyFill="1" applyBorder="1" applyAlignment="1">
      <alignment horizontal="center"/>
    </xf>
    <xf numFmtId="1" fontId="4" fillId="11" borderId="2" xfId="1" applyNumberFormat="1" applyFont="1" applyFill="1" applyBorder="1" applyAlignment="1">
      <alignment horizontal="center" vertical="center"/>
    </xf>
    <xf numFmtId="0" fontId="4" fillId="12" borderId="2" xfId="1" applyFont="1" applyFill="1" applyBorder="1" applyAlignment="1">
      <alignment horizontal="center"/>
    </xf>
    <xf numFmtId="0" fontId="5" fillId="10" borderId="37" xfId="1" applyFont="1" applyFill="1" applyBorder="1"/>
    <xf numFmtId="0" fontId="5" fillId="10" borderId="0" xfId="1" applyFont="1" applyFill="1"/>
    <xf numFmtId="0" fontId="5" fillId="10" borderId="29" xfId="1" applyFont="1" applyFill="1" applyBorder="1"/>
    <xf numFmtId="0" fontId="5" fillId="11" borderId="2" xfId="1" applyFont="1" applyFill="1" applyBorder="1"/>
    <xf numFmtId="0" fontId="6" fillId="11" borderId="2" xfId="1" applyFont="1" applyFill="1" applyBorder="1"/>
    <xf numFmtId="1" fontId="5" fillId="11" borderId="2" xfId="1" applyNumberFormat="1" applyFont="1" applyFill="1" applyBorder="1" applyAlignment="1">
      <alignment horizontal="center" vertical="center"/>
    </xf>
    <xf numFmtId="0" fontId="5" fillId="10" borderId="38" xfId="1" applyFont="1" applyFill="1" applyBorder="1"/>
    <xf numFmtId="0" fontId="5" fillId="10" borderId="21" xfId="1" applyFont="1" applyFill="1" applyBorder="1"/>
    <xf numFmtId="0" fontId="5" fillId="10" borderId="39" xfId="1" applyFont="1" applyFill="1" applyBorder="1"/>
    <xf numFmtId="0" fontId="5" fillId="4" borderId="0" xfId="1" applyFont="1" applyFill="1"/>
    <xf numFmtId="2" fontId="5" fillId="3" borderId="0" xfId="1" applyNumberFormat="1" applyFont="1" applyFill="1"/>
    <xf numFmtId="0" fontId="5" fillId="3" borderId="0" xfId="1" applyFont="1" applyFill="1" applyAlignment="1">
      <alignment horizontal="right"/>
    </xf>
    <xf numFmtId="172" fontId="5" fillId="3" borderId="0" xfId="1" applyNumberFormat="1" applyFont="1" applyFill="1"/>
    <xf numFmtId="0" fontId="5" fillId="3" borderId="0" xfId="1" applyFont="1" applyFill="1" applyAlignment="1">
      <alignment horizontal="center"/>
    </xf>
    <xf numFmtId="0" fontId="0" fillId="13" borderId="0" xfId="0" applyFill="1" applyProtection="1">
      <protection locked="0"/>
    </xf>
    <xf numFmtId="0" fontId="0" fillId="13" borderId="0" xfId="0" applyFill="1" applyAlignment="1" applyProtection="1">
      <alignment horizontal="center" vertical="center"/>
      <protection locked="0"/>
    </xf>
    <xf numFmtId="9" fontId="0" fillId="13" borderId="0" xfId="5" applyFont="1" applyFill="1" applyProtection="1">
      <protection locked="0"/>
    </xf>
    <xf numFmtId="0" fontId="11" fillId="14" borderId="36" xfId="0" applyFont="1" applyFill="1" applyBorder="1" applyProtection="1">
      <protection locked="0"/>
    </xf>
    <xf numFmtId="0" fontId="11" fillId="14" borderId="26" xfId="0" applyFont="1" applyFill="1" applyBorder="1" applyAlignment="1" applyProtection="1">
      <alignment horizontal="center" vertical="center"/>
      <protection locked="0"/>
    </xf>
    <xf numFmtId="0" fontId="11" fillId="14" borderId="26" xfId="0" applyFont="1" applyFill="1" applyBorder="1" applyProtection="1">
      <protection locked="0"/>
    </xf>
    <xf numFmtId="9" fontId="11" fillId="14" borderId="26" xfId="5" applyFont="1" applyFill="1" applyBorder="1" applyProtection="1">
      <protection locked="0"/>
    </xf>
    <xf numFmtId="0" fontId="11" fillId="14" borderId="28" xfId="0" applyFont="1" applyFill="1" applyBorder="1" applyProtection="1">
      <protection locked="0"/>
    </xf>
    <xf numFmtId="0" fontId="11" fillId="14" borderId="37" xfId="0" applyFont="1" applyFill="1" applyBorder="1" applyProtection="1">
      <protection locked="0"/>
    </xf>
    <xf numFmtId="0" fontId="11" fillId="14" borderId="0" xfId="0" applyFont="1" applyFill="1" applyAlignment="1" applyProtection="1">
      <alignment horizontal="center" vertical="center"/>
      <protection locked="0"/>
    </xf>
    <xf numFmtId="0" fontId="11" fillId="14" borderId="0" xfId="0" applyFont="1" applyFill="1" applyProtection="1">
      <protection locked="0"/>
    </xf>
    <xf numFmtId="9" fontId="11" fillId="14" borderId="0" xfId="5" applyFont="1" applyFill="1" applyBorder="1" applyProtection="1">
      <protection locked="0"/>
    </xf>
    <xf numFmtId="0" fontId="11" fillId="14" borderId="29" xfId="0" applyFont="1" applyFill="1" applyBorder="1" applyProtection="1">
      <protection locked="0"/>
    </xf>
    <xf numFmtId="0" fontId="11" fillId="14" borderId="38" xfId="0" applyFont="1" applyFill="1" applyBorder="1" applyProtection="1">
      <protection locked="0"/>
    </xf>
    <xf numFmtId="0" fontId="11" fillId="14" borderId="21" xfId="0" applyFont="1" applyFill="1" applyBorder="1" applyAlignment="1" applyProtection="1">
      <alignment horizontal="center" vertical="center"/>
      <protection locked="0"/>
    </xf>
    <xf numFmtId="0" fontId="11" fillId="14" borderId="21" xfId="0" applyFont="1" applyFill="1" applyBorder="1" applyProtection="1">
      <protection locked="0"/>
    </xf>
    <xf numFmtId="9" fontId="11" fillId="14" borderId="21" xfId="5" applyFont="1" applyFill="1" applyBorder="1" applyProtection="1">
      <protection locked="0"/>
    </xf>
    <xf numFmtId="0" fontId="11" fillId="14" borderId="39" xfId="0" applyFont="1" applyFill="1" applyBorder="1" applyProtection="1">
      <protection locked="0"/>
    </xf>
    <xf numFmtId="0" fontId="11" fillId="13" borderId="0" xfId="0" applyFont="1" applyFill="1" applyProtection="1">
      <protection locked="0"/>
    </xf>
    <xf numFmtId="0" fontId="11" fillId="13" borderId="0" xfId="0" applyFont="1" applyFill="1" applyAlignment="1" applyProtection="1">
      <alignment horizontal="center" vertical="center"/>
      <protection locked="0"/>
    </xf>
    <xf numFmtId="14" fontId="11" fillId="13" borderId="0" xfId="6" applyNumberFormat="1" applyFont="1" applyFill="1" applyProtection="1">
      <protection locked="0"/>
    </xf>
    <xf numFmtId="0" fontId="11" fillId="15" borderId="2" xfId="0" applyFont="1" applyFill="1" applyBorder="1" applyAlignment="1">
      <alignment horizontal="center" vertical="center" wrapText="1"/>
    </xf>
    <xf numFmtId="0" fontId="0" fillId="4" borderId="2" xfId="0" applyFill="1" applyBorder="1" applyAlignment="1" applyProtection="1">
      <alignment horizontal="center" vertical="center" wrapText="1"/>
      <protection locked="0"/>
    </xf>
    <xf numFmtId="9" fontId="0" fillId="4" borderId="2" xfId="5" applyFont="1" applyFill="1" applyBorder="1" applyAlignment="1" applyProtection="1">
      <alignment horizontal="center" vertical="center" wrapText="1"/>
      <protection locked="0"/>
    </xf>
    <xf numFmtId="0" fontId="0" fillId="16" borderId="30" xfId="0" applyFill="1" applyBorder="1" applyAlignment="1" applyProtection="1">
      <alignment horizontal="left" vertical="center" wrapText="1"/>
      <protection locked="0"/>
    </xf>
    <xf numFmtId="0" fontId="0" fillId="16" borderId="31" xfId="0" applyFill="1" applyBorder="1" applyProtection="1">
      <protection locked="0"/>
    </xf>
    <xf numFmtId="0" fontId="0" fillId="16" borderId="27" xfId="0" applyFill="1" applyBorder="1" applyProtection="1">
      <protection locked="0"/>
    </xf>
    <xf numFmtId="0" fontId="11" fillId="17" borderId="2" xfId="0" applyFont="1" applyFill="1" applyBorder="1"/>
    <xf numFmtId="0" fontId="11" fillId="17" borderId="2" xfId="0" applyFont="1" applyFill="1" applyBorder="1" applyAlignment="1">
      <alignment horizontal="center" vertical="center"/>
    </xf>
    <xf numFmtId="167" fontId="11" fillId="17" borderId="2" xfId="4" applyFont="1" applyFill="1" applyBorder="1" applyProtection="1"/>
    <xf numFmtId="14" fontId="11" fillId="17" borderId="2" xfId="0" applyNumberFormat="1" applyFont="1" applyFill="1" applyBorder="1"/>
    <xf numFmtId="0" fontId="11" fillId="18" borderId="2" xfId="0" applyFont="1" applyFill="1" applyBorder="1" applyAlignment="1" applyProtection="1">
      <alignment horizontal="center"/>
      <protection hidden="1"/>
    </xf>
    <xf numFmtId="9" fontId="11" fillId="18" borderId="2" xfId="5" applyFont="1" applyFill="1" applyBorder="1" applyAlignment="1" applyProtection="1">
      <alignment horizontal="center"/>
      <protection hidden="1"/>
    </xf>
    <xf numFmtId="2" fontId="11" fillId="18" borderId="2" xfId="0" applyNumberFormat="1" applyFont="1" applyFill="1" applyBorder="1" applyAlignment="1" applyProtection="1">
      <alignment horizontal="center"/>
      <protection hidden="1"/>
    </xf>
    <xf numFmtId="0" fontId="0" fillId="9" borderId="36" xfId="0" applyFill="1" applyBorder="1" applyProtection="1">
      <protection locked="0"/>
    </xf>
    <xf numFmtId="0" fontId="0" fillId="9" borderId="26" xfId="0" applyFill="1" applyBorder="1" applyProtection="1">
      <protection locked="0"/>
    </xf>
    <xf numFmtId="0" fontId="0" fillId="9" borderId="28" xfId="0" applyFill="1" applyBorder="1" applyProtection="1">
      <protection locked="0"/>
    </xf>
    <xf numFmtId="0" fontId="0" fillId="17" borderId="2" xfId="0" applyFill="1" applyBorder="1"/>
    <xf numFmtId="0" fontId="0" fillId="17" borderId="2" xfId="0" applyFill="1" applyBorder="1" applyAlignment="1">
      <alignment horizontal="center" vertical="center"/>
    </xf>
    <xf numFmtId="167" fontId="0" fillId="17" borderId="2" xfId="4" applyFont="1" applyFill="1" applyBorder="1" applyProtection="1"/>
    <xf numFmtId="14" fontId="0" fillId="17" borderId="2" xfId="0" applyNumberFormat="1" applyFill="1" applyBorder="1"/>
    <xf numFmtId="0" fontId="11" fillId="18" borderId="2" xfId="0" applyFont="1" applyFill="1" applyBorder="1" applyAlignment="1" applyProtection="1">
      <alignment horizontal="center"/>
      <protection locked="0"/>
    </xf>
    <xf numFmtId="9" fontId="11" fillId="18" borderId="2" xfId="5" applyFont="1" applyFill="1" applyBorder="1" applyAlignment="1" applyProtection="1">
      <alignment horizontal="center"/>
      <protection locked="0"/>
    </xf>
    <xf numFmtId="43" fontId="11" fillId="18" borderId="2" xfId="0" applyNumberFormat="1" applyFont="1" applyFill="1" applyBorder="1" applyAlignment="1" applyProtection="1">
      <alignment horizontal="center"/>
      <protection locked="0"/>
    </xf>
    <xf numFmtId="0" fontId="0" fillId="9" borderId="37" xfId="0" applyFill="1" applyBorder="1" applyProtection="1">
      <protection locked="0"/>
    </xf>
    <xf numFmtId="0" fontId="0" fillId="9" borderId="0" xfId="0" applyFill="1" applyProtection="1">
      <protection locked="0"/>
    </xf>
    <xf numFmtId="0" fontId="0" fillId="9" borderId="29" xfId="0" applyFill="1" applyBorder="1" applyProtection="1">
      <protection locked="0"/>
    </xf>
    <xf numFmtId="0" fontId="0" fillId="9" borderId="38" xfId="0" applyFill="1" applyBorder="1" applyProtection="1">
      <protection locked="0"/>
    </xf>
    <xf numFmtId="0" fontId="0" fillId="9" borderId="21" xfId="0" applyFill="1" applyBorder="1" applyProtection="1">
      <protection locked="0"/>
    </xf>
    <xf numFmtId="0" fontId="0" fillId="9" borderId="39" xfId="0" applyFill="1" applyBorder="1" applyProtection="1">
      <protection locked="0"/>
    </xf>
    <xf numFmtId="0" fontId="11" fillId="19" borderId="36" xfId="0" applyFont="1" applyFill="1" applyBorder="1" applyProtection="1">
      <protection locked="0"/>
    </xf>
    <xf numFmtId="0" fontId="11" fillId="19" borderId="26" xfId="0" applyFont="1" applyFill="1" applyBorder="1" applyProtection="1">
      <protection locked="0"/>
    </xf>
    <xf numFmtId="0" fontId="0" fillId="19" borderId="28" xfId="0" applyFill="1" applyBorder="1" applyProtection="1">
      <protection locked="0"/>
    </xf>
    <xf numFmtId="0" fontId="11" fillId="19" borderId="37" xfId="0" applyFont="1" applyFill="1" applyBorder="1" applyProtection="1">
      <protection locked="0"/>
    </xf>
    <xf numFmtId="0" fontId="11" fillId="19" borderId="0" xfId="0" applyFont="1" applyFill="1" applyProtection="1">
      <protection locked="0"/>
    </xf>
    <xf numFmtId="0" fontId="0" fillId="19" borderId="29" xfId="0" applyFill="1" applyBorder="1" applyProtection="1">
      <protection locked="0"/>
    </xf>
    <xf numFmtId="0" fontId="11" fillId="19" borderId="38" xfId="0" applyFont="1" applyFill="1" applyBorder="1" applyProtection="1">
      <protection locked="0"/>
    </xf>
    <xf numFmtId="0" fontId="11" fillId="19" borderId="21" xfId="0" applyFont="1" applyFill="1" applyBorder="1" applyProtection="1">
      <protection locked="0"/>
    </xf>
    <xf numFmtId="0" fontId="0" fillId="19" borderId="39" xfId="0" applyFill="1" applyBorder="1" applyProtection="1">
      <protection locked="0"/>
    </xf>
    <xf numFmtId="0" fontId="11" fillId="20" borderId="32" xfId="0" applyFont="1" applyFill="1" applyBorder="1" applyAlignment="1">
      <alignment horizontal="center" vertical="center"/>
    </xf>
    <xf numFmtId="0" fontId="11" fillId="20" borderId="33" xfId="0" applyFont="1" applyFill="1" applyBorder="1" applyAlignment="1">
      <alignment horizontal="center" vertical="center"/>
    </xf>
    <xf numFmtId="0" fontId="28" fillId="21" borderId="33" xfId="0" applyFont="1" applyFill="1" applyBorder="1" applyAlignment="1">
      <alignment horizontal="center" vertical="center"/>
    </xf>
    <xf numFmtId="0" fontId="28" fillId="4" borderId="33" xfId="0" applyFont="1" applyFill="1" applyBorder="1" applyAlignment="1">
      <alignment horizontal="center" vertical="center"/>
    </xf>
    <xf numFmtId="0" fontId="28" fillId="22" borderId="33" xfId="0" applyFont="1" applyFill="1" applyBorder="1" applyAlignment="1">
      <alignment horizontal="center" vertical="center"/>
    </xf>
    <xf numFmtId="0" fontId="11" fillId="23" borderId="33" xfId="0" applyFont="1" applyFill="1" applyBorder="1" applyAlignment="1" applyProtection="1">
      <alignment horizontal="center" vertical="center"/>
      <protection locked="0"/>
    </xf>
    <xf numFmtId="0" fontId="11" fillId="23" borderId="34" xfId="0" applyFont="1" applyFill="1" applyBorder="1" applyAlignment="1" applyProtection="1">
      <alignment horizontal="center" vertical="center"/>
      <protection locked="0"/>
    </xf>
    <xf numFmtId="0" fontId="11" fillId="24" borderId="30" xfId="0" applyFont="1" applyFill="1" applyBorder="1" applyAlignment="1" applyProtection="1">
      <alignment horizontal="center"/>
      <protection locked="0"/>
    </xf>
    <xf numFmtId="0" fontId="11" fillId="24" borderId="27" xfId="0" applyFont="1" applyFill="1" applyBorder="1" applyAlignment="1" applyProtection="1">
      <alignment horizontal="center"/>
      <protection locked="0"/>
    </xf>
    <xf numFmtId="0" fontId="11" fillId="20" borderId="40" xfId="0" applyFont="1" applyFill="1" applyBorder="1" applyAlignment="1">
      <alignment horizontal="center" vertical="center"/>
    </xf>
    <xf numFmtId="0" fontId="11" fillId="20" borderId="23" xfId="0" applyFont="1" applyFill="1" applyBorder="1" applyAlignment="1">
      <alignment horizontal="center" vertical="center"/>
    </xf>
    <xf numFmtId="0" fontId="28" fillId="21" borderId="23" xfId="0" applyFont="1" applyFill="1" applyBorder="1" applyAlignment="1">
      <alignment horizontal="center" vertical="center"/>
    </xf>
    <xf numFmtId="0" fontId="28" fillId="4" borderId="23" xfId="0" applyFont="1" applyFill="1" applyBorder="1" applyAlignment="1">
      <alignment horizontal="center" vertical="center"/>
    </xf>
    <xf numFmtId="0" fontId="28" fillId="22" borderId="23" xfId="0" applyFont="1" applyFill="1" applyBorder="1" applyAlignment="1">
      <alignment horizontal="center" vertical="center"/>
    </xf>
    <xf numFmtId="0" fontId="11" fillId="23" borderId="23" xfId="0" applyFont="1" applyFill="1" applyBorder="1" applyAlignment="1" applyProtection="1">
      <alignment horizontal="center" vertical="center"/>
      <protection locked="0"/>
    </xf>
    <xf numFmtId="0" fontId="11" fillId="23" borderId="41" xfId="0" applyFont="1" applyFill="1" applyBorder="1" applyAlignment="1" applyProtection="1">
      <alignment horizontal="center" vertical="center"/>
      <protection locked="0"/>
    </xf>
    <xf numFmtId="0" fontId="11" fillId="25" borderId="42" xfId="0" applyFont="1" applyFill="1" applyBorder="1" applyAlignment="1" applyProtection="1">
      <alignment horizontal="center" vertical="center"/>
      <protection locked="0"/>
    </xf>
    <xf numFmtId="9" fontId="11" fillId="25" borderId="43" xfId="0" applyNumberFormat="1" applyFont="1" applyFill="1" applyBorder="1" applyAlignment="1" applyProtection="1">
      <alignment horizontal="center" vertical="center"/>
      <protection locked="0"/>
    </xf>
    <xf numFmtId="0" fontId="29" fillId="13" borderId="0" xfId="0" applyFont="1" applyFill="1" applyProtection="1">
      <protection locked="0"/>
    </xf>
    <xf numFmtId="0" fontId="30" fillId="13" borderId="0" xfId="0" applyFont="1" applyFill="1" applyProtection="1">
      <protection locked="0"/>
    </xf>
    <xf numFmtId="0" fontId="0" fillId="26" borderId="12" xfId="0" applyFill="1" applyBorder="1" applyAlignment="1">
      <alignment horizontal="center" vertical="center"/>
    </xf>
    <xf numFmtId="0" fontId="0" fillId="27" borderId="12" xfId="0" applyFill="1" applyBorder="1" applyAlignment="1">
      <alignment horizontal="center" vertical="center"/>
    </xf>
    <xf numFmtId="0" fontId="0" fillId="28" borderId="12" xfId="0" applyFill="1" applyBorder="1" applyAlignment="1">
      <alignment horizontal="center" vertical="center"/>
    </xf>
    <xf numFmtId="0" fontId="0" fillId="29" borderId="12" xfId="0" applyFill="1" applyBorder="1" applyAlignment="1">
      <alignment horizontal="center" vertical="center"/>
    </xf>
    <xf numFmtId="0" fontId="11" fillId="30" borderId="12" xfId="0" applyFont="1" applyFill="1" applyBorder="1" applyAlignment="1" applyProtection="1">
      <alignment horizontal="center" vertical="center"/>
      <protection hidden="1"/>
    </xf>
    <xf numFmtId="0" fontId="11" fillId="25" borderId="5" xfId="0" applyFont="1" applyFill="1" applyBorder="1" applyAlignment="1" applyProtection="1">
      <alignment horizontal="center" vertical="center"/>
      <protection locked="0"/>
    </xf>
    <xf numFmtId="9" fontId="11" fillId="25" borderId="6" xfId="0" applyNumberFormat="1" applyFont="1" applyFill="1" applyBorder="1" applyAlignment="1" applyProtection="1">
      <alignment horizontal="center" vertical="center"/>
      <protection locked="0"/>
    </xf>
    <xf numFmtId="0" fontId="0" fillId="26" borderId="2" xfId="0" applyFill="1" applyBorder="1" applyAlignment="1">
      <alignment horizontal="center" vertical="center"/>
    </xf>
    <xf numFmtId="0" fontId="0" fillId="27" borderId="2" xfId="0" applyFill="1" applyBorder="1" applyAlignment="1">
      <alignment horizontal="center" vertical="center"/>
    </xf>
    <xf numFmtId="0" fontId="0" fillId="28" borderId="2" xfId="0" applyFill="1" applyBorder="1" applyAlignment="1">
      <alignment horizontal="center" vertical="center"/>
    </xf>
    <xf numFmtId="0" fontId="0" fillId="29" borderId="2" xfId="0" applyFill="1" applyBorder="1" applyAlignment="1">
      <alignment horizontal="center" vertical="center"/>
    </xf>
    <xf numFmtId="0" fontId="11" fillId="30" borderId="2" xfId="0" applyFont="1" applyFill="1" applyBorder="1" applyAlignment="1" applyProtection="1">
      <alignment horizontal="center" vertical="center"/>
      <protection locked="0"/>
    </xf>
    <xf numFmtId="0" fontId="11" fillId="25" borderId="7" xfId="0" applyFont="1" applyFill="1" applyBorder="1" applyAlignment="1" applyProtection="1">
      <alignment horizontal="center" vertical="center"/>
      <protection locked="0"/>
    </xf>
    <xf numFmtId="9" fontId="11" fillId="25" borderId="8" xfId="0" applyNumberFormat="1" applyFont="1" applyFill="1" applyBorder="1" applyAlignment="1" applyProtection="1">
      <alignment horizontal="center" vertical="center"/>
      <protection locked="0"/>
    </xf>
    <xf numFmtId="0" fontId="0" fillId="31" borderId="3" xfId="0" applyFill="1" applyBorder="1" applyAlignment="1" applyProtection="1">
      <alignment horizontal="center"/>
      <protection locked="0"/>
    </xf>
    <xf numFmtId="0" fontId="0" fillId="31" borderId="4" xfId="0" applyFill="1" applyBorder="1" applyAlignment="1" applyProtection="1">
      <alignment horizontal="center"/>
      <protection locked="0"/>
    </xf>
    <xf numFmtId="0" fontId="0" fillId="31" borderId="5" xfId="0" applyFill="1" applyBorder="1" applyAlignment="1" applyProtection="1">
      <alignment horizontal="center" vertical="center"/>
      <protection locked="0"/>
    </xf>
    <xf numFmtId="0" fontId="0" fillId="31" borderId="6" xfId="0" applyFill="1" applyBorder="1" applyAlignment="1" applyProtection="1">
      <alignment horizontal="center" vertical="center"/>
      <protection locked="0"/>
    </xf>
    <xf numFmtId="0" fontId="0" fillId="31" borderId="7" xfId="0" applyFill="1" applyBorder="1" applyAlignment="1" applyProtection="1">
      <alignment horizontal="center" vertical="center"/>
      <protection locked="0"/>
    </xf>
    <xf numFmtId="0" fontId="0" fillId="31" borderId="8" xfId="0" applyFill="1" applyBorder="1" applyAlignment="1" applyProtection="1">
      <alignment horizontal="center" vertical="center"/>
      <protection locked="0"/>
    </xf>
    <xf numFmtId="0" fontId="0" fillId="4" borderId="36" xfId="0" applyFill="1" applyBorder="1" applyProtection="1">
      <protection locked="0"/>
    </xf>
    <xf numFmtId="0" fontId="0" fillId="4" borderId="26" xfId="0" applyFill="1" applyBorder="1" applyProtection="1">
      <protection locked="0"/>
    </xf>
    <xf numFmtId="0" fontId="0" fillId="4" borderId="28" xfId="0" applyFill="1" applyBorder="1" applyProtection="1">
      <protection locked="0"/>
    </xf>
    <xf numFmtId="0" fontId="0" fillId="4" borderId="37" xfId="0" applyFill="1" applyBorder="1" applyProtection="1">
      <protection locked="0"/>
    </xf>
    <xf numFmtId="0" fontId="0" fillId="4" borderId="0" xfId="0" applyFill="1" applyProtection="1">
      <protection locked="0"/>
    </xf>
    <xf numFmtId="0" fontId="0" fillId="4" borderId="29" xfId="0" applyFill="1" applyBorder="1" applyProtection="1">
      <protection locked="0"/>
    </xf>
    <xf numFmtId="0" fontId="0" fillId="4" borderId="38" xfId="0" applyFill="1" applyBorder="1" applyProtection="1">
      <protection locked="0"/>
    </xf>
    <xf numFmtId="0" fontId="0" fillId="4" borderId="21" xfId="0" applyFill="1" applyBorder="1" applyProtection="1">
      <protection locked="0"/>
    </xf>
    <xf numFmtId="0" fontId="0" fillId="4" borderId="39" xfId="0" applyFill="1" applyBorder="1" applyProtection="1">
      <protection locked="0"/>
    </xf>
    <xf numFmtId="0" fontId="26" fillId="4" borderId="36" xfId="0" applyFont="1" applyFill="1" applyBorder="1" applyProtection="1">
      <protection locked="0"/>
    </xf>
    <xf numFmtId="0" fontId="26" fillId="4" borderId="26" xfId="0" applyFont="1" applyFill="1" applyBorder="1" applyProtection="1">
      <protection locked="0"/>
    </xf>
    <xf numFmtId="0" fontId="26" fillId="4" borderId="37" xfId="0" applyFont="1" applyFill="1" applyBorder="1" applyProtection="1">
      <protection locked="0"/>
    </xf>
    <xf numFmtId="0" fontId="0" fillId="4" borderId="0" xfId="0" applyFill="1" applyBorder="1" applyProtection="1">
      <protection locked="0"/>
    </xf>
    <xf numFmtId="0" fontId="26" fillId="4" borderId="0" xfId="0" applyFont="1" applyFill="1" applyBorder="1" applyProtection="1">
      <protection locked="0"/>
    </xf>
    <xf numFmtId="2" fontId="0" fillId="4" borderId="0" xfId="0" applyNumberFormat="1" applyFill="1" applyBorder="1" applyProtection="1">
      <protection locked="0"/>
    </xf>
    <xf numFmtId="0" fontId="0" fillId="4" borderId="44" xfId="0" applyFill="1" applyBorder="1" applyProtection="1">
      <protection locked="0"/>
    </xf>
    <xf numFmtId="0" fontId="26" fillId="0" borderId="36" xfId="1" applyFont="1" applyBorder="1"/>
    <xf numFmtId="8" fontId="5" fillId="3" borderId="26" xfId="1" applyNumberFormat="1" applyFont="1" applyFill="1" applyBorder="1"/>
    <xf numFmtId="0" fontId="5" fillId="3" borderId="26" xfId="1" applyFont="1" applyFill="1" applyBorder="1"/>
    <xf numFmtId="0" fontId="5" fillId="3" borderId="28" xfId="1" applyFont="1" applyFill="1" applyBorder="1"/>
    <xf numFmtId="0" fontId="5" fillId="3" borderId="37" xfId="1" applyFont="1" applyFill="1" applyBorder="1"/>
    <xf numFmtId="0" fontId="5" fillId="3" borderId="0" xfId="1" applyFont="1" applyFill="1" applyBorder="1"/>
    <xf numFmtId="0" fontId="5" fillId="3" borderId="29" xfId="1" applyFont="1" applyFill="1" applyBorder="1"/>
    <xf numFmtId="0" fontId="27" fillId="0" borderId="37" xfId="1" applyFont="1" applyBorder="1" applyAlignment="1">
      <alignment vertical="center"/>
    </xf>
    <xf numFmtId="8" fontId="5" fillId="3" borderId="0" xfId="1" applyNumberFormat="1" applyFont="1" applyFill="1" applyBorder="1"/>
    <xf numFmtId="0" fontId="26" fillId="0" borderId="37" xfId="1" applyFont="1" applyBorder="1"/>
    <xf numFmtId="0" fontId="5" fillId="3" borderId="38" xfId="1" applyFont="1" applyFill="1" applyBorder="1"/>
    <xf numFmtId="0" fontId="5" fillId="3" borderId="21" xfId="1" applyFont="1" applyFill="1" applyBorder="1"/>
    <xf numFmtId="0" fontId="5" fillId="3" borderId="39" xfId="1" applyFont="1" applyFill="1" applyBorder="1"/>
    <xf numFmtId="0" fontId="2" fillId="0" borderId="36" xfId="1" applyFont="1" applyBorder="1"/>
    <xf numFmtId="0" fontId="2" fillId="0" borderId="26" xfId="1" applyFont="1" applyBorder="1"/>
    <xf numFmtId="0" fontId="2" fillId="0" borderId="28" xfId="1" applyFont="1" applyBorder="1"/>
    <xf numFmtId="0" fontId="2" fillId="0" borderId="0" xfId="1" applyFont="1"/>
    <xf numFmtId="0" fontId="1" fillId="0" borderId="37" xfId="1" applyBorder="1"/>
    <xf numFmtId="0" fontId="1" fillId="0" borderId="29" xfId="1" applyBorder="1"/>
    <xf numFmtId="0" fontId="1" fillId="0" borderId="38" xfId="1" applyBorder="1"/>
    <xf numFmtId="0" fontId="1" fillId="0" borderId="21" xfId="1" applyBorder="1"/>
    <xf numFmtId="0" fontId="1" fillId="0" borderId="39" xfId="1" applyBorder="1"/>
    <xf numFmtId="0" fontId="5" fillId="4" borderId="18" xfId="0" applyFont="1" applyFill="1" applyBorder="1"/>
  </cellXfs>
  <cellStyles count="8">
    <cellStyle name="Comma 2" xfId="6" xr:uid="{F9B49973-7548-43A7-BEB8-3B3653A4D4AC}"/>
    <cellStyle name="Currency 2" xfId="2" xr:uid="{D1F851C0-EE49-475C-BDC2-B111D64F7CCD}"/>
    <cellStyle name="Currency 3" xfId="4" xr:uid="{59AA20E2-CEAB-4168-8CCF-88622D2C2C2D}"/>
    <cellStyle name="Hyperlink" xfId="7" builtinId="8"/>
    <cellStyle name="Normal" xfId="0" builtinId="0"/>
    <cellStyle name="Normal 2" xfId="1" xr:uid="{30ECA19B-CCCD-407F-A5EC-141D20FF1A74}"/>
    <cellStyle name="Percent 2" xfId="3" xr:uid="{33855AE2-9310-43A6-B406-08B5C32B8EEE}"/>
    <cellStyle name="Percent 3" xfId="5" xr:uid="{C57DAFC8-924C-4206-A651-9CC618EBFCC0}"/>
  </cellStyles>
  <dxfs count="35">
    <dxf>
      <font>
        <color rgb="FF006100"/>
      </font>
      <fill>
        <patternFill>
          <bgColor rgb="FFC6EFCE"/>
        </patternFill>
      </fill>
    </dxf>
    <dxf>
      <font>
        <color rgb="FF9C0006"/>
      </font>
      <fill>
        <patternFill>
          <bgColor rgb="FFFFC7CE"/>
        </patternFill>
      </fill>
    </dxf>
    <dxf>
      <numFmt numFmtId="0" formatCode="General"/>
    </dxf>
    <dxf>
      <font>
        <b val="0"/>
        <i val="0"/>
        <strike val="0"/>
        <condense val="0"/>
        <extend val="0"/>
        <outline val="0"/>
        <shadow val="0"/>
        <u val="none"/>
        <vertAlign val="baseline"/>
        <sz val="12"/>
        <color auto="1"/>
        <name val="Calibri"/>
        <family val="2"/>
        <scheme val="minor"/>
      </font>
      <numFmt numFmtId="165" formatCode="&quot;$&quot;#,##0.00_);[Red]\(&quot;$&quot;#,##0.00\)"/>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165" formatCode="&quot;$&quot;#,##0.00_);[Red]\(&quot;$&quot;#,##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65" formatCode="&quot;$&quot;#,##0.00_);[Red]\(&quot;$&quot;#,##0.00\)"/>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65" formatCode="&quot;$&quot;#,##0.00_);[Red]\(&quot;$&quot;#,##0.00\)"/>
      <fill>
        <patternFill patternType="solid">
          <fgColor indexed="64"/>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auto="1"/>
        <name val="Calibri"/>
        <family val="2"/>
        <scheme val="minor"/>
      </font>
      <numFmt numFmtId="19" formatCode="dd/mm/yyyy"/>
      <fill>
        <patternFill patternType="solid">
          <fgColor indexed="64"/>
          <bgColor theme="7" tint="0.79998168889431442"/>
        </patternFill>
      </fill>
      <alignment horizontal="center" vertical="bottom" textRotation="0" wrapText="0" indent="0" justifyLastLine="0" shrinkToFit="0" readingOrder="0"/>
      <border diagonalUp="0" diagonalDown="0">
        <left/>
        <right/>
        <top style="thin">
          <color indexed="64"/>
        </top>
        <bottom/>
        <vertical/>
        <horizontal/>
      </border>
    </dxf>
    <dxf>
      <border outline="0">
        <bottom style="medium">
          <color indexed="64"/>
        </bottom>
      </border>
    </dxf>
    <dxf>
      <border outline="0">
        <left style="thin">
          <color indexed="64"/>
        </left>
        <right style="medium">
          <color indexed="64"/>
        </right>
        <top style="medium">
          <color indexed="64"/>
        </top>
        <bottom style="medium">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7" tint="0.79998168889431442"/>
        </patternFill>
      </fill>
      <alignment horizontal="center" vertical="center" textRotation="0" wrapText="0" indent="0" justifyLastLine="0" shrinkToFit="0" readingOrder="0"/>
    </dxf>
    <dxf>
      <numFmt numFmtId="0" formatCode="General"/>
      <fill>
        <patternFill patternType="solid">
          <fgColor indexed="64"/>
          <bgColor theme="7" tint="0.79998168889431442"/>
        </patternFill>
      </fill>
    </dxf>
    <dxf>
      <fill>
        <patternFill patternType="solid">
          <fgColor indexed="64"/>
          <bgColor theme="7" tint="0.79998168889431442"/>
        </patternFill>
      </fill>
      <border diagonalUp="0" diagonalDown="0" outline="0">
        <left style="thin">
          <color indexed="64"/>
        </left>
        <right/>
        <top/>
        <bottom/>
      </border>
    </dxf>
    <dxf>
      <numFmt numFmtId="0" formatCode="General"/>
      <fill>
        <patternFill patternType="solid">
          <fgColor indexed="64"/>
          <bgColor theme="7" tint="0.79998168889431442"/>
        </patternFill>
      </fill>
      <border diagonalUp="0" diagonalDown="0">
        <left style="thin">
          <color indexed="64"/>
        </left>
        <right/>
        <top style="thin">
          <color indexed="64"/>
        </top>
        <bottom/>
        <vertical/>
        <horizontal/>
      </border>
    </dxf>
    <dxf>
      <fill>
        <patternFill patternType="solid">
          <fgColor indexed="64"/>
          <bgColor theme="7" tint="0.79998168889431442"/>
        </patternFill>
      </fill>
      <border diagonalUp="0" diagonalDown="0" outline="0">
        <left style="thin">
          <color indexed="64"/>
        </left>
        <right/>
        <top/>
        <bottom/>
      </border>
    </dxf>
    <dxf>
      <numFmt numFmtId="165" formatCode="&quot;$&quot;#,##0.00_);[Red]\(&quot;$&quot;#,##0.00\)"/>
      <fill>
        <patternFill patternType="solid">
          <fgColor indexed="64"/>
          <bgColor theme="7" tint="0.79998168889431442"/>
        </patternFill>
      </fill>
      <border diagonalUp="0" diagonalDown="0">
        <left style="thin">
          <color indexed="64"/>
        </left>
        <right/>
        <top style="thin">
          <color indexed="64"/>
        </top>
        <bottom/>
        <vertical/>
        <horizontal/>
      </border>
    </dxf>
    <dxf>
      <numFmt numFmtId="165" formatCode="&quot;$&quot;#,##0.00_);[Red]\(&quot;$&quot;#,##0.00\)"/>
      <fill>
        <patternFill patternType="solid">
          <fgColor indexed="64"/>
          <bgColor theme="7" tint="0.79998168889431442"/>
        </patternFill>
      </fill>
      <border diagonalUp="0" diagonalDown="0" outline="0">
        <left style="thin">
          <color indexed="64"/>
        </left>
        <right/>
        <top/>
        <bottom/>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outline="0">
        <left style="thin">
          <color indexed="64"/>
        </left>
        <right/>
        <top/>
        <bottom/>
      </border>
    </dxf>
    <dxf>
      <fill>
        <patternFill patternType="solid">
          <fgColor indexed="64"/>
          <bgColor theme="7" tint="0.79998168889431442"/>
        </patternFill>
      </fill>
      <border diagonalUp="0" diagonalDown="0">
        <left style="thin">
          <color indexed="64"/>
        </left>
        <right/>
        <top style="thin">
          <color indexed="64"/>
        </top>
        <bottom/>
        <vertical/>
        <horizontal/>
      </border>
    </dxf>
    <dxf>
      <fill>
        <patternFill patternType="solid">
          <fgColor indexed="64"/>
          <bgColor theme="7" tint="0.79998168889431442"/>
        </patternFill>
      </fill>
      <border diagonalUp="0" diagonalDown="0" outline="0">
        <left style="thin">
          <color indexed="64"/>
        </left>
        <right/>
        <top/>
        <bottom/>
      </border>
    </dxf>
    <dxf>
      <fill>
        <patternFill patternType="solid">
          <fgColor indexed="64"/>
          <bgColor theme="7" tint="0.79998168889431442"/>
        </patternFill>
      </fill>
      <border diagonalUp="0" diagonalDown="0">
        <left style="thin">
          <color indexed="64"/>
        </left>
        <right/>
        <top style="thin">
          <color indexed="64"/>
        </top>
        <bottom/>
        <vertical/>
        <horizontal/>
      </border>
    </dxf>
    <dxf>
      <fill>
        <patternFill patternType="solid">
          <fgColor indexed="64"/>
          <bgColor theme="7" tint="0.79998168889431442"/>
        </patternFill>
      </fill>
      <border diagonalUp="0" diagonalDown="0" outline="0">
        <left style="thin">
          <color indexed="64"/>
        </left>
        <right/>
        <top/>
        <bottom/>
      </border>
    </dxf>
    <dxf>
      <fill>
        <patternFill patternType="solid">
          <fgColor indexed="64"/>
          <bgColor theme="7" tint="0.79998168889431442"/>
        </patternFill>
      </fill>
      <border diagonalUp="0" diagonalDown="0">
        <left style="thin">
          <color indexed="64"/>
        </left>
        <right/>
        <top style="thin">
          <color indexed="64"/>
        </top>
        <bottom/>
        <vertical/>
        <horizontal/>
      </border>
    </dxf>
    <dxf>
      <fill>
        <patternFill patternType="solid">
          <fgColor indexed="64"/>
          <bgColor theme="7" tint="0.79998168889431442"/>
        </patternFill>
      </fill>
      <border diagonalUp="0" diagonalDown="0" outline="0">
        <left style="thin">
          <color indexed="64"/>
        </left>
        <right/>
        <top/>
        <bottom/>
      </border>
    </dxf>
    <dxf>
      <fill>
        <patternFill patternType="solid">
          <fgColor indexed="64"/>
          <bgColor theme="7" tint="0.79998168889431442"/>
        </patternFill>
      </fill>
      <border diagonalUp="0" diagonalDown="0">
        <left/>
        <right/>
        <top style="thin">
          <color indexed="64"/>
        </top>
        <bottom/>
        <vertical/>
        <horizontal/>
      </border>
    </dxf>
    <dxf>
      <fill>
        <patternFill patternType="solid">
          <fgColor indexed="64"/>
          <bgColor theme="7" tint="0.79998168889431442"/>
        </patternFill>
      </fill>
      <border diagonalUp="0" diagonalDown="0" outline="0">
        <left/>
        <right/>
        <top/>
        <bottom/>
      </border>
    </dxf>
    <dxf>
      <border outline="0">
        <left style="thin">
          <color indexed="64"/>
        </left>
        <right style="thin">
          <color indexed="64"/>
        </right>
        <top style="thin">
          <color indexed="64"/>
        </top>
        <bottom style="thin">
          <color indexed="64"/>
        </bottom>
      </border>
    </dxf>
    <dxf>
      <fill>
        <patternFill patternType="solid">
          <fgColor indexed="64"/>
          <bgColor theme="7" tint="0.79998168889431442"/>
        </patternFill>
      </fill>
    </dxf>
    <dxf>
      <font>
        <b/>
        <i val="0"/>
        <strike val="0"/>
        <condense val="0"/>
        <extend val="0"/>
        <outline val="0"/>
        <shadow val="0"/>
        <u val="none"/>
        <vertAlign val="baseline"/>
        <sz val="11"/>
        <color auto="1"/>
        <name val="Calibri"/>
        <family val="2"/>
        <scheme val="none"/>
      </font>
      <fill>
        <patternFill patternType="solid">
          <fgColor indexed="64"/>
          <bgColor theme="7" tint="0.7999816888943144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microsoft.com/office/2007/relationships/slicerCache" Target="slicerCaches/slicerCache4.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[excelwork(vba, lookups, pivot,slices,index, match.xlsx]pivot!PivotTable1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pivot!$O$2:$O$4</c:f>
              <c:strCache>
                <c:ptCount val="1"/>
                <c:pt idx="0">
                  <c:v>Jack - Sum of Units</c:v>
                </c:pt>
              </c:strCache>
            </c:strRef>
          </c:tx>
          <c:spPr>
            <a:solidFill>
              <a:schemeClr val="accent1"/>
            </a:solidFill>
            <a:ln>
              <a:noFill/>
            </a:ln>
            <a:effectLst/>
          </c:spPr>
          <c:invertIfNegative val="0"/>
          <c:cat>
            <c:strRef>
              <c:f>pivot!$N$5:$N$14</c:f>
              <c:strCache>
                <c:ptCount val="9"/>
                <c:pt idx="0">
                  <c:v>Hat</c:v>
                </c:pt>
                <c:pt idx="1">
                  <c:v>Hoddie</c:v>
                </c:pt>
                <c:pt idx="2">
                  <c:v>Jacket</c:v>
                </c:pt>
                <c:pt idx="3">
                  <c:v>Jeans</c:v>
                </c:pt>
                <c:pt idx="4">
                  <c:v>Purse</c:v>
                </c:pt>
                <c:pt idx="5">
                  <c:v>Scarf</c:v>
                </c:pt>
                <c:pt idx="6">
                  <c:v>Skirt</c:v>
                </c:pt>
                <c:pt idx="7">
                  <c:v>Sweater</c:v>
                </c:pt>
                <c:pt idx="8">
                  <c:v>T-Shirt</c:v>
                </c:pt>
              </c:strCache>
            </c:strRef>
          </c:cat>
          <c:val>
            <c:numRef>
              <c:f>pivot!$O$5:$O$14</c:f>
              <c:numCache>
                <c:formatCode>General</c:formatCode>
                <c:ptCount val="9"/>
                <c:pt idx="0">
                  <c:v>721</c:v>
                </c:pt>
                <c:pt idx="1">
                  <c:v>471</c:v>
                </c:pt>
                <c:pt idx="2">
                  <c:v>591</c:v>
                </c:pt>
                <c:pt idx="3">
                  <c:v>1182</c:v>
                </c:pt>
                <c:pt idx="4">
                  <c:v>914</c:v>
                </c:pt>
                <c:pt idx="5">
                  <c:v>442</c:v>
                </c:pt>
                <c:pt idx="6">
                  <c:v>684</c:v>
                </c:pt>
                <c:pt idx="7">
                  <c:v>555</c:v>
                </c:pt>
                <c:pt idx="8">
                  <c:v>1286</c:v>
                </c:pt>
              </c:numCache>
            </c:numRef>
          </c:val>
          <c:extLst>
            <c:ext xmlns:c16="http://schemas.microsoft.com/office/drawing/2014/chart" uri="{C3380CC4-5D6E-409C-BE32-E72D297353CC}">
              <c16:uniqueId val="{00000000-5357-40DE-AF4B-C62241C771DD}"/>
            </c:ext>
          </c:extLst>
        </c:ser>
        <c:ser>
          <c:idx val="1"/>
          <c:order val="1"/>
          <c:tx>
            <c:strRef>
              <c:f>pivot!$P$2:$P$4</c:f>
              <c:strCache>
                <c:ptCount val="1"/>
                <c:pt idx="0">
                  <c:v>Jack - Sum of Total Sales</c:v>
                </c:pt>
              </c:strCache>
            </c:strRef>
          </c:tx>
          <c:spPr>
            <a:solidFill>
              <a:schemeClr val="accent2"/>
            </a:solidFill>
            <a:ln>
              <a:noFill/>
            </a:ln>
            <a:effectLst/>
          </c:spPr>
          <c:invertIfNegative val="0"/>
          <c:cat>
            <c:strRef>
              <c:f>pivot!$N$5:$N$14</c:f>
              <c:strCache>
                <c:ptCount val="9"/>
                <c:pt idx="0">
                  <c:v>Hat</c:v>
                </c:pt>
                <c:pt idx="1">
                  <c:v>Hoddie</c:v>
                </c:pt>
                <c:pt idx="2">
                  <c:v>Jacket</c:v>
                </c:pt>
                <c:pt idx="3">
                  <c:v>Jeans</c:v>
                </c:pt>
                <c:pt idx="4">
                  <c:v>Purse</c:v>
                </c:pt>
                <c:pt idx="5">
                  <c:v>Scarf</c:v>
                </c:pt>
                <c:pt idx="6">
                  <c:v>Skirt</c:v>
                </c:pt>
                <c:pt idx="7">
                  <c:v>Sweater</c:v>
                </c:pt>
                <c:pt idx="8">
                  <c:v>T-Shirt</c:v>
                </c:pt>
              </c:strCache>
            </c:strRef>
          </c:cat>
          <c:val>
            <c:numRef>
              <c:f>pivot!$P$5:$P$14</c:f>
              <c:numCache>
                <c:formatCode>"$"#,##0.00_);[Red]\("$"#,##0.00\)</c:formatCode>
                <c:ptCount val="9"/>
                <c:pt idx="0">
                  <c:v>31394</c:v>
                </c:pt>
                <c:pt idx="1">
                  <c:v>17746</c:v>
                </c:pt>
                <c:pt idx="2">
                  <c:v>24868</c:v>
                </c:pt>
                <c:pt idx="3">
                  <c:v>47484</c:v>
                </c:pt>
                <c:pt idx="4">
                  <c:v>34581</c:v>
                </c:pt>
                <c:pt idx="5">
                  <c:v>19141</c:v>
                </c:pt>
                <c:pt idx="6">
                  <c:v>31697</c:v>
                </c:pt>
                <c:pt idx="7">
                  <c:v>24807</c:v>
                </c:pt>
                <c:pt idx="8">
                  <c:v>52699</c:v>
                </c:pt>
              </c:numCache>
            </c:numRef>
          </c:val>
          <c:extLst>
            <c:ext xmlns:c16="http://schemas.microsoft.com/office/drawing/2014/chart" uri="{C3380CC4-5D6E-409C-BE32-E72D297353CC}">
              <c16:uniqueId val="{00000001-5357-40DE-AF4B-C62241C771DD}"/>
            </c:ext>
          </c:extLst>
        </c:ser>
        <c:dLbls>
          <c:showLegendKey val="0"/>
          <c:showVal val="0"/>
          <c:showCatName val="0"/>
          <c:showSerName val="0"/>
          <c:showPercent val="0"/>
          <c:showBubbleSize val="0"/>
        </c:dLbls>
        <c:gapWidth val="219"/>
        <c:overlap val="-27"/>
        <c:axId val="444829167"/>
        <c:axId val="444835887"/>
      </c:barChart>
      <c:catAx>
        <c:axId val="44482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835887"/>
        <c:crosses val="autoZero"/>
        <c:auto val="1"/>
        <c:lblAlgn val="ctr"/>
        <c:lblOffset val="100"/>
        <c:noMultiLvlLbl val="0"/>
      </c:catAx>
      <c:valAx>
        <c:axId val="44483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82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Log!$A$1</c:f>
              <c:strCache>
                <c:ptCount val="1"/>
                <c:pt idx="0">
                  <c:v>Data</c:v>
                </c:pt>
              </c:strCache>
            </c:strRef>
          </c:tx>
          <c:spPr>
            <a:ln w="28575" cap="rnd">
              <a:solidFill>
                <a:schemeClr val="accent1"/>
              </a:solidFill>
              <a:round/>
            </a:ln>
            <a:effectLst/>
          </c:spPr>
          <c:marker>
            <c:symbol val="none"/>
          </c:marker>
          <c:val>
            <c:numRef>
              <c:f>Log!$A$2:$A$401</c:f>
              <c:numCache>
                <c:formatCode>General</c:formatCode>
                <c:ptCount val="400"/>
                <c:pt idx="0">
                  <c:v>28.6</c:v>
                </c:pt>
                <c:pt idx="1">
                  <c:v>32.299999999999997</c:v>
                </c:pt>
                <c:pt idx="2">
                  <c:v>51.3</c:v>
                </c:pt>
                <c:pt idx="3">
                  <c:v>56.6</c:v>
                </c:pt>
                <c:pt idx="4">
                  <c:v>69.3</c:v>
                </c:pt>
                <c:pt idx="5">
                  <c:v>84.8</c:v>
                </c:pt>
                <c:pt idx="6">
                  <c:v>92.3</c:v>
                </c:pt>
                <c:pt idx="7">
                  <c:v>122.1</c:v>
                </c:pt>
                <c:pt idx="8">
                  <c:v>124.2</c:v>
                </c:pt>
                <c:pt idx="9">
                  <c:v>126.5</c:v>
                </c:pt>
                <c:pt idx="10">
                  <c:v>137.6</c:v>
                </c:pt>
                <c:pt idx="11">
                  <c:v>164.3</c:v>
                </c:pt>
                <c:pt idx="12">
                  <c:v>187</c:v>
                </c:pt>
                <c:pt idx="13">
                  <c:v>195.4</c:v>
                </c:pt>
                <c:pt idx="14">
                  <c:v>197</c:v>
                </c:pt>
                <c:pt idx="15">
                  <c:v>204</c:v>
                </c:pt>
                <c:pt idx="16">
                  <c:v>205.1</c:v>
                </c:pt>
                <c:pt idx="17">
                  <c:v>205.7</c:v>
                </c:pt>
                <c:pt idx="18">
                  <c:v>260.89999999999998</c:v>
                </c:pt>
                <c:pt idx="19">
                  <c:v>270.7</c:v>
                </c:pt>
                <c:pt idx="20">
                  <c:v>278.89999999999998</c:v>
                </c:pt>
                <c:pt idx="21">
                  <c:v>313.7</c:v>
                </c:pt>
                <c:pt idx="22">
                  <c:v>324.10000000000002</c:v>
                </c:pt>
                <c:pt idx="23">
                  <c:v>330.7</c:v>
                </c:pt>
                <c:pt idx="24">
                  <c:v>346.1</c:v>
                </c:pt>
                <c:pt idx="25">
                  <c:v>349.1</c:v>
                </c:pt>
                <c:pt idx="26">
                  <c:v>359.4</c:v>
                </c:pt>
                <c:pt idx="27">
                  <c:v>362.1</c:v>
                </c:pt>
                <c:pt idx="28">
                  <c:v>363.3</c:v>
                </c:pt>
                <c:pt idx="29">
                  <c:v>364.2</c:v>
                </c:pt>
                <c:pt idx="30">
                  <c:v>366.7</c:v>
                </c:pt>
                <c:pt idx="31">
                  <c:v>377.2</c:v>
                </c:pt>
                <c:pt idx="32">
                  <c:v>405.4</c:v>
                </c:pt>
                <c:pt idx="33">
                  <c:v>410.2</c:v>
                </c:pt>
                <c:pt idx="34">
                  <c:v>425.5</c:v>
                </c:pt>
                <c:pt idx="35">
                  <c:v>426.4</c:v>
                </c:pt>
                <c:pt idx="36">
                  <c:v>430.3</c:v>
                </c:pt>
                <c:pt idx="37">
                  <c:v>439.5</c:v>
                </c:pt>
                <c:pt idx="38">
                  <c:v>443.3</c:v>
                </c:pt>
                <c:pt idx="39">
                  <c:v>455.6</c:v>
                </c:pt>
                <c:pt idx="40">
                  <c:v>459.5</c:v>
                </c:pt>
                <c:pt idx="41">
                  <c:v>463.8</c:v>
                </c:pt>
                <c:pt idx="42">
                  <c:v>470.6</c:v>
                </c:pt>
                <c:pt idx="43">
                  <c:v>485.3</c:v>
                </c:pt>
                <c:pt idx="44">
                  <c:v>485.8</c:v>
                </c:pt>
                <c:pt idx="45">
                  <c:v>503.2</c:v>
                </c:pt>
                <c:pt idx="46">
                  <c:v>509.2</c:v>
                </c:pt>
                <c:pt idx="47">
                  <c:v>512.9</c:v>
                </c:pt>
                <c:pt idx="48">
                  <c:v>518</c:v>
                </c:pt>
                <c:pt idx="49">
                  <c:v>525.4</c:v>
                </c:pt>
                <c:pt idx="50">
                  <c:v>536.4</c:v>
                </c:pt>
                <c:pt idx="51">
                  <c:v>542.9</c:v>
                </c:pt>
                <c:pt idx="52">
                  <c:v>547.1</c:v>
                </c:pt>
                <c:pt idx="53">
                  <c:v>560.1</c:v>
                </c:pt>
                <c:pt idx="54">
                  <c:v>598.29999999999995</c:v>
                </c:pt>
                <c:pt idx="55">
                  <c:v>604</c:v>
                </c:pt>
                <c:pt idx="56">
                  <c:v>610.9</c:v>
                </c:pt>
                <c:pt idx="57">
                  <c:v>618.5</c:v>
                </c:pt>
                <c:pt idx="58">
                  <c:v>683.6</c:v>
                </c:pt>
                <c:pt idx="59">
                  <c:v>693.1</c:v>
                </c:pt>
                <c:pt idx="60">
                  <c:v>717.6</c:v>
                </c:pt>
                <c:pt idx="61">
                  <c:v>733.4</c:v>
                </c:pt>
                <c:pt idx="62">
                  <c:v>742.6</c:v>
                </c:pt>
                <c:pt idx="63">
                  <c:v>743.7</c:v>
                </c:pt>
                <c:pt idx="64">
                  <c:v>751.1</c:v>
                </c:pt>
                <c:pt idx="65">
                  <c:v>751.4</c:v>
                </c:pt>
                <c:pt idx="66">
                  <c:v>773.2</c:v>
                </c:pt>
                <c:pt idx="67">
                  <c:v>787.2</c:v>
                </c:pt>
                <c:pt idx="68">
                  <c:v>787.5</c:v>
                </c:pt>
                <c:pt idx="69">
                  <c:v>794.7</c:v>
                </c:pt>
                <c:pt idx="70">
                  <c:v>798.5</c:v>
                </c:pt>
                <c:pt idx="71">
                  <c:v>803.3</c:v>
                </c:pt>
                <c:pt idx="72">
                  <c:v>812.8</c:v>
                </c:pt>
                <c:pt idx="73">
                  <c:v>821.1</c:v>
                </c:pt>
                <c:pt idx="74">
                  <c:v>836.6</c:v>
                </c:pt>
                <c:pt idx="75">
                  <c:v>838.5</c:v>
                </c:pt>
                <c:pt idx="76">
                  <c:v>848.8</c:v>
                </c:pt>
                <c:pt idx="77">
                  <c:v>856.5</c:v>
                </c:pt>
                <c:pt idx="78">
                  <c:v>862.3</c:v>
                </c:pt>
                <c:pt idx="79">
                  <c:v>875</c:v>
                </c:pt>
                <c:pt idx="80">
                  <c:v>875.6</c:v>
                </c:pt>
                <c:pt idx="81">
                  <c:v>886.8</c:v>
                </c:pt>
                <c:pt idx="82">
                  <c:v>912.2</c:v>
                </c:pt>
                <c:pt idx="83">
                  <c:v>933.8</c:v>
                </c:pt>
                <c:pt idx="84">
                  <c:v>973.2</c:v>
                </c:pt>
                <c:pt idx="85">
                  <c:v>975.2</c:v>
                </c:pt>
                <c:pt idx="86">
                  <c:v>975.9</c:v>
                </c:pt>
                <c:pt idx="87">
                  <c:v>978.7</c:v>
                </c:pt>
                <c:pt idx="88">
                  <c:v>979.6</c:v>
                </c:pt>
                <c:pt idx="89">
                  <c:v>990.1</c:v>
                </c:pt>
                <c:pt idx="90">
                  <c:v>991.2</c:v>
                </c:pt>
                <c:pt idx="91">
                  <c:v>995.4</c:v>
                </c:pt>
                <c:pt idx="92">
                  <c:v>1003.1</c:v>
                </c:pt>
                <c:pt idx="93">
                  <c:v>1014.2</c:v>
                </c:pt>
                <c:pt idx="94">
                  <c:v>1033.3</c:v>
                </c:pt>
                <c:pt idx="95">
                  <c:v>1040.9000000000001</c:v>
                </c:pt>
                <c:pt idx="96">
                  <c:v>1045.7</c:v>
                </c:pt>
                <c:pt idx="97">
                  <c:v>1068</c:v>
                </c:pt>
                <c:pt idx="98">
                  <c:v>1081.9000000000001</c:v>
                </c:pt>
                <c:pt idx="99">
                  <c:v>1087.8</c:v>
                </c:pt>
                <c:pt idx="100">
                  <c:v>1088.9000000000001</c:v>
                </c:pt>
                <c:pt idx="101">
                  <c:v>1099.0999999999999</c:v>
                </c:pt>
                <c:pt idx="102">
                  <c:v>1108.4000000000001</c:v>
                </c:pt>
                <c:pt idx="103">
                  <c:v>1110.5999999999999</c:v>
                </c:pt>
                <c:pt idx="104">
                  <c:v>1127.3</c:v>
                </c:pt>
                <c:pt idx="105">
                  <c:v>1130.3</c:v>
                </c:pt>
                <c:pt idx="106">
                  <c:v>1133.8</c:v>
                </c:pt>
                <c:pt idx="107">
                  <c:v>1153.5</c:v>
                </c:pt>
                <c:pt idx="108">
                  <c:v>1167.3</c:v>
                </c:pt>
                <c:pt idx="109">
                  <c:v>1170.9000000000001</c:v>
                </c:pt>
                <c:pt idx="110">
                  <c:v>1184.9000000000001</c:v>
                </c:pt>
                <c:pt idx="111">
                  <c:v>1185.4000000000001</c:v>
                </c:pt>
                <c:pt idx="112">
                  <c:v>1187.9000000000001</c:v>
                </c:pt>
                <c:pt idx="113">
                  <c:v>1231.8</c:v>
                </c:pt>
                <c:pt idx="114">
                  <c:v>1241.4000000000001</c:v>
                </c:pt>
                <c:pt idx="115">
                  <c:v>1243.9000000000001</c:v>
                </c:pt>
                <c:pt idx="116">
                  <c:v>1274.0999999999999</c:v>
                </c:pt>
                <c:pt idx="117">
                  <c:v>1287.2</c:v>
                </c:pt>
                <c:pt idx="118">
                  <c:v>1311</c:v>
                </c:pt>
                <c:pt idx="119">
                  <c:v>1330.1</c:v>
                </c:pt>
                <c:pt idx="120">
                  <c:v>1331.2</c:v>
                </c:pt>
                <c:pt idx="121">
                  <c:v>1339</c:v>
                </c:pt>
                <c:pt idx="122">
                  <c:v>1348</c:v>
                </c:pt>
                <c:pt idx="123">
                  <c:v>1364.5</c:v>
                </c:pt>
                <c:pt idx="124">
                  <c:v>1365.9</c:v>
                </c:pt>
                <c:pt idx="125">
                  <c:v>1377.2</c:v>
                </c:pt>
                <c:pt idx="126">
                  <c:v>1381.8</c:v>
                </c:pt>
                <c:pt idx="127">
                  <c:v>1397.4</c:v>
                </c:pt>
                <c:pt idx="128">
                  <c:v>1432.1</c:v>
                </c:pt>
                <c:pt idx="129">
                  <c:v>1447.7</c:v>
                </c:pt>
                <c:pt idx="130">
                  <c:v>1468.1</c:v>
                </c:pt>
                <c:pt idx="131">
                  <c:v>1491.8</c:v>
                </c:pt>
                <c:pt idx="132">
                  <c:v>1556.5</c:v>
                </c:pt>
                <c:pt idx="133">
                  <c:v>1563</c:v>
                </c:pt>
                <c:pt idx="134">
                  <c:v>1563.4</c:v>
                </c:pt>
                <c:pt idx="135">
                  <c:v>1566.6</c:v>
                </c:pt>
                <c:pt idx="136">
                  <c:v>1571.9</c:v>
                </c:pt>
                <c:pt idx="137">
                  <c:v>1574.7</c:v>
                </c:pt>
                <c:pt idx="138">
                  <c:v>1611.6</c:v>
                </c:pt>
                <c:pt idx="139">
                  <c:v>1631.8</c:v>
                </c:pt>
                <c:pt idx="140">
                  <c:v>1654.8</c:v>
                </c:pt>
                <c:pt idx="141">
                  <c:v>1662.2</c:v>
                </c:pt>
                <c:pt idx="142">
                  <c:v>1735.2</c:v>
                </c:pt>
                <c:pt idx="143">
                  <c:v>1764.3</c:v>
                </c:pt>
                <c:pt idx="144">
                  <c:v>1780.5</c:v>
                </c:pt>
                <c:pt idx="145">
                  <c:v>1805.1</c:v>
                </c:pt>
                <c:pt idx="146">
                  <c:v>1822.2</c:v>
                </c:pt>
                <c:pt idx="147">
                  <c:v>1841.3</c:v>
                </c:pt>
                <c:pt idx="148">
                  <c:v>1843.5</c:v>
                </c:pt>
                <c:pt idx="149">
                  <c:v>1885.3</c:v>
                </c:pt>
                <c:pt idx="150">
                  <c:v>1887.8</c:v>
                </c:pt>
                <c:pt idx="151">
                  <c:v>1922.1</c:v>
                </c:pt>
                <c:pt idx="152">
                  <c:v>1990.7</c:v>
                </c:pt>
                <c:pt idx="153">
                  <c:v>2011.7</c:v>
                </c:pt>
                <c:pt idx="154">
                  <c:v>2022.2</c:v>
                </c:pt>
                <c:pt idx="155">
                  <c:v>2035.7</c:v>
                </c:pt>
                <c:pt idx="156">
                  <c:v>2067.1999999999998</c:v>
                </c:pt>
                <c:pt idx="157">
                  <c:v>2068.9</c:v>
                </c:pt>
                <c:pt idx="158">
                  <c:v>2086.9</c:v>
                </c:pt>
                <c:pt idx="159">
                  <c:v>2094.5</c:v>
                </c:pt>
                <c:pt idx="160">
                  <c:v>2102.4</c:v>
                </c:pt>
                <c:pt idx="161">
                  <c:v>2115.4</c:v>
                </c:pt>
                <c:pt idx="162">
                  <c:v>2121.3000000000002</c:v>
                </c:pt>
                <c:pt idx="163">
                  <c:v>2142.9</c:v>
                </c:pt>
                <c:pt idx="164">
                  <c:v>2148.1999999999998</c:v>
                </c:pt>
                <c:pt idx="165">
                  <c:v>2236.1</c:v>
                </c:pt>
                <c:pt idx="166">
                  <c:v>2307.9</c:v>
                </c:pt>
                <c:pt idx="167">
                  <c:v>2330</c:v>
                </c:pt>
                <c:pt idx="168">
                  <c:v>2331.4</c:v>
                </c:pt>
                <c:pt idx="169">
                  <c:v>2334.6</c:v>
                </c:pt>
                <c:pt idx="170">
                  <c:v>2388.4</c:v>
                </c:pt>
                <c:pt idx="171">
                  <c:v>2418.6999999999998</c:v>
                </c:pt>
                <c:pt idx="172">
                  <c:v>2428.3000000000002</c:v>
                </c:pt>
                <c:pt idx="173">
                  <c:v>2435</c:v>
                </c:pt>
                <c:pt idx="174">
                  <c:v>2462</c:v>
                </c:pt>
                <c:pt idx="175">
                  <c:v>2494.6</c:v>
                </c:pt>
                <c:pt idx="176">
                  <c:v>2519.8000000000002</c:v>
                </c:pt>
                <c:pt idx="177">
                  <c:v>2527.6999999999998</c:v>
                </c:pt>
                <c:pt idx="178">
                  <c:v>2529.6999999999998</c:v>
                </c:pt>
                <c:pt idx="179">
                  <c:v>2538.5</c:v>
                </c:pt>
                <c:pt idx="180">
                  <c:v>2577.5</c:v>
                </c:pt>
                <c:pt idx="181">
                  <c:v>2606.1</c:v>
                </c:pt>
                <c:pt idx="182">
                  <c:v>2630.3</c:v>
                </c:pt>
                <c:pt idx="183">
                  <c:v>2652.8</c:v>
                </c:pt>
                <c:pt idx="184">
                  <c:v>2699.9</c:v>
                </c:pt>
                <c:pt idx="185">
                  <c:v>2727</c:v>
                </c:pt>
                <c:pt idx="186">
                  <c:v>2739.6</c:v>
                </c:pt>
                <c:pt idx="187">
                  <c:v>2749.4</c:v>
                </c:pt>
                <c:pt idx="188">
                  <c:v>2825.9</c:v>
                </c:pt>
                <c:pt idx="189">
                  <c:v>2831.4</c:v>
                </c:pt>
                <c:pt idx="190">
                  <c:v>2848.7</c:v>
                </c:pt>
                <c:pt idx="191">
                  <c:v>2877.9</c:v>
                </c:pt>
                <c:pt idx="192">
                  <c:v>2918.8</c:v>
                </c:pt>
                <c:pt idx="193">
                  <c:v>2926.2</c:v>
                </c:pt>
                <c:pt idx="194">
                  <c:v>2940.4</c:v>
                </c:pt>
                <c:pt idx="195">
                  <c:v>2967.8</c:v>
                </c:pt>
                <c:pt idx="196">
                  <c:v>3059.5</c:v>
                </c:pt>
                <c:pt idx="197">
                  <c:v>3127.3</c:v>
                </c:pt>
                <c:pt idx="198">
                  <c:v>3171</c:v>
                </c:pt>
                <c:pt idx="199">
                  <c:v>3171</c:v>
                </c:pt>
                <c:pt idx="200">
                  <c:v>3210.2</c:v>
                </c:pt>
                <c:pt idx="201">
                  <c:v>3259.7</c:v>
                </c:pt>
                <c:pt idx="202">
                  <c:v>3269.1</c:v>
                </c:pt>
                <c:pt idx="203">
                  <c:v>3280.7</c:v>
                </c:pt>
                <c:pt idx="204">
                  <c:v>3311.1</c:v>
                </c:pt>
                <c:pt idx="205">
                  <c:v>3397.9</c:v>
                </c:pt>
                <c:pt idx="206">
                  <c:v>3419.1</c:v>
                </c:pt>
                <c:pt idx="207">
                  <c:v>3427.8</c:v>
                </c:pt>
                <c:pt idx="208">
                  <c:v>3456</c:v>
                </c:pt>
                <c:pt idx="209">
                  <c:v>3457.2</c:v>
                </c:pt>
                <c:pt idx="210">
                  <c:v>3488.8</c:v>
                </c:pt>
                <c:pt idx="211">
                  <c:v>3500.5</c:v>
                </c:pt>
                <c:pt idx="212">
                  <c:v>3540.8</c:v>
                </c:pt>
                <c:pt idx="213">
                  <c:v>3562.9</c:v>
                </c:pt>
                <c:pt idx="214">
                  <c:v>3629</c:v>
                </c:pt>
                <c:pt idx="215">
                  <c:v>3672.6</c:v>
                </c:pt>
                <c:pt idx="216">
                  <c:v>3694.4</c:v>
                </c:pt>
                <c:pt idx="217">
                  <c:v>3718.9</c:v>
                </c:pt>
                <c:pt idx="218">
                  <c:v>3725.8</c:v>
                </c:pt>
                <c:pt idx="219">
                  <c:v>3737.9</c:v>
                </c:pt>
                <c:pt idx="220">
                  <c:v>3814.2</c:v>
                </c:pt>
                <c:pt idx="221">
                  <c:v>3850.8</c:v>
                </c:pt>
                <c:pt idx="222">
                  <c:v>4055.3</c:v>
                </c:pt>
                <c:pt idx="223">
                  <c:v>4134.6000000000004</c:v>
                </c:pt>
                <c:pt idx="224">
                  <c:v>4156.5</c:v>
                </c:pt>
                <c:pt idx="225">
                  <c:v>4170.7</c:v>
                </c:pt>
                <c:pt idx="226">
                  <c:v>4198.8</c:v>
                </c:pt>
                <c:pt idx="227">
                  <c:v>4315.3999999999996</c:v>
                </c:pt>
                <c:pt idx="228">
                  <c:v>4329.7</c:v>
                </c:pt>
                <c:pt idx="229">
                  <c:v>4579.1000000000004</c:v>
                </c:pt>
                <c:pt idx="230">
                  <c:v>4614.8999999999996</c:v>
                </c:pt>
                <c:pt idx="231">
                  <c:v>4651.5</c:v>
                </c:pt>
                <c:pt idx="232">
                  <c:v>4884.8</c:v>
                </c:pt>
                <c:pt idx="233">
                  <c:v>4922.8</c:v>
                </c:pt>
                <c:pt idx="234">
                  <c:v>4933.6000000000004</c:v>
                </c:pt>
                <c:pt idx="235">
                  <c:v>4983</c:v>
                </c:pt>
                <c:pt idx="236">
                  <c:v>4989.7</c:v>
                </c:pt>
                <c:pt idx="237">
                  <c:v>5015.8999999999996</c:v>
                </c:pt>
                <c:pt idx="238">
                  <c:v>5116.7</c:v>
                </c:pt>
                <c:pt idx="239">
                  <c:v>5140.6000000000004</c:v>
                </c:pt>
                <c:pt idx="240">
                  <c:v>5271.2</c:v>
                </c:pt>
                <c:pt idx="241">
                  <c:v>5336.1</c:v>
                </c:pt>
                <c:pt idx="242">
                  <c:v>5405.9</c:v>
                </c:pt>
                <c:pt idx="243">
                  <c:v>5429.5</c:v>
                </c:pt>
                <c:pt idx="244">
                  <c:v>5431.5</c:v>
                </c:pt>
                <c:pt idx="245">
                  <c:v>5491.4</c:v>
                </c:pt>
                <c:pt idx="246">
                  <c:v>5704.6</c:v>
                </c:pt>
                <c:pt idx="247">
                  <c:v>5729.1</c:v>
                </c:pt>
                <c:pt idx="248">
                  <c:v>5757.4</c:v>
                </c:pt>
                <c:pt idx="249">
                  <c:v>5807.9</c:v>
                </c:pt>
                <c:pt idx="250">
                  <c:v>5816.7</c:v>
                </c:pt>
                <c:pt idx="251">
                  <c:v>6040.3</c:v>
                </c:pt>
                <c:pt idx="252">
                  <c:v>6148.5</c:v>
                </c:pt>
                <c:pt idx="253">
                  <c:v>6185.1</c:v>
                </c:pt>
                <c:pt idx="254">
                  <c:v>6185.9</c:v>
                </c:pt>
                <c:pt idx="255">
                  <c:v>6199.5</c:v>
                </c:pt>
                <c:pt idx="256">
                  <c:v>6220.4</c:v>
                </c:pt>
                <c:pt idx="257">
                  <c:v>6327.8</c:v>
                </c:pt>
                <c:pt idx="258">
                  <c:v>6355.1</c:v>
                </c:pt>
                <c:pt idx="259">
                  <c:v>6361.7</c:v>
                </c:pt>
                <c:pt idx="260">
                  <c:v>6444.5</c:v>
                </c:pt>
                <c:pt idx="261">
                  <c:v>6494.6</c:v>
                </c:pt>
                <c:pt idx="262">
                  <c:v>6557.2</c:v>
                </c:pt>
                <c:pt idx="263">
                  <c:v>6645.3</c:v>
                </c:pt>
                <c:pt idx="264">
                  <c:v>6647.9</c:v>
                </c:pt>
                <c:pt idx="265">
                  <c:v>6792.6</c:v>
                </c:pt>
                <c:pt idx="266">
                  <c:v>6840</c:v>
                </c:pt>
                <c:pt idx="267">
                  <c:v>6880.4</c:v>
                </c:pt>
                <c:pt idx="268">
                  <c:v>6894.2</c:v>
                </c:pt>
                <c:pt idx="269">
                  <c:v>6967.8</c:v>
                </c:pt>
                <c:pt idx="270">
                  <c:v>7353.6</c:v>
                </c:pt>
                <c:pt idx="271">
                  <c:v>7383</c:v>
                </c:pt>
                <c:pt idx="272">
                  <c:v>7497.2</c:v>
                </c:pt>
                <c:pt idx="273">
                  <c:v>7554.6</c:v>
                </c:pt>
                <c:pt idx="274">
                  <c:v>7601.1</c:v>
                </c:pt>
                <c:pt idx="275">
                  <c:v>7887.2</c:v>
                </c:pt>
                <c:pt idx="276">
                  <c:v>7914</c:v>
                </c:pt>
                <c:pt idx="277">
                  <c:v>8044.6</c:v>
                </c:pt>
                <c:pt idx="278">
                  <c:v>8067.7</c:v>
                </c:pt>
                <c:pt idx="279">
                  <c:v>8090.8</c:v>
                </c:pt>
                <c:pt idx="280">
                  <c:v>8100.1</c:v>
                </c:pt>
                <c:pt idx="281">
                  <c:v>8234</c:v>
                </c:pt>
                <c:pt idx="282">
                  <c:v>8259</c:v>
                </c:pt>
                <c:pt idx="283">
                  <c:v>8263.7999999999993</c:v>
                </c:pt>
                <c:pt idx="284">
                  <c:v>8431.1</c:v>
                </c:pt>
                <c:pt idx="285">
                  <c:v>8584.4</c:v>
                </c:pt>
                <c:pt idx="286">
                  <c:v>8618.6</c:v>
                </c:pt>
                <c:pt idx="287">
                  <c:v>8622.4</c:v>
                </c:pt>
                <c:pt idx="288">
                  <c:v>8799.2000000000007</c:v>
                </c:pt>
                <c:pt idx="289">
                  <c:v>9187.4</c:v>
                </c:pt>
                <c:pt idx="290">
                  <c:v>9250.6</c:v>
                </c:pt>
                <c:pt idx="291">
                  <c:v>9368.9</c:v>
                </c:pt>
                <c:pt idx="292">
                  <c:v>9438.4</c:v>
                </c:pt>
                <c:pt idx="293">
                  <c:v>9508.6</c:v>
                </c:pt>
                <c:pt idx="294">
                  <c:v>9643.9</c:v>
                </c:pt>
                <c:pt idx="295">
                  <c:v>9765.2999999999993</c:v>
                </c:pt>
                <c:pt idx="296">
                  <c:v>9906.2999999999993</c:v>
                </c:pt>
                <c:pt idx="297">
                  <c:v>9914.1</c:v>
                </c:pt>
                <c:pt idx="298">
                  <c:v>10174.9</c:v>
                </c:pt>
                <c:pt idx="299">
                  <c:v>10345.200000000001</c:v>
                </c:pt>
                <c:pt idx="300">
                  <c:v>10443</c:v>
                </c:pt>
                <c:pt idx="301">
                  <c:v>10507.9</c:v>
                </c:pt>
                <c:pt idx="302">
                  <c:v>10578.6</c:v>
                </c:pt>
                <c:pt idx="303">
                  <c:v>10602.9</c:v>
                </c:pt>
                <c:pt idx="304">
                  <c:v>10608.2</c:v>
                </c:pt>
                <c:pt idx="305">
                  <c:v>10644.8</c:v>
                </c:pt>
                <c:pt idx="306">
                  <c:v>10674.7</c:v>
                </c:pt>
                <c:pt idx="307">
                  <c:v>10806.1</c:v>
                </c:pt>
                <c:pt idx="308">
                  <c:v>10887.2</c:v>
                </c:pt>
                <c:pt idx="309">
                  <c:v>10940</c:v>
                </c:pt>
                <c:pt idx="310">
                  <c:v>11112.1</c:v>
                </c:pt>
                <c:pt idx="311">
                  <c:v>11181.7</c:v>
                </c:pt>
                <c:pt idx="312">
                  <c:v>11208.3</c:v>
                </c:pt>
                <c:pt idx="313">
                  <c:v>11208.3</c:v>
                </c:pt>
                <c:pt idx="314">
                  <c:v>12270.3</c:v>
                </c:pt>
                <c:pt idx="315">
                  <c:v>12279.1</c:v>
                </c:pt>
                <c:pt idx="316">
                  <c:v>12338.7</c:v>
                </c:pt>
                <c:pt idx="317">
                  <c:v>12621.1</c:v>
                </c:pt>
                <c:pt idx="318">
                  <c:v>12678.8</c:v>
                </c:pt>
                <c:pt idx="319">
                  <c:v>12746.3</c:v>
                </c:pt>
                <c:pt idx="320">
                  <c:v>12767.4</c:v>
                </c:pt>
                <c:pt idx="321">
                  <c:v>13476</c:v>
                </c:pt>
                <c:pt idx="322">
                  <c:v>13626.1</c:v>
                </c:pt>
                <c:pt idx="323">
                  <c:v>13662.7</c:v>
                </c:pt>
                <c:pt idx="324">
                  <c:v>14213.4</c:v>
                </c:pt>
                <c:pt idx="325">
                  <c:v>14230.3</c:v>
                </c:pt>
                <c:pt idx="326">
                  <c:v>14300.8</c:v>
                </c:pt>
                <c:pt idx="327">
                  <c:v>14539.4</c:v>
                </c:pt>
                <c:pt idx="328">
                  <c:v>14600.8</c:v>
                </c:pt>
                <c:pt idx="329">
                  <c:v>14653.9</c:v>
                </c:pt>
                <c:pt idx="330">
                  <c:v>14784.8</c:v>
                </c:pt>
                <c:pt idx="331">
                  <c:v>14787.8</c:v>
                </c:pt>
                <c:pt idx="332">
                  <c:v>15193.2</c:v>
                </c:pt>
                <c:pt idx="333">
                  <c:v>15526.3</c:v>
                </c:pt>
                <c:pt idx="334">
                  <c:v>15667.7</c:v>
                </c:pt>
                <c:pt idx="335">
                  <c:v>15724.2</c:v>
                </c:pt>
                <c:pt idx="336">
                  <c:v>15727.5</c:v>
                </c:pt>
                <c:pt idx="337">
                  <c:v>15845.1</c:v>
                </c:pt>
                <c:pt idx="338">
                  <c:v>16532.8</c:v>
                </c:pt>
                <c:pt idx="339">
                  <c:v>16576.599999999999</c:v>
                </c:pt>
                <c:pt idx="340">
                  <c:v>16609.599999999999</c:v>
                </c:pt>
                <c:pt idx="341">
                  <c:v>16620.599999999999</c:v>
                </c:pt>
                <c:pt idx="342">
                  <c:v>16866.400000000001</c:v>
                </c:pt>
                <c:pt idx="343">
                  <c:v>16885.3</c:v>
                </c:pt>
                <c:pt idx="344">
                  <c:v>17114.8</c:v>
                </c:pt>
                <c:pt idx="345">
                  <c:v>17441.599999999999</c:v>
                </c:pt>
                <c:pt idx="346">
                  <c:v>18023.099999999999</c:v>
                </c:pt>
                <c:pt idx="347">
                  <c:v>18430.400000000001</c:v>
                </c:pt>
                <c:pt idx="348">
                  <c:v>18563.900000000001</c:v>
                </c:pt>
                <c:pt idx="349">
                  <c:v>18568.400000000001</c:v>
                </c:pt>
                <c:pt idx="350">
                  <c:v>18690.099999999999</c:v>
                </c:pt>
                <c:pt idx="351">
                  <c:v>19078.2</c:v>
                </c:pt>
                <c:pt idx="352">
                  <c:v>19384</c:v>
                </c:pt>
                <c:pt idx="353">
                  <c:v>19789.099999999999</c:v>
                </c:pt>
                <c:pt idx="354">
                  <c:v>19930.900000000001</c:v>
                </c:pt>
                <c:pt idx="355">
                  <c:v>20906.8</c:v>
                </c:pt>
                <c:pt idx="356">
                  <c:v>20917.900000000001</c:v>
                </c:pt>
                <c:pt idx="357">
                  <c:v>21154.7</c:v>
                </c:pt>
                <c:pt idx="358">
                  <c:v>21626</c:v>
                </c:pt>
                <c:pt idx="359">
                  <c:v>21679.599999999999</c:v>
                </c:pt>
                <c:pt idx="360">
                  <c:v>21775.4</c:v>
                </c:pt>
                <c:pt idx="361">
                  <c:v>22136</c:v>
                </c:pt>
                <c:pt idx="362">
                  <c:v>23234.1</c:v>
                </c:pt>
                <c:pt idx="363">
                  <c:v>23572.1</c:v>
                </c:pt>
                <c:pt idx="364">
                  <c:v>23670.5</c:v>
                </c:pt>
                <c:pt idx="365">
                  <c:v>25166.7</c:v>
                </c:pt>
                <c:pt idx="366">
                  <c:v>25968.9</c:v>
                </c:pt>
                <c:pt idx="367">
                  <c:v>27095.599999999999</c:v>
                </c:pt>
                <c:pt idx="368">
                  <c:v>28104.400000000001</c:v>
                </c:pt>
                <c:pt idx="369">
                  <c:v>29514.5</c:v>
                </c:pt>
                <c:pt idx="370">
                  <c:v>29525.3</c:v>
                </c:pt>
                <c:pt idx="371">
                  <c:v>30092</c:v>
                </c:pt>
                <c:pt idx="372">
                  <c:v>32242.7</c:v>
                </c:pt>
                <c:pt idx="373">
                  <c:v>32773.300000000003</c:v>
                </c:pt>
                <c:pt idx="374">
                  <c:v>34285.300000000003</c:v>
                </c:pt>
                <c:pt idx="375">
                  <c:v>35089.699999999997</c:v>
                </c:pt>
                <c:pt idx="376">
                  <c:v>37579.599999999999</c:v>
                </c:pt>
                <c:pt idx="377">
                  <c:v>37887.699999999997</c:v>
                </c:pt>
                <c:pt idx="378">
                  <c:v>40205.800000000003</c:v>
                </c:pt>
                <c:pt idx="379">
                  <c:v>41495</c:v>
                </c:pt>
                <c:pt idx="380">
                  <c:v>42013.4</c:v>
                </c:pt>
                <c:pt idx="381">
                  <c:v>42428.6</c:v>
                </c:pt>
                <c:pt idx="382">
                  <c:v>44108.4</c:v>
                </c:pt>
                <c:pt idx="383">
                  <c:v>45969.9</c:v>
                </c:pt>
                <c:pt idx="384">
                  <c:v>47142.9</c:v>
                </c:pt>
                <c:pt idx="385">
                  <c:v>47983.9</c:v>
                </c:pt>
                <c:pt idx="386">
                  <c:v>48858.400000000001</c:v>
                </c:pt>
                <c:pt idx="387">
                  <c:v>50307.9</c:v>
                </c:pt>
                <c:pt idx="388">
                  <c:v>50790</c:v>
                </c:pt>
                <c:pt idx="389">
                  <c:v>53678.8</c:v>
                </c:pt>
                <c:pt idx="390">
                  <c:v>55354.400000000001</c:v>
                </c:pt>
                <c:pt idx="391">
                  <c:v>61307.1</c:v>
                </c:pt>
                <c:pt idx="392">
                  <c:v>62570.400000000001</c:v>
                </c:pt>
                <c:pt idx="393">
                  <c:v>67629.2</c:v>
                </c:pt>
                <c:pt idx="394">
                  <c:v>90072.3</c:v>
                </c:pt>
                <c:pt idx="395">
                  <c:v>180498.3</c:v>
                </c:pt>
                <c:pt idx="396">
                  <c:v>187895.2</c:v>
                </c:pt>
                <c:pt idx="397">
                  <c:v>205699.3</c:v>
                </c:pt>
                <c:pt idx="398">
                  <c:v>231204.8</c:v>
                </c:pt>
                <c:pt idx="399">
                  <c:v>244785.8</c:v>
                </c:pt>
              </c:numCache>
            </c:numRef>
          </c:val>
          <c:smooth val="0"/>
          <c:extLst>
            <c:ext xmlns:c16="http://schemas.microsoft.com/office/drawing/2014/chart" uri="{C3380CC4-5D6E-409C-BE32-E72D297353CC}">
              <c16:uniqueId val="{00000000-71C7-402D-AA7F-D0715B3DF68F}"/>
            </c:ext>
          </c:extLst>
        </c:ser>
        <c:dLbls>
          <c:showLegendKey val="0"/>
          <c:showVal val="0"/>
          <c:showCatName val="0"/>
          <c:showSerName val="0"/>
          <c:showPercent val="0"/>
          <c:showBubbleSize val="0"/>
        </c:dLbls>
        <c:smooth val="0"/>
        <c:axId val="1104908463"/>
        <c:axId val="1104909903"/>
      </c:lineChart>
      <c:catAx>
        <c:axId val="11049084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104909903"/>
        <c:crosses val="autoZero"/>
        <c:auto val="1"/>
        <c:lblAlgn val="ctr"/>
        <c:lblOffset val="100"/>
        <c:noMultiLvlLbl val="0"/>
      </c:catAx>
      <c:valAx>
        <c:axId val="1104909903"/>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10490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Log</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Log</a:t>
          </a:r>
        </a:p>
      </cx:txPr>
    </cx:title>
    <cx:plotArea>
      <cx:plotAreaRegion>
        <cx:series layoutId="clusteredColumn" uniqueId="{1FFB52FA-0F54-455E-BFE3-57776AF9D5F8}">
          <cx:tx>
            <cx:txData>
              <cx:f>_xlchart.v1.0</cx:f>
              <cx:v>Log</cx:v>
            </cx:txData>
          </cx:tx>
          <cx:dataId val="0"/>
          <cx:layoutPr>
            <cx:binning intervalClosed="r"/>
          </cx:layoutPr>
        </cx:series>
      </cx:plotAreaRegion>
      <cx:axis id="0">
        <cx:catScaling/>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13</xdr:col>
      <xdr:colOff>107950</xdr:colOff>
      <xdr:row>10</xdr:row>
      <xdr:rowOff>120650</xdr:rowOff>
    </xdr:from>
    <xdr:to>
      <xdr:col>15</xdr:col>
      <xdr:colOff>615950</xdr:colOff>
      <xdr:row>20</xdr:row>
      <xdr:rowOff>0</xdr:rowOff>
    </xdr:to>
    <mc:AlternateContent xmlns:mc="http://schemas.openxmlformats.org/markup-compatibility/2006">
      <mc:Choice xmlns:sle15="http://schemas.microsoft.com/office/drawing/2012/slicer" Requires="sle15">
        <xdr:graphicFrame macro="">
          <xdr:nvGraphicFramePr>
            <xdr:cNvPr id="2" name="Product">
              <a:extLst>
                <a:ext uri="{FF2B5EF4-FFF2-40B4-BE49-F238E27FC236}">
                  <a16:creationId xmlns:a16="http://schemas.microsoft.com/office/drawing/2014/main" id="{BABFCB7A-FF2A-4FB0-9657-22A11B7C70E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010650" y="2089150"/>
              <a:ext cx="1828800" cy="18478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133350</xdr:colOff>
      <xdr:row>4</xdr:row>
      <xdr:rowOff>95250</xdr:rowOff>
    </xdr:from>
    <xdr:to>
      <xdr:col>18</xdr:col>
      <xdr:colOff>641350</xdr:colOff>
      <xdr:row>18</xdr:row>
      <xdr:rowOff>53969</xdr:rowOff>
    </xdr:to>
    <mc:AlternateContent xmlns:mc="http://schemas.openxmlformats.org/markup-compatibility/2006">
      <mc:Choice xmlns:sle15="http://schemas.microsoft.com/office/drawing/2012/slicer" Requires="sle15">
        <xdr:graphicFrame macro="">
          <xdr:nvGraphicFramePr>
            <xdr:cNvPr id="3" name="Region">
              <a:extLst>
                <a:ext uri="{FF2B5EF4-FFF2-40B4-BE49-F238E27FC236}">
                  <a16:creationId xmlns:a16="http://schemas.microsoft.com/office/drawing/2014/main" id="{4694F98A-0E7C-4823-B519-60355F5109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017250" y="8826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57150</xdr:colOff>
      <xdr:row>4</xdr:row>
      <xdr:rowOff>107950</xdr:rowOff>
    </xdr:from>
    <xdr:to>
      <xdr:col>21</xdr:col>
      <xdr:colOff>565150</xdr:colOff>
      <xdr:row>18</xdr:row>
      <xdr:rowOff>66669</xdr:rowOff>
    </xdr:to>
    <mc:AlternateContent xmlns:mc="http://schemas.openxmlformats.org/markup-compatibility/2006">
      <mc:Choice xmlns:sle15="http://schemas.microsoft.com/office/drawing/2012/slicer" Requires="sle15">
        <xdr:graphicFrame macro="">
          <xdr:nvGraphicFramePr>
            <xdr:cNvPr id="4" name="Employee">
              <a:extLst>
                <a:ext uri="{FF2B5EF4-FFF2-40B4-BE49-F238E27FC236}">
                  <a16:creationId xmlns:a16="http://schemas.microsoft.com/office/drawing/2014/main" id="{2A34B077-47C6-4460-88F9-00DCB731E1CA}"/>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dr:sp macro="" textlink="">
          <xdr:nvSpPr>
            <xdr:cNvPr id="0" name=""/>
            <xdr:cNvSpPr>
              <a:spLocks noTextEdit="1"/>
            </xdr:cNvSpPr>
          </xdr:nvSpPr>
          <xdr:spPr>
            <a:xfrm>
              <a:off x="12922250" y="8953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158750</xdr:colOff>
      <xdr:row>16</xdr:row>
      <xdr:rowOff>165100</xdr:rowOff>
    </xdr:from>
    <xdr:to>
      <xdr:col>14</xdr:col>
      <xdr:colOff>1054100</xdr:colOff>
      <xdr:row>30</xdr:row>
      <xdr:rowOff>123819</xdr:rowOff>
    </xdr:to>
    <mc:AlternateContent xmlns:mc="http://schemas.openxmlformats.org/markup-compatibility/2006">
      <mc:Choice xmlns:a14="http://schemas.microsoft.com/office/drawing/2010/main" Requires="a14">
        <xdr:graphicFrame macro="">
          <xdr:nvGraphicFramePr>
            <xdr:cNvPr id="2" name="Product 1">
              <a:extLst>
                <a:ext uri="{FF2B5EF4-FFF2-40B4-BE49-F238E27FC236}">
                  <a16:creationId xmlns:a16="http://schemas.microsoft.com/office/drawing/2014/main" id="{269A1D10-DBAA-4023-8A49-2797EAC68F2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160000" y="33210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190500</xdr:colOff>
      <xdr:row>17</xdr:row>
      <xdr:rowOff>76200</xdr:rowOff>
    </xdr:from>
    <xdr:to>
      <xdr:col>16</xdr:col>
      <xdr:colOff>800100</xdr:colOff>
      <xdr:row>31</xdr:row>
      <xdr:rowOff>34919</xdr:rowOff>
    </xdr:to>
    <mc:AlternateContent xmlns:mc="http://schemas.openxmlformats.org/markup-compatibility/2006">
      <mc:Choice xmlns:a14="http://schemas.microsoft.com/office/drawing/2010/main" Requires="a14">
        <xdr:graphicFrame macro="">
          <xdr:nvGraphicFramePr>
            <xdr:cNvPr id="3" name="Employee 1">
              <a:extLst>
                <a:ext uri="{FF2B5EF4-FFF2-40B4-BE49-F238E27FC236}">
                  <a16:creationId xmlns:a16="http://schemas.microsoft.com/office/drawing/2014/main" id="{8BA7A506-085E-48DB-B752-CDCB1DBE7CE1}"/>
                </a:ext>
              </a:extLst>
            </xdr:cNvPr>
            <xdr:cNvGraphicFramePr/>
          </xdr:nvGraphicFramePr>
          <xdr:xfrm>
            <a:off x="0" y="0"/>
            <a:ext cx="0" cy="0"/>
          </xdr:xfrm>
          <a:graphic>
            <a:graphicData uri="http://schemas.microsoft.com/office/drawing/2010/slicer">
              <sle:slicer xmlns:sle="http://schemas.microsoft.com/office/drawing/2010/slicer" name="Employee 1"/>
            </a:graphicData>
          </a:graphic>
        </xdr:graphicFrame>
      </mc:Choice>
      <mc:Fallback>
        <xdr:sp macro="" textlink="">
          <xdr:nvSpPr>
            <xdr:cNvPr id="0" name=""/>
            <xdr:cNvSpPr>
              <a:spLocks noTextEdit="1"/>
            </xdr:cNvSpPr>
          </xdr:nvSpPr>
          <xdr:spPr>
            <a:xfrm>
              <a:off x="12274550" y="34290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666750</xdr:colOff>
      <xdr:row>14</xdr:row>
      <xdr:rowOff>53975</xdr:rowOff>
    </xdr:from>
    <xdr:to>
      <xdr:col>23</xdr:col>
      <xdr:colOff>190500</xdr:colOff>
      <xdr:row>28</xdr:row>
      <xdr:rowOff>41275</xdr:rowOff>
    </xdr:to>
    <xdr:graphicFrame macro="">
      <xdr:nvGraphicFramePr>
        <xdr:cNvPr id="4" name="Chart 3">
          <a:extLst>
            <a:ext uri="{FF2B5EF4-FFF2-40B4-BE49-F238E27FC236}">
              <a16:creationId xmlns:a16="http://schemas.microsoft.com/office/drawing/2014/main" id="{90D48E14-857C-41FC-B76D-DC0CFD007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492803</xdr:colOff>
      <xdr:row>5</xdr:row>
      <xdr:rowOff>1519</xdr:rowOff>
    </xdr:from>
    <xdr:to>
      <xdr:col>11</xdr:col>
      <xdr:colOff>429846</xdr:colOff>
      <xdr:row>19</xdr:row>
      <xdr:rowOff>9334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6BEAA41-A891-49C1-B2DE-AEB1E6D65C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34403" y="985769"/>
              <a:ext cx="4559843" cy="27637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427675</xdr:colOff>
      <xdr:row>5</xdr:row>
      <xdr:rowOff>17802</xdr:rowOff>
    </xdr:from>
    <xdr:to>
      <xdr:col>11</xdr:col>
      <xdr:colOff>364718</xdr:colOff>
      <xdr:row>19</xdr:row>
      <xdr:rowOff>25617</xdr:rowOff>
    </xdr:to>
    <xdr:graphicFrame macro="">
      <xdr:nvGraphicFramePr>
        <xdr:cNvPr id="3" name="Chart 2">
          <a:extLst>
            <a:ext uri="{FF2B5EF4-FFF2-40B4-BE49-F238E27FC236}">
              <a16:creationId xmlns:a16="http://schemas.microsoft.com/office/drawing/2014/main" id="{A732D8CA-2AC3-42A4-AC1F-D7A2CFFE8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1250950</xdr:colOff>
          <xdr:row>0</xdr:row>
          <xdr:rowOff>38100</xdr:rowOff>
        </xdr:from>
        <xdr:to>
          <xdr:col>5</xdr:col>
          <xdr:colOff>6350</xdr:colOff>
          <xdr:row>2</xdr:row>
          <xdr:rowOff>0</xdr:rowOff>
        </xdr:to>
        <xdr:sp macro="" textlink="">
          <xdr:nvSpPr>
            <xdr:cNvPr id="5121" name="Button 1" hidden="1">
              <a:extLst>
                <a:ext uri="{63B3BB69-23CF-44E3-9099-C40C66FF867C}">
                  <a14:compatExt spid="_x0000_s5121"/>
                </a:ext>
                <a:ext uri="{FF2B5EF4-FFF2-40B4-BE49-F238E27FC236}">
                  <a16:creationId xmlns:a16="http://schemas.microsoft.com/office/drawing/2014/main" id="{FF0D99DE-87EE-4E17-BE3B-B3C291556C33}"/>
                </a:ext>
              </a:extLst>
            </xdr:cNvPr>
            <xdr:cNvSpPr/>
          </xdr:nvSpPr>
          <xdr:spPr bwMode="auto">
            <a:xfrm>
              <a:off x="0" y="0"/>
              <a:ext cx="0" cy="0"/>
            </a:xfrm>
            <a:prstGeom prst="rect">
              <a:avLst/>
            </a:prstGeom>
            <a:noFill/>
            <a:ln w="9525">
              <a:miter lim="800000"/>
              <a:headEnd/>
              <a:tailEnd/>
            </a:ln>
          </xdr:spPr>
          <xdr:txBody>
            <a:bodyPr vertOverflow="clip" wrap="square" lIns="45720" tIns="45720" rIns="45720" bIns="45720" anchor="ctr" upright="1"/>
            <a:lstStyle/>
            <a:p>
              <a:pPr algn="ctr" rtl="0">
                <a:defRPr sz="1000"/>
              </a:pPr>
              <a:r>
                <a:rPr lang="en-US" sz="1100" b="0" i="0" u="none" strike="noStrike" baseline="0">
                  <a:solidFill>
                    <a:srgbClr val="000000"/>
                  </a:solidFill>
                  <a:latin typeface="Calibri"/>
                  <a:ea typeface="Calibri"/>
                  <a:cs typeface="Calibri"/>
                </a:rPr>
                <a:t>RUN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19050</xdr:colOff>
          <xdr:row>2</xdr:row>
          <xdr:rowOff>6350</xdr:rowOff>
        </xdr:from>
        <xdr:to>
          <xdr:col>5</xdr:col>
          <xdr:colOff>6350</xdr:colOff>
          <xdr:row>3</xdr:row>
          <xdr:rowOff>152400</xdr:rowOff>
        </xdr:to>
        <xdr:sp macro="" textlink="">
          <xdr:nvSpPr>
            <xdr:cNvPr id="5122" name="Button 2" hidden="1">
              <a:extLst>
                <a:ext uri="{63B3BB69-23CF-44E3-9099-C40C66FF867C}">
                  <a14:compatExt spid="_x0000_s5122"/>
                </a:ext>
                <a:ext uri="{FF2B5EF4-FFF2-40B4-BE49-F238E27FC236}">
                  <a16:creationId xmlns:a16="http://schemas.microsoft.com/office/drawing/2014/main" id="{23D60E36-D90C-4707-BB15-763157E48FCA}"/>
                </a:ext>
              </a:extLst>
            </xdr:cNvPr>
            <xdr:cNvSpPr/>
          </xdr:nvSpPr>
          <xdr:spPr bwMode="auto">
            <a:xfrm>
              <a:off x="0" y="0"/>
              <a:ext cx="0" cy="0"/>
            </a:xfrm>
            <a:prstGeom prst="rect">
              <a:avLst/>
            </a:prstGeom>
            <a:noFill/>
            <a:ln w="9525">
              <a:miter lim="800000"/>
              <a:headEnd/>
              <a:tailEnd/>
            </a:ln>
          </xdr:spPr>
          <xdr:txBody>
            <a:bodyPr vertOverflow="clip" wrap="square" lIns="45720" tIns="45720" rIns="45720" bIns="45720" anchor="ctr" upright="1"/>
            <a:lstStyle/>
            <a:p>
              <a:pPr algn="ctr" rtl="0">
                <a:defRPr sz="1000"/>
              </a:pPr>
              <a:r>
                <a:rPr lang="en-US" sz="1100" b="0" i="0" u="none" strike="noStrike" baseline="0">
                  <a:solidFill>
                    <a:srgbClr val="000000"/>
                  </a:solidFill>
                  <a:latin typeface="Calibri"/>
                  <a:ea typeface="Calibri"/>
                  <a:cs typeface="Calibri"/>
                </a:rPr>
                <a:t>Clear</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609600</xdr:colOff>
          <xdr:row>0</xdr:row>
          <xdr:rowOff>101600</xdr:rowOff>
        </xdr:from>
        <xdr:to>
          <xdr:col>8</xdr:col>
          <xdr:colOff>0</xdr:colOff>
          <xdr:row>4</xdr:row>
          <xdr:rowOff>12700</xdr:rowOff>
        </xdr:to>
        <xdr:sp macro="" textlink="">
          <xdr:nvSpPr>
            <xdr:cNvPr id="6145" name="Button 1" hidden="1">
              <a:extLst>
                <a:ext uri="{63B3BB69-23CF-44E3-9099-C40C66FF867C}">
                  <a14:compatExt spid="_x0000_s6145"/>
                </a:ext>
                <a:ext uri="{FF2B5EF4-FFF2-40B4-BE49-F238E27FC236}">
                  <a16:creationId xmlns:a16="http://schemas.microsoft.com/office/drawing/2014/main" id="{FF77CC20-B9D5-4438-9203-24FBD97ED97E}"/>
                </a:ext>
              </a:extLst>
            </xdr:cNvPr>
            <xdr:cNvSpPr/>
          </xdr:nvSpPr>
          <xdr:spPr bwMode="auto">
            <a:xfrm>
              <a:off x="0" y="0"/>
              <a:ext cx="0" cy="0"/>
            </a:xfrm>
            <a:prstGeom prst="rect">
              <a:avLst/>
            </a:prstGeom>
            <a:noFill/>
            <a:ln w="9525">
              <a:miter lim="800000"/>
              <a:headEnd/>
              <a:tailEnd/>
            </a:ln>
          </xdr:spPr>
          <xdr:txBody>
            <a:bodyPr vertOverflow="clip" wrap="square" lIns="45720" tIns="45720" rIns="45720" bIns="45720" anchor="ctr" upright="1"/>
            <a:lstStyle/>
            <a:p>
              <a:pPr algn="ctr" rtl="0">
                <a:defRPr sz="1000"/>
              </a:pPr>
              <a:r>
                <a:rPr lang="en-US" sz="1100" b="0" i="0" u="none" strike="noStrike" baseline="0">
                  <a:solidFill>
                    <a:srgbClr val="000000"/>
                  </a:solidFill>
                  <a:latin typeface="Calibri"/>
                  <a:ea typeface="Calibri"/>
                  <a:cs typeface="Calibri"/>
                </a:rPr>
                <a:t>Run</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10</xdr:col>
      <xdr:colOff>0</xdr:colOff>
      <xdr:row>21</xdr:row>
      <xdr:rowOff>0</xdr:rowOff>
    </xdr:from>
    <xdr:to>
      <xdr:col>12</xdr:col>
      <xdr:colOff>241300</xdr:colOff>
      <xdr:row>23</xdr:row>
      <xdr:rowOff>38100</xdr:rowOff>
    </xdr:to>
    <xdr:sp macro="" textlink="">
      <xdr:nvSpPr>
        <xdr:cNvPr id="2" name="Arrow: Right 1">
          <a:extLst>
            <a:ext uri="{FF2B5EF4-FFF2-40B4-BE49-F238E27FC236}">
              <a16:creationId xmlns:a16="http://schemas.microsoft.com/office/drawing/2014/main" id="{55593404-D15E-4489-BFD1-1089DBBE239A}"/>
            </a:ext>
          </a:extLst>
        </xdr:cNvPr>
        <xdr:cNvSpPr/>
      </xdr:nvSpPr>
      <xdr:spPr>
        <a:xfrm>
          <a:off x="6610350" y="4146550"/>
          <a:ext cx="1460500" cy="4318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78311</xdr:colOff>
      <xdr:row>16</xdr:row>
      <xdr:rowOff>53133</xdr:rowOff>
    </xdr:from>
    <xdr:to>
      <xdr:col>10</xdr:col>
      <xdr:colOff>1457499</xdr:colOff>
      <xdr:row>18</xdr:row>
      <xdr:rowOff>91233</xdr:rowOff>
    </xdr:to>
    <xdr:sp macro="" textlink="">
      <xdr:nvSpPr>
        <xdr:cNvPr id="2" name="Arrow: Right 1">
          <a:extLst>
            <a:ext uri="{FF2B5EF4-FFF2-40B4-BE49-F238E27FC236}">
              <a16:creationId xmlns:a16="http://schemas.microsoft.com/office/drawing/2014/main" id="{E9500028-9757-4F31-A866-9438E0469BF3}"/>
            </a:ext>
          </a:extLst>
        </xdr:cNvPr>
        <xdr:cNvSpPr/>
      </xdr:nvSpPr>
      <xdr:spPr>
        <a:xfrm rot="1484657">
          <a:off x="7571311" y="3431333"/>
          <a:ext cx="1772888" cy="4318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57150</xdr:colOff>
      <xdr:row>20</xdr:row>
      <xdr:rowOff>6350</xdr:rowOff>
    </xdr:from>
    <xdr:to>
      <xdr:col>17</xdr:col>
      <xdr:colOff>482600</xdr:colOff>
      <xdr:row>22</xdr:row>
      <xdr:rowOff>44450</xdr:rowOff>
    </xdr:to>
    <xdr:sp macro="" textlink="">
      <xdr:nvSpPr>
        <xdr:cNvPr id="2" name="Arrow: Right 1">
          <a:extLst>
            <a:ext uri="{FF2B5EF4-FFF2-40B4-BE49-F238E27FC236}">
              <a16:creationId xmlns:a16="http://schemas.microsoft.com/office/drawing/2014/main" id="{F2B1F31F-B875-4741-85B9-4C2188D2C550}"/>
            </a:ext>
          </a:extLst>
        </xdr:cNvPr>
        <xdr:cNvSpPr/>
      </xdr:nvSpPr>
      <xdr:spPr>
        <a:xfrm>
          <a:off x="9512300" y="4070350"/>
          <a:ext cx="2095500" cy="4318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UTD%20Fall'25\OPRE6332_Spreadsheet\class-6\Class-06.xlsx" TargetMode="External"/><Relationship Id="rId1" Type="http://schemas.openxmlformats.org/officeDocument/2006/relationships/externalLinkPath" Target="/UTD%20Fall'25/OPRE6332_Spreadsheet/class-6/Class-0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UTD%20Fall'25\OPRE6332_Spreadsheet\CLASS8\08-Log.xlsx" TargetMode="External"/><Relationship Id="rId1" Type="http://schemas.openxmlformats.org/officeDocument/2006/relationships/externalLinkPath" Target="/UTD%20Fall'25/OPRE6332_Spreadsheet/CLASS8/08-L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t1"/>
      <sheetName val="Set2"/>
      <sheetName val="VBA"/>
    </sheetNames>
    <sheetDataSet>
      <sheetData sheetId="0"/>
      <sheetData sheetId="1">
        <row r="2">
          <cell r="A2">
            <v>113</v>
          </cell>
        </row>
        <row r="3">
          <cell r="A3">
            <v>85</v>
          </cell>
        </row>
        <row r="4">
          <cell r="A4">
            <v>85</v>
          </cell>
        </row>
        <row r="5">
          <cell r="A5">
            <v>108</v>
          </cell>
        </row>
        <row r="6">
          <cell r="A6">
            <v>118</v>
          </cell>
        </row>
        <row r="7">
          <cell r="A7">
            <v>119</v>
          </cell>
        </row>
        <row r="8">
          <cell r="A8">
            <v>108</v>
          </cell>
        </row>
        <row r="9">
          <cell r="A9">
            <v>39</v>
          </cell>
        </row>
        <row r="10">
          <cell r="A10">
            <v>97</v>
          </cell>
        </row>
        <row r="11">
          <cell r="A11">
            <v>114</v>
          </cell>
        </row>
        <row r="12">
          <cell r="A12">
            <v>106</v>
          </cell>
        </row>
        <row r="13">
          <cell r="A13">
            <v>90</v>
          </cell>
        </row>
        <row r="14">
          <cell r="A14">
            <v>95</v>
          </cell>
        </row>
        <row r="15">
          <cell r="A15">
            <v>90</v>
          </cell>
        </row>
        <row r="16">
          <cell r="A16">
            <v>101</v>
          </cell>
        </row>
        <row r="17">
          <cell r="A17">
            <v>129</v>
          </cell>
        </row>
        <row r="18">
          <cell r="A18">
            <v>37</v>
          </cell>
        </row>
        <row r="19">
          <cell r="A19">
            <v>100</v>
          </cell>
        </row>
        <row r="20">
          <cell r="A20">
            <v>105</v>
          </cell>
        </row>
        <row r="21">
          <cell r="A21">
            <v>93</v>
          </cell>
        </row>
        <row r="22">
          <cell r="A22">
            <v>33</v>
          </cell>
        </row>
        <row r="23">
          <cell r="A23">
            <v>103</v>
          </cell>
        </row>
        <row r="24">
          <cell r="A24">
            <v>113</v>
          </cell>
        </row>
        <row r="25">
          <cell r="A25">
            <v>102</v>
          </cell>
        </row>
        <row r="26">
          <cell r="A26">
            <v>80</v>
          </cell>
        </row>
        <row r="27">
          <cell r="A27">
            <v>146</v>
          </cell>
        </row>
        <row r="28">
          <cell r="A28">
            <v>94</v>
          </cell>
        </row>
        <row r="29">
          <cell r="A29">
            <v>92</v>
          </cell>
        </row>
        <row r="30">
          <cell r="A30">
            <v>136</v>
          </cell>
        </row>
        <row r="31">
          <cell r="A31">
            <v>90</v>
          </cell>
        </row>
        <row r="32">
          <cell r="A32">
            <v>94</v>
          </cell>
        </row>
        <row r="33">
          <cell r="A33">
            <v>101</v>
          </cell>
        </row>
        <row r="34">
          <cell r="A34">
            <v>113</v>
          </cell>
        </row>
        <row r="35">
          <cell r="A35">
            <v>90</v>
          </cell>
        </row>
        <row r="36">
          <cell r="A36">
            <v>100</v>
          </cell>
        </row>
        <row r="37">
          <cell r="A37">
            <v>99</v>
          </cell>
        </row>
        <row r="38">
          <cell r="A38">
            <v>88</v>
          </cell>
        </row>
        <row r="39">
          <cell r="A39">
            <v>82</v>
          </cell>
        </row>
        <row r="40">
          <cell r="A40">
            <v>112</v>
          </cell>
        </row>
        <row r="41">
          <cell r="A41">
            <v>36</v>
          </cell>
        </row>
        <row r="42">
          <cell r="A42">
            <v>134</v>
          </cell>
        </row>
        <row r="43">
          <cell r="A43">
            <v>106</v>
          </cell>
        </row>
        <row r="44">
          <cell r="A44">
            <v>120</v>
          </cell>
        </row>
        <row r="45">
          <cell r="A45">
            <v>90</v>
          </cell>
        </row>
        <row r="46">
          <cell r="A46">
            <v>94</v>
          </cell>
        </row>
        <row r="47">
          <cell r="A47">
            <v>98</v>
          </cell>
        </row>
        <row r="48">
          <cell r="A48">
            <v>92</v>
          </cell>
        </row>
        <row r="49">
          <cell r="A49">
            <v>107</v>
          </cell>
        </row>
        <row r="50">
          <cell r="A50">
            <v>116</v>
          </cell>
        </row>
        <row r="51">
          <cell r="A51">
            <v>89</v>
          </cell>
        </row>
        <row r="52">
          <cell r="A52">
            <v>115</v>
          </cell>
        </row>
        <row r="53">
          <cell r="A53">
            <v>137</v>
          </cell>
        </row>
        <row r="54">
          <cell r="A54">
            <v>149</v>
          </cell>
        </row>
        <row r="55">
          <cell r="A55">
            <v>44</v>
          </cell>
        </row>
        <row r="56">
          <cell r="A56">
            <v>95</v>
          </cell>
        </row>
        <row r="57">
          <cell r="A57">
            <v>97</v>
          </cell>
        </row>
        <row r="58">
          <cell r="A58">
            <v>110</v>
          </cell>
        </row>
        <row r="59">
          <cell r="A59">
            <v>101</v>
          </cell>
        </row>
        <row r="60">
          <cell r="A60">
            <v>107</v>
          </cell>
        </row>
        <row r="61">
          <cell r="A61">
            <v>118</v>
          </cell>
        </row>
        <row r="62">
          <cell r="A62">
            <v>146</v>
          </cell>
        </row>
        <row r="63">
          <cell r="A63">
            <v>101</v>
          </cell>
        </row>
        <row r="64">
          <cell r="A64">
            <v>80</v>
          </cell>
        </row>
        <row r="65">
          <cell r="A65">
            <v>115</v>
          </cell>
        </row>
        <row r="66">
          <cell r="A66">
            <v>110</v>
          </cell>
        </row>
        <row r="67">
          <cell r="A67">
            <v>114</v>
          </cell>
        </row>
        <row r="68">
          <cell r="A68">
            <v>113</v>
          </cell>
        </row>
        <row r="69">
          <cell r="A69">
            <v>106</v>
          </cell>
        </row>
        <row r="70">
          <cell r="A70">
            <v>109</v>
          </cell>
        </row>
        <row r="71">
          <cell r="A71">
            <v>105</v>
          </cell>
        </row>
        <row r="72">
          <cell r="A72">
            <v>91</v>
          </cell>
        </row>
        <row r="73">
          <cell r="A73">
            <v>89</v>
          </cell>
        </row>
        <row r="74">
          <cell r="A74">
            <v>34</v>
          </cell>
        </row>
        <row r="75">
          <cell r="A75">
            <v>109</v>
          </cell>
        </row>
        <row r="76">
          <cell r="A76">
            <v>84</v>
          </cell>
        </row>
        <row r="77">
          <cell r="A77">
            <v>94</v>
          </cell>
        </row>
        <row r="78">
          <cell r="A78">
            <v>48</v>
          </cell>
        </row>
        <row r="79">
          <cell r="A79">
            <v>92</v>
          </cell>
        </row>
        <row r="80">
          <cell r="A80">
            <v>138</v>
          </cell>
        </row>
        <row r="81">
          <cell r="A81">
            <v>109</v>
          </cell>
        </row>
        <row r="82">
          <cell r="A82">
            <v>86</v>
          </cell>
        </row>
        <row r="83">
          <cell r="A83">
            <v>117</v>
          </cell>
        </row>
        <row r="84">
          <cell r="A84">
            <v>101</v>
          </cell>
        </row>
        <row r="85">
          <cell r="A85">
            <v>82</v>
          </cell>
        </row>
        <row r="86">
          <cell r="A86">
            <v>114</v>
          </cell>
        </row>
        <row r="87">
          <cell r="A87">
            <v>112</v>
          </cell>
        </row>
        <row r="88">
          <cell r="A88">
            <v>116</v>
          </cell>
        </row>
        <row r="89">
          <cell r="A89">
            <v>81</v>
          </cell>
        </row>
        <row r="90">
          <cell r="A90">
            <v>120</v>
          </cell>
        </row>
        <row r="91">
          <cell r="A91">
            <v>48</v>
          </cell>
        </row>
        <row r="92">
          <cell r="A92">
            <v>47</v>
          </cell>
        </row>
        <row r="93">
          <cell r="A93">
            <v>141</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og"/>
      <sheetName val="Sheet1"/>
    </sheetNames>
    <sheetDataSet>
      <sheetData sheetId="0">
        <row r="1">
          <cell r="A1" t="str">
            <v>Data</v>
          </cell>
        </row>
        <row r="2">
          <cell r="A2">
            <v>28.6</v>
          </cell>
        </row>
        <row r="3">
          <cell r="A3">
            <v>32.299999999999997</v>
          </cell>
        </row>
        <row r="4">
          <cell r="A4">
            <v>51.3</v>
          </cell>
        </row>
        <row r="5">
          <cell r="A5">
            <v>56.6</v>
          </cell>
        </row>
        <row r="6">
          <cell r="A6">
            <v>69.3</v>
          </cell>
        </row>
        <row r="7">
          <cell r="A7">
            <v>84.8</v>
          </cell>
        </row>
        <row r="8">
          <cell r="A8">
            <v>92.3</v>
          </cell>
        </row>
        <row r="9">
          <cell r="A9">
            <v>122.1</v>
          </cell>
        </row>
        <row r="10">
          <cell r="A10">
            <v>124.2</v>
          </cell>
        </row>
        <row r="11">
          <cell r="A11">
            <v>126.5</v>
          </cell>
        </row>
        <row r="12">
          <cell r="A12">
            <v>137.6</v>
          </cell>
        </row>
        <row r="13">
          <cell r="A13">
            <v>164.3</v>
          </cell>
        </row>
        <row r="14">
          <cell r="A14">
            <v>187</v>
          </cell>
        </row>
        <row r="15">
          <cell r="A15">
            <v>195.4</v>
          </cell>
        </row>
        <row r="16">
          <cell r="A16">
            <v>197</v>
          </cell>
        </row>
        <row r="17">
          <cell r="A17">
            <v>204</v>
          </cell>
        </row>
        <row r="18">
          <cell r="A18">
            <v>205.1</v>
          </cell>
        </row>
        <row r="19">
          <cell r="A19">
            <v>205.7</v>
          </cell>
        </row>
        <row r="20">
          <cell r="A20">
            <v>260.89999999999998</v>
          </cell>
        </row>
        <row r="21">
          <cell r="A21">
            <v>270.7</v>
          </cell>
        </row>
        <row r="22">
          <cell r="A22">
            <v>278.89999999999998</v>
          </cell>
        </row>
        <row r="23">
          <cell r="A23">
            <v>313.7</v>
          </cell>
        </row>
        <row r="24">
          <cell r="A24">
            <v>324.10000000000002</v>
          </cell>
        </row>
        <row r="25">
          <cell r="A25">
            <v>330.7</v>
          </cell>
        </row>
        <row r="26">
          <cell r="A26">
            <v>346.1</v>
          </cell>
        </row>
        <row r="27">
          <cell r="A27">
            <v>349.1</v>
          </cell>
        </row>
        <row r="28">
          <cell r="A28">
            <v>359.4</v>
          </cell>
        </row>
        <row r="29">
          <cell r="A29">
            <v>362.1</v>
          </cell>
        </row>
        <row r="30">
          <cell r="A30">
            <v>363.3</v>
          </cell>
        </row>
        <row r="31">
          <cell r="A31">
            <v>364.2</v>
          </cell>
        </row>
        <row r="32">
          <cell r="A32">
            <v>366.7</v>
          </cell>
        </row>
        <row r="33">
          <cell r="A33">
            <v>377.2</v>
          </cell>
        </row>
        <row r="34">
          <cell r="A34">
            <v>405.4</v>
          </cell>
        </row>
        <row r="35">
          <cell r="A35">
            <v>410.2</v>
          </cell>
        </row>
        <row r="36">
          <cell r="A36">
            <v>425.5</v>
          </cell>
        </row>
        <row r="37">
          <cell r="A37">
            <v>426.4</v>
          </cell>
        </row>
        <row r="38">
          <cell r="A38">
            <v>430.3</v>
          </cell>
        </row>
        <row r="39">
          <cell r="A39">
            <v>439.5</v>
          </cell>
        </row>
        <row r="40">
          <cell r="A40">
            <v>443.3</v>
          </cell>
        </row>
        <row r="41">
          <cell r="A41">
            <v>455.6</v>
          </cell>
        </row>
        <row r="42">
          <cell r="A42">
            <v>459.5</v>
          </cell>
        </row>
        <row r="43">
          <cell r="A43">
            <v>463.8</v>
          </cell>
        </row>
        <row r="44">
          <cell r="A44">
            <v>470.6</v>
          </cell>
        </row>
        <row r="45">
          <cell r="A45">
            <v>485.3</v>
          </cell>
        </row>
        <row r="46">
          <cell r="A46">
            <v>485.8</v>
          </cell>
        </row>
        <row r="47">
          <cell r="A47">
            <v>503.2</v>
          </cell>
        </row>
        <row r="48">
          <cell r="A48">
            <v>509.2</v>
          </cell>
        </row>
        <row r="49">
          <cell r="A49">
            <v>512.9</v>
          </cell>
        </row>
        <row r="50">
          <cell r="A50">
            <v>518</v>
          </cell>
        </row>
        <row r="51">
          <cell r="A51">
            <v>525.4</v>
          </cell>
        </row>
        <row r="52">
          <cell r="A52">
            <v>536.4</v>
          </cell>
        </row>
        <row r="53">
          <cell r="A53">
            <v>542.9</v>
          </cell>
        </row>
        <row r="54">
          <cell r="A54">
            <v>547.1</v>
          </cell>
        </row>
        <row r="55">
          <cell r="A55">
            <v>560.1</v>
          </cell>
        </row>
        <row r="56">
          <cell r="A56">
            <v>598.29999999999995</v>
          </cell>
        </row>
        <row r="57">
          <cell r="A57">
            <v>604</v>
          </cell>
        </row>
        <row r="58">
          <cell r="A58">
            <v>610.9</v>
          </cell>
        </row>
        <row r="59">
          <cell r="A59">
            <v>618.5</v>
          </cell>
        </row>
        <row r="60">
          <cell r="A60">
            <v>683.6</v>
          </cell>
        </row>
        <row r="61">
          <cell r="A61">
            <v>693.1</v>
          </cell>
        </row>
        <row r="62">
          <cell r="A62">
            <v>717.6</v>
          </cell>
        </row>
        <row r="63">
          <cell r="A63">
            <v>733.4</v>
          </cell>
        </row>
        <row r="64">
          <cell r="A64">
            <v>742.6</v>
          </cell>
        </row>
        <row r="65">
          <cell r="A65">
            <v>743.7</v>
          </cell>
        </row>
        <row r="66">
          <cell r="A66">
            <v>751.1</v>
          </cell>
        </row>
        <row r="67">
          <cell r="A67">
            <v>751.4</v>
          </cell>
        </row>
        <row r="68">
          <cell r="A68">
            <v>773.2</v>
          </cell>
        </row>
        <row r="69">
          <cell r="A69">
            <v>787.2</v>
          </cell>
        </row>
        <row r="70">
          <cell r="A70">
            <v>787.5</v>
          </cell>
        </row>
        <row r="71">
          <cell r="A71">
            <v>794.7</v>
          </cell>
        </row>
        <row r="72">
          <cell r="A72">
            <v>798.5</v>
          </cell>
        </row>
        <row r="73">
          <cell r="A73">
            <v>803.3</v>
          </cell>
        </row>
        <row r="74">
          <cell r="A74">
            <v>812.8</v>
          </cell>
        </row>
        <row r="75">
          <cell r="A75">
            <v>821.1</v>
          </cell>
        </row>
        <row r="76">
          <cell r="A76">
            <v>836.6</v>
          </cell>
        </row>
        <row r="77">
          <cell r="A77">
            <v>838.5</v>
          </cell>
        </row>
        <row r="78">
          <cell r="A78">
            <v>848.8</v>
          </cell>
        </row>
        <row r="79">
          <cell r="A79">
            <v>856.5</v>
          </cell>
        </row>
        <row r="80">
          <cell r="A80">
            <v>862.3</v>
          </cell>
        </row>
        <row r="81">
          <cell r="A81">
            <v>875</v>
          </cell>
        </row>
        <row r="82">
          <cell r="A82">
            <v>875.6</v>
          </cell>
        </row>
        <row r="83">
          <cell r="A83">
            <v>886.8</v>
          </cell>
        </row>
        <row r="84">
          <cell r="A84">
            <v>912.2</v>
          </cell>
        </row>
        <row r="85">
          <cell r="A85">
            <v>933.8</v>
          </cell>
        </row>
        <row r="86">
          <cell r="A86">
            <v>973.2</v>
          </cell>
        </row>
        <row r="87">
          <cell r="A87">
            <v>975.2</v>
          </cell>
        </row>
        <row r="88">
          <cell r="A88">
            <v>975.9</v>
          </cell>
        </row>
        <row r="89">
          <cell r="A89">
            <v>978.7</v>
          </cell>
        </row>
        <row r="90">
          <cell r="A90">
            <v>979.6</v>
          </cell>
        </row>
        <row r="91">
          <cell r="A91">
            <v>990.1</v>
          </cell>
        </row>
        <row r="92">
          <cell r="A92">
            <v>991.2</v>
          </cell>
        </row>
        <row r="93">
          <cell r="A93">
            <v>995.4</v>
          </cell>
        </row>
        <row r="94">
          <cell r="A94">
            <v>1003.1</v>
          </cell>
        </row>
        <row r="95">
          <cell r="A95">
            <v>1014.2</v>
          </cell>
        </row>
        <row r="96">
          <cell r="A96">
            <v>1033.3</v>
          </cell>
        </row>
        <row r="97">
          <cell r="A97">
            <v>1040.9000000000001</v>
          </cell>
        </row>
        <row r="98">
          <cell r="A98">
            <v>1045.7</v>
          </cell>
        </row>
        <row r="99">
          <cell r="A99">
            <v>1068</v>
          </cell>
        </row>
        <row r="100">
          <cell r="A100">
            <v>1081.9000000000001</v>
          </cell>
        </row>
        <row r="101">
          <cell r="A101">
            <v>1087.8</v>
          </cell>
        </row>
        <row r="102">
          <cell r="A102">
            <v>1088.9000000000001</v>
          </cell>
        </row>
        <row r="103">
          <cell r="A103">
            <v>1099.0999999999999</v>
          </cell>
        </row>
        <row r="104">
          <cell r="A104">
            <v>1108.4000000000001</v>
          </cell>
        </row>
        <row r="105">
          <cell r="A105">
            <v>1110.5999999999999</v>
          </cell>
        </row>
        <row r="106">
          <cell r="A106">
            <v>1127.3</v>
          </cell>
        </row>
        <row r="107">
          <cell r="A107">
            <v>1130.3</v>
          </cell>
        </row>
        <row r="108">
          <cell r="A108">
            <v>1133.8</v>
          </cell>
        </row>
        <row r="109">
          <cell r="A109">
            <v>1153.5</v>
          </cell>
        </row>
        <row r="110">
          <cell r="A110">
            <v>1167.3</v>
          </cell>
        </row>
        <row r="111">
          <cell r="A111">
            <v>1170.9000000000001</v>
          </cell>
        </row>
        <row r="112">
          <cell r="A112">
            <v>1184.9000000000001</v>
          </cell>
        </row>
        <row r="113">
          <cell r="A113">
            <v>1185.4000000000001</v>
          </cell>
        </row>
        <row r="114">
          <cell r="A114">
            <v>1187.9000000000001</v>
          </cell>
        </row>
        <row r="115">
          <cell r="A115">
            <v>1231.8</v>
          </cell>
        </row>
        <row r="116">
          <cell r="A116">
            <v>1241.4000000000001</v>
          </cell>
        </row>
        <row r="117">
          <cell r="A117">
            <v>1243.9000000000001</v>
          </cell>
        </row>
        <row r="118">
          <cell r="A118">
            <v>1274.0999999999999</v>
          </cell>
        </row>
        <row r="119">
          <cell r="A119">
            <v>1287.2</v>
          </cell>
        </row>
        <row r="120">
          <cell r="A120">
            <v>1311</v>
          </cell>
        </row>
        <row r="121">
          <cell r="A121">
            <v>1330.1</v>
          </cell>
        </row>
        <row r="122">
          <cell r="A122">
            <v>1331.2</v>
          </cell>
        </row>
        <row r="123">
          <cell r="A123">
            <v>1339</v>
          </cell>
        </row>
        <row r="124">
          <cell r="A124">
            <v>1348</v>
          </cell>
        </row>
        <row r="125">
          <cell r="A125">
            <v>1364.5</v>
          </cell>
        </row>
        <row r="126">
          <cell r="A126">
            <v>1365.9</v>
          </cell>
        </row>
        <row r="127">
          <cell r="A127">
            <v>1377.2</v>
          </cell>
        </row>
        <row r="128">
          <cell r="A128">
            <v>1381.8</v>
          </cell>
        </row>
        <row r="129">
          <cell r="A129">
            <v>1397.4</v>
          </cell>
        </row>
        <row r="130">
          <cell r="A130">
            <v>1432.1</v>
          </cell>
        </row>
        <row r="131">
          <cell r="A131">
            <v>1447.7</v>
          </cell>
        </row>
        <row r="132">
          <cell r="A132">
            <v>1468.1</v>
          </cell>
        </row>
        <row r="133">
          <cell r="A133">
            <v>1491.8</v>
          </cell>
        </row>
        <row r="134">
          <cell r="A134">
            <v>1556.5</v>
          </cell>
        </row>
        <row r="135">
          <cell r="A135">
            <v>1563</v>
          </cell>
        </row>
        <row r="136">
          <cell r="A136">
            <v>1563.4</v>
          </cell>
        </row>
        <row r="137">
          <cell r="A137">
            <v>1566.6</v>
          </cell>
        </row>
        <row r="138">
          <cell r="A138">
            <v>1571.9</v>
          </cell>
        </row>
        <row r="139">
          <cell r="A139">
            <v>1574.7</v>
          </cell>
        </row>
        <row r="140">
          <cell r="A140">
            <v>1611.6</v>
          </cell>
        </row>
        <row r="141">
          <cell r="A141">
            <v>1631.8</v>
          </cell>
        </row>
        <row r="142">
          <cell r="A142">
            <v>1654.8</v>
          </cell>
        </row>
        <row r="143">
          <cell r="A143">
            <v>1662.2</v>
          </cell>
        </row>
        <row r="144">
          <cell r="A144">
            <v>1735.2</v>
          </cell>
        </row>
        <row r="145">
          <cell r="A145">
            <v>1764.3</v>
          </cell>
        </row>
        <row r="146">
          <cell r="A146">
            <v>1780.5</v>
          </cell>
        </row>
        <row r="147">
          <cell r="A147">
            <v>1805.1</v>
          </cell>
        </row>
        <row r="148">
          <cell r="A148">
            <v>1822.2</v>
          </cell>
        </row>
        <row r="149">
          <cell r="A149">
            <v>1841.3</v>
          </cell>
        </row>
        <row r="150">
          <cell r="A150">
            <v>1843.5</v>
          </cell>
        </row>
        <row r="151">
          <cell r="A151">
            <v>1885.3</v>
          </cell>
        </row>
        <row r="152">
          <cell r="A152">
            <v>1887.8</v>
          </cell>
        </row>
        <row r="153">
          <cell r="A153">
            <v>1922.1</v>
          </cell>
        </row>
        <row r="154">
          <cell r="A154">
            <v>1990.7</v>
          </cell>
        </row>
        <row r="155">
          <cell r="A155">
            <v>2011.7</v>
          </cell>
        </row>
        <row r="156">
          <cell r="A156">
            <v>2022.2</v>
          </cell>
        </row>
        <row r="157">
          <cell r="A157">
            <v>2035.7</v>
          </cell>
        </row>
        <row r="158">
          <cell r="A158">
            <v>2067.1999999999998</v>
          </cell>
        </row>
        <row r="159">
          <cell r="A159">
            <v>2068.9</v>
          </cell>
        </row>
        <row r="160">
          <cell r="A160">
            <v>2086.9</v>
          </cell>
        </row>
        <row r="161">
          <cell r="A161">
            <v>2094.5</v>
          </cell>
        </row>
        <row r="162">
          <cell r="A162">
            <v>2102.4</v>
          </cell>
        </row>
        <row r="163">
          <cell r="A163">
            <v>2115.4</v>
          </cell>
        </row>
        <row r="164">
          <cell r="A164">
            <v>2121.3000000000002</v>
          </cell>
        </row>
        <row r="165">
          <cell r="A165">
            <v>2142.9</v>
          </cell>
        </row>
        <row r="166">
          <cell r="A166">
            <v>2148.1999999999998</v>
          </cell>
        </row>
        <row r="167">
          <cell r="A167">
            <v>2236.1</v>
          </cell>
        </row>
        <row r="168">
          <cell r="A168">
            <v>2307.9</v>
          </cell>
        </row>
        <row r="169">
          <cell r="A169">
            <v>2330</v>
          </cell>
        </row>
        <row r="170">
          <cell r="A170">
            <v>2331.4</v>
          </cell>
        </row>
        <row r="171">
          <cell r="A171">
            <v>2334.6</v>
          </cell>
        </row>
        <row r="172">
          <cell r="A172">
            <v>2388.4</v>
          </cell>
        </row>
        <row r="173">
          <cell r="A173">
            <v>2418.6999999999998</v>
          </cell>
        </row>
        <row r="174">
          <cell r="A174">
            <v>2428.3000000000002</v>
          </cell>
        </row>
        <row r="175">
          <cell r="A175">
            <v>2435</v>
          </cell>
        </row>
        <row r="176">
          <cell r="A176">
            <v>2462</v>
          </cell>
        </row>
        <row r="177">
          <cell r="A177">
            <v>2494.6</v>
          </cell>
        </row>
        <row r="178">
          <cell r="A178">
            <v>2519.8000000000002</v>
          </cell>
        </row>
        <row r="179">
          <cell r="A179">
            <v>2527.6999999999998</v>
          </cell>
        </row>
        <row r="180">
          <cell r="A180">
            <v>2529.6999999999998</v>
          </cell>
        </row>
        <row r="181">
          <cell r="A181">
            <v>2538.5</v>
          </cell>
        </row>
        <row r="182">
          <cell r="A182">
            <v>2577.5</v>
          </cell>
        </row>
        <row r="183">
          <cell r="A183">
            <v>2606.1</v>
          </cell>
        </row>
        <row r="184">
          <cell r="A184">
            <v>2630.3</v>
          </cell>
        </row>
        <row r="185">
          <cell r="A185">
            <v>2652.8</v>
          </cell>
        </row>
        <row r="186">
          <cell r="A186">
            <v>2699.9</v>
          </cell>
        </row>
        <row r="187">
          <cell r="A187">
            <v>2727</v>
          </cell>
        </row>
        <row r="188">
          <cell r="A188">
            <v>2739.6</v>
          </cell>
        </row>
        <row r="189">
          <cell r="A189">
            <v>2749.4</v>
          </cell>
        </row>
        <row r="190">
          <cell r="A190">
            <v>2825.9</v>
          </cell>
        </row>
        <row r="191">
          <cell r="A191">
            <v>2831.4</v>
          </cell>
        </row>
        <row r="192">
          <cell r="A192">
            <v>2848.7</v>
          </cell>
        </row>
        <row r="193">
          <cell r="A193">
            <v>2877.9</v>
          </cell>
        </row>
        <row r="194">
          <cell r="A194">
            <v>2918.8</v>
          </cell>
        </row>
        <row r="195">
          <cell r="A195">
            <v>2926.2</v>
          </cell>
        </row>
        <row r="196">
          <cell r="A196">
            <v>2940.4</v>
          </cell>
        </row>
        <row r="197">
          <cell r="A197">
            <v>2967.8</v>
          </cell>
        </row>
        <row r="198">
          <cell r="A198">
            <v>3059.5</v>
          </cell>
        </row>
        <row r="199">
          <cell r="A199">
            <v>3127.3</v>
          </cell>
        </row>
        <row r="200">
          <cell r="A200">
            <v>3171</v>
          </cell>
        </row>
        <row r="201">
          <cell r="A201">
            <v>3171</v>
          </cell>
        </row>
        <row r="202">
          <cell r="A202">
            <v>3210.2</v>
          </cell>
        </row>
        <row r="203">
          <cell r="A203">
            <v>3259.7</v>
          </cell>
        </row>
        <row r="204">
          <cell r="A204">
            <v>3269.1</v>
          </cell>
        </row>
        <row r="205">
          <cell r="A205">
            <v>3280.7</v>
          </cell>
        </row>
        <row r="206">
          <cell r="A206">
            <v>3311.1</v>
          </cell>
        </row>
        <row r="207">
          <cell r="A207">
            <v>3397.9</v>
          </cell>
        </row>
        <row r="208">
          <cell r="A208">
            <v>3419.1</v>
          </cell>
        </row>
        <row r="209">
          <cell r="A209">
            <v>3427.8</v>
          </cell>
        </row>
        <row r="210">
          <cell r="A210">
            <v>3456</v>
          </cell>
        </row>
        <row r="211">
          <cell r="A211">
            <v>3457.2</v>
          </cell>
        </row>
        <row r="212">
          <cell r="A212">
            <v>3488.8</v>
          </cell>
        </row>
        <row r="213">
          <cell r="A213">
            <v>3500.5</v>
          </cell>
        </row>
        <row r="214">
          <cell r="A214">
            <v>3540.8</v>
          </cell>
        </row>
        <row r="215">
          <cell r="A215">
            <v>3562.9</v>
          </cell>
        </row>
        <row r="216">
          <cell r="A216">
            <v>3629</v>
          </cell>
        </row>
        <row r="217">
          <cell r="A217">
            <v>3672.6</v>
          </cell>
        </row>
        <row r="218">
          <cell r="A218">
            <v>3694.4</v>
          </cell>
        </row>
        <row r="219">
          <cell r="A219">
            <v>3718.9</v>
          </cell>
        </row>
        <row r="220">
          <cell r="A220">
            <v>3725.8</v>
          </cell>
        </row>
        <row r="221">
          <cell r="A221">
            <v>3737.9</v>
          </cell>
        </row>
        <row r="222">
          <cell r="A222">
            <v>3814.2</v>
          </cell>
        </row>
        <row r="223">
          <cell r="A223">
            <v>3850.8</v>
          </cell>
        </row>
        <row r="224">
          <cell r="A224">
            <v>4055.3</v>
          </cell>
        </row>
        <row r="225">
          <cell r="A225">
            <v>4134.6000000000004</v>
          </cell>
        </row>
        <row r="226">
          <cell r="A226">
            <v>4156.5</v>
          </cell>
        </row>
        <row r="227">
          <cell r="A227">
            <v>4170.7</v>
          </cell>
        </row>
        <row r="228">
          <cell r="A228">
            <v>4198.8</v>
          </cell>
        </row>
        <row r="229">
          <cell r="A229">
            <v>4315.3999999999996</v>
          </cell>
        </row>
        <row r="230">
          <cell r="A230">
            <v>4329.7</v>
          </cell>
        </row>
        <row r="231">
          <cell r="A231">
            <v>4579.1000000000004</v>
          </cell>
        </row>
        <row r="232">
          <cell r="A232">
            <v>4614.8999999999996</v>
          </cell>
        </row>
        <row r="233">
          <cell r="A233">
            <v>4651.5</v>
          </cell>
        </row>
        <row r="234">
          <cell r="A234">
            <v>4884.8</v>
          </cell>
        </row>
        <row r="235">
          <cell r="A235">
            <v>4922.8</v>
          </cell>
        </row>
        <row r="236">
          <cell r="A236">
            <v>4933.6000000000004</v>
          </cell>
        </row>
        <row r="237">
          <cell r="A237">
            <v>4983</v>
          </cell>
        </row>
        <row r="238">
          <cell r="A238">
            <v>4989.7</v>
          </cell>
        </row>
        <row r="239">
          <cell r="A239">
            <v>5015.8999999999996</v>
          </cell>
        </row>
        <row r="240">
          <cell r="A240">
            <v>5116.7</v>
          </cell>
        </row>
        <row r="241">
          <cell r="A241">
            <v>5140.6000000000004</v>
          </cell>
        </row>
        <row r="242">
          <cell r="A242">
            <v>5271.2</v>
          </cell>
        </row>
        <row r="243">
          <cell r="A243">
            <v>5336.1</v>
          </cell>
        </row>
        <row r="244">
          <cell r="A244">
            <v>5405.9</v>
          </cell>
        </row>
        <row r="245">
          <cell r="A245">
            <v>5429.5</v>
          </cell>
        </row>
        <row r="246">
          <cell r="A246">
            <v>5431.5</v>
          </cell>
        </row>
        <row r="247">
          <cell r="A247">
            <v>5491.4</v>
          </cell>
        </row>
        <row r="248">
          <cell r="A248">
            <v>5704.6</v>
          </cell>
        </row>
        <row r="249">
          <cell r="A249">
            <v>5729.1</v>
          </cell>
        </row>
        <row r="250">
          <cell r="A250">
            <v>5757.4</v>
          </cell>
        </row>
        <row r="251">
          <cell r="A251">
            <v>5807.9</v>
          </cell>
        </row>
        <row r="252">
          <cell r="A252">
            <v>5816.7</v>
          </cell>
        </row>
        <row r="253">
          <cell r="A253">
            <v>6040.3</v>
          </cell>
        </row>
        <row r="254">
          <cell r="A254">
            <v>6148.5</v>
          </cell>
        </row>
        <row r="255">
          <cell r="A255">
            <v>6185.1</v>
          </cell>
        </row>
        <row r="256">
          <cell r="A256">
            <v>6185.9</v>
          </cell>
        </row>
        <row r="257">
          <cell r="A257">
            <v>6199.5</v>
          </cell>
        </row>
        <row r="258">
          <cell r="A258">
            <v>6220.4</v>
          </cell>
        </row>
        <row r="259">
          <cell r="A259">
            <v>6327.8</v>
          </cell>
        </row>
        <row r="260">
          <cell r="A260">
            <v>6355.1</v>
          </cell>
        </row>
        <row r="261">
          <cell r="A261">
            <v>6361.7</v>
          </cell>
        </row>
        <row r="262">
          <cell r="A262">
            <v>6444.5</v>
          </cell>
        </row>
        <row r="263">
          <cell r="A263">
            <v>6494.6</v>
          </cell>
        </row>
        <row r="264">
          <cell r="A264">
            <v>6557.2</v>
          </cell>
        </row>
        <row r="265">
          <cell r="A265">
            <v>6645.3</v>
          </cell>
        </row>
        <row r="266">
          <cell r="A266">
            <v>6647.9</v>
          </cell>
        </row>
        <row r="267">
          <cell r="A267">
            <v>6792.6</v>
          </cell>
        </row>
        <row r="268">
          <cell r="A268">
            <v>6840</v>
          </cell>
        </row>
        <row r="269">
          <cell r="A269">
            <v>6880.4</v>
          </cell>
        </row>
        <row r="270">
          <cell r="A270">
            <v>6894.2</v>
          </cell>
        </row>
        <row r="271">
          <cell r="A271">
            <v>6967.8</v>
          </cell>
        </row>
        <row r="272">
          <cell r="A272">
            <v>7353.6</v>
          </cell>
        </row>
        <row r="273">
          <cell r="A273">
            <v>7383</v>
          </cell>
        </row>
        <row r="274">
          <cell r="A274">
            <v>7497.2</v>
          </cell>
        </row>
        <row r="275">
          <cell r="A275">
            <v>7554.6</v>
          </cell>
        </row>
        <row r="276">
          <cell r="A276">
            <v>7601.1</v>
          </cell>
        </row>
        <row r="277">
          <cell r="A277">
            <v>7887.2</v>
          </cell>
        </row>
        <row r="278">
          <cell r="A278">
            <v>7914</v>
          </cell>
        </row>
        <row r="279">
          <cell r="A279">
            <v>8044.6</v>
          </cell>
        </row>
        <row r="280">
          <cell r="A280">
            <v>8067.7</v>
          </cell>
        </row>
        <row r="281">
          <cell r="A281">
            <v>8090.8</v>
          </cell>
        </row>
        <row r="282">
          <cell r="A282">
            <v>8100.1</v>
          </cell>
        </row>
        <row r="283">
          <cell r="A283">
            <v>8234</v>
          </cell>
        </row>
        <row r="284">
          <cell r="A284">
            <v>8259</v>
          </cell>
        </row>
        <row r="285">
          <cell r="A285">
            <v>8263.7999999999993</v>
          </cell>
        </row>
        <row r="286">
          <cell r="A286">
            <v>8431.1</v>
          </cell>
        </row>
        <row r="287">
          <cell r="A287">
            <v>8584.4</v>
          </cell>
        </row>
        <row r="288">
          <cell r="A288">
            <v>8618.6</v>
          </cell>
        </row>
        <row r="289">
          <cell r="A289">
            <v>8622.4</v>
          </cell>
        </row>
        <row r="290">
          <cell r="A290">
            <v>8799.2000000000007</v>
          </cell>
        </row>
        <row r="291">
          <cell r="A291">
            <v>9187.4</v>
          </cell>
        </row>
        <row r="292">
          <cell r="A292">
            <v>9250.6</v>
          </cell>
        </row>
        <row r="293">
          <cell r="A293">
            <v>9368.9</v>
          </cell>
        </row>
        <row r="294">
          <cell r="A294">
            <v>9438.4</v>
          </cell>
        </row>
        <row r="295">
          <cell r="A295">
            <v>9508.6</v>
          </cell>
        </row>
        <row r="296">
          <cell r="A296">
            <v>9643.9</v>
          </cell>
        </row>
        <row r="297">
          <cell r="A297">
            <v>9765.2999999999993</v>
          </cell>
        </row>
        <row r="298">
          <cell r="A298">
            <v>9906.2999999999993</v>
          </cell>
        </row>
        <row r="299">
          <cell r="A299">
            <v>9914.1</v>
          </cell>
        </row>
        <row r="300">
          <cell r="A300">
            <v>10174.9</v>
          </cell>
        </row>
        <row r="301">
          <cell r="A301">
            <v>10345.200000000001</v>
          </cell>
        </row>
        <row r="302">
          <cell r="A302">
            <v>10443</v>
          </cell>
        </row>
        <row r="303">
          <cell r="A303">
            <v>10507.9</v>
          </cell>
        </row>
        <row r="304">
          <cell r="A304">
            <v>10578.6</v>
          </cell>
        </row>
        <row r="305">
          <cell r="A305">
            <v>10602.9</v>
          </cell>
        </row>
        <row r="306">
          <cell r="A306">
            <v>10608.2</v>
          </cell>
        </row>
        <row r="307">
          <cell r="A307">
            <v>10644.8</v>
          </cell>
        </row>
        <row r="308">
          <cell r="A308">
            <v>10674.7</v>
          </cell>
        </row>
        <row r="309">
          <cell r="A309">
            <v>10806.1</v>
          </cell>
        </row>
        <row r="310">
          <cell r="A310">
            <v>10887.2</v>
          </cell>
        </row>
        <row r="311">
          <cell r="A311">
            <v>10940</v>
          </cell>
        </row>
        <row r="312">
          <cell r="A312">
            <v>11112.1</v>
          </cell>
        </row>
        <row r="313">
          <cell r="A313">
            <v>11181.7</v>
          </cell>
        </row>
        <row r="314">
          <cell r="A314">
            <v>11208.3</v>
          </cell>
        </row>
        <row r="315">
          <cell r="A315">
            <v>11208.3</v>
          </cell>
        </row>
        <row r="316">
          <cell r="A316">
            <v>12270.3</v>
          </cell>
        </row>
        <row r="317">
          <cell r="A317">
            <v>12279.1</v>
          </cell>
        </row>
        <row r="318">
          <cell r="A318">
            <v>12338.7</v>
          </cell>
        </row>
        <row r="319">
          <cell r="A319">
            <v>12621.1</v>
          </cell>
        </row>
        <row r="320">
          <cell r="A320">
            <v>12678.8</v>
          </cell>
        </row>
        <row r="321">
          <cell r="A321">
            <v>12746.3</v>
          </cell>
        </row>
        <row r="322">
          <cell r="A322">
            <v>12767.4</v>
          </cell>
        </row>
        <row r="323">
          <cell r="A323">
            <v>13476</v>
          </cell>
        </row>
        <row r="324">
          <cell r="A324">
            <v>13626.1</v>
          </cell>
        </row>
        <row r="325">
          <cell r="A325">
            <v>13662.7</v>
          </cell>
        </row>
        <row r="326">
          <cell r="A326">
            <v>14213.4</v>
          </cell>
        </row>
        <row r="327">
          <cell r="A327">
            <v>14230.3</v>
          </cell>
        </row>
        <row r="328">
          <cell r="A328">
            <v>14300.8</v>
          </cell>
        </row>
        <row r="329">
          <cell r="A329">
            <v>14539.4</v>
          </cell>
        </row>
        <row r="330">
          <cell r="A330">
            <v>14600.8</v>
          </cell>
        </row>
        <row r="331">
          <cell r="A331">
            <v>14653.9</v>
          </cell>
        </row>
        <row r="332">
          <cell r="A332">
            <v>14784.8</v>
          </cell>
        </row>
        <row r="333">
          <cell r="A333">
            <v>14787.8</v>
          </cell>
        </row>
        <row r="334">
          <cell r="A334">
            <v>15193.2</v>
          </cell>
        </row>
        <row r="335">
          <cell r="A335">
            <v>15526.3</v>
          </cell>
        </row>
        <row r="336">
          <cell r="A336">
            <v>15667.7</v>
          </cell>
        </row>
        <row r="337">
          <cell r="A337">
            <v>15724.2</v>
          </cell>
        </row>
        <row r="338">
          <cell r="A338">
            <v>15727.5</v>
          </cell>
        </row>
        <row r="339">
          <cell r="A339">
            <v>15845.1</v>
          </cell>
        </row>
        <row r="340">
          <cell r="A340">
            <v>16532.8</v>
          </cell>
        </row>
        <row r="341">
          <cell r="A341">
            <v>16576.599999999999</v>
          </cell>
        </row>
        <row r="342">
          <cell r="A342">
            <v>16609.599999999999</v>
          </cell>
        </row>
        <row r="343">
          <cell r="A343">
            <v>16620.599999999999</v>
          </cell>
        </row>
        <row r="344">
          <cell r="A344">
            <v>16866.400000000001</v>
          </cell>
        </row>
        <row r="345">
          <cell r="A345">
            <v>16885.3</v>
          </cell>
        </row>
        <row r="346">
          <cell r="A346">
            <v>17114.8</v>
          </cell>
        </row>
        <row r="347">
          <cell r="A347">
            <v>17441.599999999999</v>
          </cell>
        </row>
        <row r="348">
          <cell r="A348">
            <v>18023.099999999999</v>
          </cell>
        </row>
        <row r="349">
          <cell r="A349">
            <v>18430.400000000001</v>
          </cell>
        </row>
        <row r="350">
          <cell r="A350">
            <v>18563.900000000001</v>
          </cell>
        </row>
        <row r="351">
          <cell r="A351">
            <v>18568.400000000001</v>
          </cell>
        </row>
        <row r="352">
          <cell r="A352">
            <v>18690.099999999999</v>
          </cell>
        </row>
        <row r="353">
          <cell r="A353">
            <v>19078.2</v>
          </cell>
        </row>
        <row r="354">
          <cell r="A354">
            <v>19384</v>
          </cell>
        </row>
        <row r="355">
          <cell r="A355">
            <v>19789.099999999999</v>
          </cell>
        </row>
        <row r="356">
          <cell r="A356">
            <v>19930.900000000001</v>
          </cell>
        </row>
        <row r="357">
          <cell r="A357">
            <v>20906.8</v>
          </cell>
        </row>
        <row r="358">
          <cell r="A358">
            <v>20917.900000000001</v>
          </cell>
        </row>
        <row r="359">
          <cell r="A359">
            <v>21154.7</v>
          </cell>
        </row>
        <row r="360">
          <cell r="A360">
            <v>21626</v>
          </cell>
        </row>
        <row r="361">
          <cell r="A361">
            <v>21679.599999999999</v>
          </cell>
        </row>
        <row r="362">
          <cell r="A362">
            <v>21775.4</v>
          </cell>
        </row>
        <row r="363">
          <cell r="A363">
            <v>22136</v>
          </cell>
        </row>
        <row r="364">
          <cell r="A364">
            <v>23234.1</v>
          </cell>
        </row>
        <row r="365">
          <cell r="A365">
            <v>23572.1</v>
          </cell>
        </row>
        <row r="366">
          <cell r="A366">
            <v>23670.5</v>
          </cell>
        </row>
        <row r="367">
          <cell r="A367">
            <v>25166.7</v>
          </cell>
        </row>
        <row r="368">
          <cell r="A368">
            <v>25968.9</v>
          </cell>
        </row>
        <row r="369">
          <cell r="A369">
            <v>27095.599999999999</v>
          </cell>
        </row>
        <row r="370">
          <cell r="A370">
            <v>28104.400000000001</v>
          </cell>
        </row>
        <row r="371">
          <cell r="A371">
            <v>29514.5</v>
          </cell>
        </row>
        <row r="372">
          <cell r="A372">
            <v>29525.3</v>
          </cell>
        </row>
        <row r="373">
          <cell r="A373">
            <v>30092</v>
          </cell>
        </row>
        <row r="374">
          <cell r="A374">
            <v>32242.7</v>
          </cell>
        </row>
        <row r="375">
          <cell r="A375">
            <v>32773.300000000003</v>
          </cell>
        </row>
        <row r="376">
          <cell r="A376">
            <v>34285.300000000003</v>
          </cell>
        </row>
        <row r="377">
          <cell r="A377">
            <v>35089.699999999997</v>
          </cell>
        </row>
        <row r="378">
          <cell r="A378">
            <v>37579.599999999999</v>
          </cell>
        </row>
        <row r="379">
          <cell r="A379">
            <v>37887.699999999997</v>
          </cell>
        </row>
        <row r="380">
          <cell r="A380">
            <v>40205.800000000003</v>
          </cell>
        </row>
        <row r="381">
          <cell r="A381">
            <v>41495</v>
          </cell>
        </row>
        <row r="382">
          <cell r="A382">
            <v>42013.4</v>
          </cell>
        </row>
        <row r="383">
          <cell r="A383">
            <v>42428.6</v>
          </cell>
        </row>
        <row r="384">
          <cell r="A384">
            <v>44108.4</v>
          </cell>
        </row>
        <row r="385">
          <cell r="A385">
            <v>45969.9</v>
          </cell>
        </row>
        <row r="386">
          <cell r="A386">
            <v>47142.9</v>
          </cell>
        </row>
        <row r="387">
          <cell r="A387">
            <v>47983.9</v>
          </cell>
        </row>
        <row r="388">
          <cell r="A388">
            <v>48858.400000000001</v>
          </cell>
        </row>
        <row r="389">
          <cell r="A389">
            <v>50307.9</v>
          </cell>
        </row>
        <row r="390">
          <cell r="A390">
            <v>50790</v>
          </cell>
        </row>
        <row r="391">
          <cell r="A391">
            <v>53678.8</v>
          </cell>
        </row>
        <row r="392">
          <cell r="A392">
            <v>55354.400000000001</v>
          </cell>
        </row>
        <row r="393">
          <cell r="A393">
            <v>61307.1</v>
          </cell>
        </row>
        <row r="394">
          <cell r="A394">
            <v>62570.400000000001</v>
          </cell>
        </row>
        <row r="395">
          <cell r="A395">
            <v>67629.2</v>
          </cell>
        </row>
        <row r="396">
          <cell r="A396">
            <v>90072.3</v>
          </cell>
        </row>
        <row r="397">
          <cell r="A397">
            <v>180498.3</v>
          </cell>
        </row>
        <row r="398">
          <cell r="A398">
            <v>187895.2</v>
          </cell>
        </row>
        <row r="399">
          <cell r="A399">
            <v>205699.3</v>
          </cell>
        </row>
        <row r="400">
          <cell r="A400">
            <v>231204.8</v>
          </cell>
        </row>
        <row r="401">
          <cell r="A401">
            <v>244785.8</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TD%20Fall'25/OPRE6332_Spreadsheet/class-6/Class-0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 GANESH" refreshedDate="45930.835908680558" createdVersion="8" refreshedVersion="8" minRefreshableVersion="3" recordCount="1226" xr:uid="{F40341D4-5972-4903-919D-246E3E2F5509}">
  <cacheSource type="worksheet">
    <worksheetSource ref="A1:K1227" sheet="Set1" r:id="rId2"/>
  </cacheSource>
  <cacheFields count="11">
    <cacheField name="Date Sold" numFmtId="14">
      <sharedItems containsSemiMixedTypes="0" containsNonDate="0" containsDate="1" containsString="0" minDate="2024-10-08T00:00:00" maxDate="2025-03-14T00:00:00"/>
    </cacheField>
    <cacheField name="Invoice" numFmtId="14">
      <sharedItems/>
    </cacheField>
    <cacheField name="Product" numFmtId="0">
      <sharedItems count="9">
        <s v="Purse"/>
        <s v="Hoddie"/>
        <s v="Scarf"/>
        <s v="Skirt"/>
        <s v="T-Shirt"/>
        <s v="Sweater"/>
        <s v="Hat"/>
        <s v="Jeans"/>
        <s v="Jacket"/>
      </sharedItems>
    </cacheField>
    <cacheField name="City" numFmtId="0">
      <sharedItems/>
    </cacheField>
    <cacheField name="Employee" numFmtId="0">
      <sharedItems count="7">
        <s v="Jack"/>
        <s v="Mark"/>
        <s v="John"/>
        <s v="Diya"/>
        <s v="Cathy"/>
        <s v="Ashley"/>
        <s v="Jill"/>
      </sharedItems>
    </cacheField>
    <cacheField name="Customer" numFmtId="0">
      <sharedItems/>
    </cacheField>
    <cacheField name="Units" numFmtId="0">
      <sharedItems containsSemiMixedTypes="0" containsString="0" containsNumber="1" containsInteger="1" minValue="10" maxValue="60"/>
    </cacheField>
    <cacheField name="Price" numFmtId="164">
      <sharedItems containsSemiMixedTypes="0" containsString="0" containsNumber="1" containsInteger="1" minValue="20" maxValue="80"/>
    </cacheField>
    <cacheField name="Total Sales" numFmtId="164">
      <sharedItems containsSemiMixedTypes="0" containsString="0" containsNumber="1" containsInteger="1" minValue="200" maxValue="4187"/>
    </cacheField>
    <cacheField name="Method" numFmtId="164">
      <sharedItems/>
    </cacheField>
    <cacheField name="Commission" numFmtId="164">
      <sharedItems containsSemiMixedTypes="0" containsString="0" containsNumber="1" minValue="4.4000000000000004" maxValue="124.8"/>
    </cacheField>
  </cacheFields>
  <extLst>
    <ext xmlns:x14="http://schemas.microsoft.com/office/spreadsheetml/2009/9/main" uri="{725AE2AE-9491-48be-B2B4-4EB974FC3084}">
      <x14:pivotCacheDefinition pivotCacheId="12816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6">
  <r>
    <d v="2024-10-08T00:00:00"/>
    <s v="H-4546-11"/>
    <x v="0"/>
    <s v="Frisco"/>
    <x v="0"/>
    <s v="APS"/>
    <n v="35"/>
    <n v="22"/>
    <n v="770"/>
    <s v="Credit card"/>
    <n v="19.25"/>
  </r>
  <r>
    <d v="2024-10-08T00:00:00"/>
    <s v="C-1202-11"/>
    <x v="1"/>
    <s v="Plano"/>
    <x v="1"/>
    <s v="HTE"/>
    <n v="45"/>
    <n v="29"/>
    <n v="1305"/>
    <s v="Cash"/>
    <n v="27.405000000000001"/>
  </r>
  <r>
    <d v="2024-10-08T00:00:00"/>
    <s v="D-9800-11"/>
    <x v="2"/>
    <s v="Dallas"/>
    <x v="2"/>
    <s v="ARP"/>
    <n v="59"/>
    <n v="52"/>
    <n v="3068"/>
    <s v="Cash"/>
    <n v="79.768000000000001"/>
  </r>
  <r>
    <d v="2024-10-08T00:00:00"/>
    <s v="A-4986-11"/>
    <x v="1"/>
    <s v="Dallas"/>
    <x v="3"/>
    <s v="HTE"/>
    <n v="11"/>
    <n v="58"/>
    <n v="638"/>
    <s v="Cash"/>
    <n v="13.398"/>
  </r>
  <r>
    <d v="2024-10-09T00:00:00"/>
    <s v="A-9544-12"/>
    <x v="1"/>
    <s v="Richardson"/>
    <x v="1"/>
    <s v="PKH"/>
    <n v="12"/>
    <n v="51"/>
    <n v="612"/>
    <s v="Credit card"/>
    <n v="18.36"/>
  </r>
  <r>
    <d v="2024-10-09T00:00:00"/>
    <s v="B-1559-12"/>
    <x v="3"/>
    <s v="Allen"/>
    <x v="4"/>
    <s v="HNP"/>
    <n v="54"/>
    <n v="39"/>
    <n v="2106"/>
    <s v="Credit card"/>
    <n v="56.862000000000002"/>
  </r>
  <r>
    <d v="2024-10-09T00:00:00"/>
    <s v="H-7091-12"/>
    <x v="4"/>
    <s v="Allen"/>
    <x v="0"/>
    <s v="HTE"/>
    <n v="38"/>
    <n v="32"/>
    <n v="1216"/>
    <s v="Credit card"/>
    <n v="34.048000000000002"/>
  </r>
  <r>
    <d v="2024-10-10T00:00:00"/>
    <s v="C-1331-13"/>
    <x v="0"/>
    <s v="Dallas"/>
    <x v="3"/>
    <s v="HNP"/>
    <n v="17"/>
    <n v="53"/>
    <n v="901"/>
    <s v="Cash"/>
    <n v="25.228000000000002"/>
  </r>
  <r>
    <d v="2024-10-10T00:00:00"/>
    <s v="F-6855-13"/>
    <x v="2"/>
    <s v="Plano"/>
    <x v="5"/>
    <s v="TAP"/>
    <n v="41"/>
    <n v="43"/>
    <n v="1763"/>
    <s v="Credit card"/>
    <n v="49.363999999999997"/>
  </r>
  <r>
    <d v="2024-10-10T00:00:00"/>
    <s v="G-4825-13"/>
    <x v="4"/>
    <s v="Plano"/>
    <x v="2"/>
    <s v="TAP"/>
    <n v="20"/>
    <n v="20"/>
    <n v="400"/>
    <s v="Credit card"/>
    <n v="10.4"/>
  </r>
  <r>
    <d v="2024-10-10T00:00:00"/>
    <s v="D-1167-13"/>
    <x v="2"/>
    <s v="Frisco"/>
    <x v="4"/>
    <s v="MSP"/>
    <n v="48"/>
    <n v="38"/>
    <n v="1824"/>
    <s v="Cash"/>
    <n v="52.896000000000001"/>
  </r>
  <r>
    <d v="2024-10-10T00:00:00"/>
    <s v="H-4383-13"/>
    <x v="3"/>
    <s v="Frisco"/>
    <x v="1"/>
    <s v="APS"/>
    <n v="57"/>
    <n v="46"/>
    <n v="2622"/>
    <s v="Check"/>
    <n v="52.44"/>
  </r>
  <r>
    <d v="2024-10-10T00:00:00"/>
    <s v="E-4550-13"/>
    <x v="3"/>
    <s v="Richardson"/>
    <x v="1"/>
    <s v="ATP"/>
    <n v="57"/>
    <n v="54"/>
    <n v="3078"/>
    <s v="Credit card"/>
    <n v="89.262"/>
  </r>
  <r>
    <d v="2024-10-10T00:00:00"/>
    <s v="B-9588-13"/>
    <x v="5"/>
    <s v="Allen"/>
    <x v="3"/>
    <s v="TAP"/>
    <n v="53"/>
    <n v="46"/>
    <n v="2438"/>
    <s v="Check"/>
    <n v="48.76"/>
  </r>
  <r>
    <d v="2024-10-11T00:00:00"/>
    <s v="B-2845-14"/>
    <x v="6"/>
    <s v="Dallas"/>
    <x v="4"/>
    <s v="HNP"/>
    <n v="42"/>
    <n v="36"/>
    <n v="1512"/>
    <s v="Credit card"/>
    <n v="43.847999999999999"/>
  </r>
  <r>
    <d v="2024-10-11T00:00:00"/>
    <s v="B-7248-14"/>
    <x v="3"/>
    <s v="Dallas"/>
    <x v="1"/>
    <s v="KQR"/>
    <n v="49"/>
    <n v="20"/>
    <n v="980"/>
    <s v="Cash"/>
    <n v="20.58"/>
  </r>
  <r>
    <d v="2024-10-11T00:00:00"/>
    <s v="A-6269-14"/>
    <x v="7"/>
    <s v="Coppell"/>
    <x v="0"/>
    <s v="ZAA"/>
    <n v="10"/>
    <n v="54"/>
    <n v="540"/>
    <s v="Credit card"/>
    <n v="16.2"/>
  </r>
  <r>
    <d v="2024-10-11T00:00:00"/>
    <s v="G-7715-14"/>
    <x v="2"/>
    <s v="Dallas"/>
    <x v="4"/>
    <s v="TAP"/>
    <n v="35"/>
    <n v="20"/>
    <n v="700"/>
    <s v="Gift card"/>
    <n v="18.2"/>
  </r>
  <r>
    <d v="2024-10-11T00:00:00"/>
    <s v="B-4450-14"/>
    <x v="8"/>
    <s v="Frisco"/>
    <x v="0"/>
    <s v="TSQ"/>
    <n v="24"/>
    <n v="39"/>
    <n v="936"/>
    <s v="Check"/>
    <n v="25.271999999999998"/>
  </r>
  <r>
    <d v="2024-10-11T00:00:00"/>
    <s v="E-6864-14"/>
    <x v="0"/>
    <s v="McKinney"/>
    <x v="1"/>
    <s v="TSA"/>
    <n v="30"/>
    <n v="45"/>
    <n v="1350"/>
    <s v="Credit card"/>
    <n v="31.05"/>
  </r>
  <r>
    <d v="2024-10-12T00:00:00"/>
    <s v="E-4417-15"/>
    <x v="4"/>
    <s v="Plano"/>
    <x v="0"/>
    <s v="ATP"/>
    <n v="51"/>
    <n v="36"/>
    <n v="1836"/>
    <s v="Credit card"/>
    <n v="47.735999999999997"/>
  </r>
  <r>
    <d v="2024-10-12T00:00:00"/>
    <s v="D-2913-15"/>
    <x v="4"/>
    <s v="Dallas"/>
    <x v="5"/>
    <s v="PFF"/>
    <n v="51"/>
    <n v="54"/>
    <n v="2754"/>
    <s v="Credit card"/>
    <n v="60.588000000000001"/>
  </r>
  <r>
    <d v="2024-10-12T00:00:00"/>
    <s v="A-2871-15"/>
    <x v="8"/>
    <s v="Allen"/>
    <x v="4"/>
    <s v="TAP"/>
    <n v="38"/>
    <n v="41"/>
    <n v="1558"/>
    <s v="Cash"/>
    <n v="34.276000000000003"/>
  </r>
  <r>
    <d v="2024-10-12T00:00:00"/>
    <s v="A-2730-15"/>
    <x v="4"/>
    <s v="Plano"/>
    <x v="0"/>
    <s v="ZAA"/>
    <n v="31"/>
    <n v="33"/>
    <n v="1023"/>
    <s v="Credit card"/>
    <n v="21.483000000000001"/>
  </r>
  <r>
    <d v="2024-10-12T00:00:00"/>
    <s v="A-7076-15"/>
    <x v="4"/>
    <s v="Dallas"/>
    <x v="4"/>
    <s v="TSA"/>
    <n v="13"/>
    <n v="39"/>
    <n v="507"/>
    <s v="Credit card"/>
    <n v="10.647"/>
  </r>
  <r>
    <d v="2024-10-12T00:00:00"/>
    <s v="D-9803-15"/>
    <x v="8"/>
    <s v="Plano"/>
    <x v="3"/>
    <s v="SAT"/>
    <n v="59"/>
    <n v="21"/>
    <n v="1239"/>
    <s v="Gift card"/>
    <n v="35.930999999999997"/>
  </r>
  <r>
    <d v="2024-10-12T00:00:00"/>
    <s v="E-8259-15"/>
    <x v="4"/>
    <s v="Dallas"/>
    <x v="0"/>
    <s v="TAP"/>
    <n v="15"/>
    <n v="36"/>
    <n v="540"/>
    <s v="Credit card"/>
    <n v="13.5"/>
  </r>
  <r>
    <d v="2024-10-12T00:00:00"/>
    <s v="G-2424-15"/>
    <x v="3"/>
    <s v="Frisco"/>
    <x v="4"/>
    <s v="HNP"/>
    <n v="10"/>
    <n v="27"/>
    <n v="270"/>
    <s v="Gift card"/>
    <n v="5.94"/>
  </r>
  <r>
    <d v="2024-10-12T00:00:00"/>
    <s v="D-5784-15"/>
    <x v="2"/>
    <s v="Allen"/>
    <x v="3"/>
    <s v="PKH"/>
    <n v="58"/>
    <n v="49"/>
    <n v="2842"/>
    <s v="Cash"/>
    <n v="85.26"/>
  </r>
  <r>
    <d v="2024-10-13T00:00:00"/>
    <s v="G-1737-16"/>
    <x v="5"/>
    <s v="Dallas"/>
    <x v="3"/>
    <s v="TSQ"/>
    <n v="16"/>
    <n v="50"/>
    <n v="800"/>
    <s v="Gift card"/>
    <n v="16.8"/>
  </r>
  <r>
    <d v="2024-10-13T00:00:00"/>
    <s v="B-3090-16"/>
    <x v="8"/>
    <s v="Dallas"/>
    <x v="3"/>
    <s v="HTE"/>
    <n v="14"/>
    <n v="53"/>
    <n v="742"/>
    <s v="Credit card"/>
    <n v="20.033999999999999"/>
  </r>
  <r>
    <d v="2024-10-13T00:00:00"/>
    <s v="B-3490-16"/>
    <x v="8"/>
    <s v="McKinney"/>
    <x v="3"/>
    <s v="KQR"/>
    <n v="32"/>
    <n v="44"/>
    <n v="1408"/>
    <s v="Credit card"/>
    <n v="30.975999999999999"/>
  </r>
  <r>
    <d v="2024-10-13T00:00:00"/>
    <s v="G-7486-16"/>
    <x v="7"/>
    <s v="Dallas"/>
    <x v="2"/>
    <s v="AKJ"/>
    <n v="43"/>
    <n v="54"/>
    <n v="2322"/>
    <s v="Check"/>
    <n v="53.405999999999999"/>
  </r>
  <r>
    <d v="2024-10-13T00:00:00"/>
    <s v="D-4062-16"/>
    <x v="4"/>
    <s v="Plano"/>
    <x v="6"/>
    <s v="TAP"/>
    <n v="40"/>
    <n v="43"/>
    <n v="1720"/>
    <s v="Cash"/>
    <n v="43"/>
  </r>
  <r>
    <d v="2024-10-13T00:00:00"/>
    <s v="A-8553-16"/>
    <x v="7"/>
    <s v="Richardson"/>
    <x v="3"/>
    <s v="JKA"/>
    <n v="43"/>
    <n v="33"/>
    <n v="1419"/>
    <s v="Credit card"/>
    <n v="31.218"/>
  </r>
  <r>
    <d v="2024-10-13T00:00:00"/>
    <s v="D-3082-16"/>
    <x v="4"/>
    <s v="Allen"/>
    <x v="0"/>
    <s v="TSA"/>
    <n v="57"/>
    <n v="51"/>
    <n v="2907"/>
    <s v="Cash"/>
    <n v="63.954000000000001"/>
  </r>
  <r>
    <d v="2024-10-13T00:00:00"/>
    <s v="B-7616-16"/>
    <x v="7"/>
    <s v="Coppell"/>
    <x v="4"/>
    <s v="PFF"/>
    <n v="38"/>
    <n v="48"/>
    <n v="1824"/>
    <s v="Cash"/>
    <n v="52.896000000000001"/>
  </r>
  <r>
    <d v="2024-10-13T00:00:00"/>
    <s v="A-1457-16"/>
    <x v="6"/>
    <s v="Plano"/>
    <x v="1"/>
    <s v="ZAA"/>
    <n v="48"/>
    <n v="56"/>
    <n v="2688"/>
    <s v="Credit card"/>
    <n v="77.951999999999998"/>
  </r>
  <r>
    <d v="2024-10-13T00:00:00"/>
    <s v="A-8299-16"/>
    <x v="5"/>
    <s v="Plano"/>
    <x v="3"/>
    <s v="HNP"/>
    <n v="30"/>
    <n v="46"/>
    <n v="1380"/>
    <s v="Cash"/>
    <n v="40.020000000000003"/>
  </r>
  <r>
    <d v="2024-10-13T00:00:00"/>
    <s v="F-5001-16"/>
    <x v="7"/>
    <s v="Plano"/>
    <x v="4"/>
    <s v="ZAA"/>
    <n v="32"/>
    <n v="44"/>
    <n v="1408"/>
    <s v="Credit card"/>
    <n v="40.832000000000001"/>
  </r>
  <r>
    <d v="2024-10-14T00:00:00"/>
    <s v="F-6790-17"/>
    <x v="2"/>
    <s v="Allen"/>
    <x v="3"/>
    <s v="PFF"/>
    <n v="14"/>
    <n v="60"/>
    <n v="840"/>
    <s v="Credit card"/>
    <n v="16.8"/>
  </r>
  <r>
    <d v="2024-10-14T00:00:00"/>
    <s v="F-3844-17"/>
    <x v="3"/>
    <s v="Frisco"/>
    <x v="2"/>
    <s v="KQR"/>
    <n v="34"/>
    <n v="25"/>
    <n v="850"/>
    <s v="Credit card"/>
    <n v="19.55"/>
  </r>
  <r>
    <d v="2024-10-14T00:00:00"/>
    <s v="H-9531-17"/>
    <x v="1"/>
    <s v="Richardson"/>
    <x v="3"/>
    <s v="ATP"/>
    <n v="25"/>
    <n v="29"/>
    <n v="725"/>
    <s v="Credit card"/>
    <n v="21.024999999999999"/>
  </r>
  <r>
    <d v="2024-10-14T00:00:00"/>
    <s v="E-3324-17"/>
    <x v="7"/>
    <s v="McKinney"/>
    <x v="6"/>
    <s v="AKJ"/>
    <n v="59"/>
    <n v="41"/>
    <n v="2419"/>
    <s v="Credit card"/>
    <n v="65.313000000000002"/>
  </r>
  <r>
    <d v="2024-10-14T00:00:00"/>
    <s v="C-8431-17"/>
    <x v="4"/>
    <s v="Plano"/>
    <x v="5"/>
    <s v="HNP"/>
    <n v="42"/>
    <n v="43"/>
    <n v="1806"/>
    <s v="Gift card"/>
    <n v="36.119999999999997"/>
  </r>
  <r>
    <d v="2024-10-15T00:00:00"/>
    <s v="B-1951-18"/>
    <x v="4"/>
    <s v="Allen"/>
    <x v="5"/>
    <s v="PKH"/>
    <n v="33"/>
    <n v="57"/>
    <n v="1881"/>
    <s v="Credit card"/>
    <n v="47.024999999999999"/>
  </r>
  <r>
    <d v="2024-10-15T00:00:00"/>
    <s v="C-2273-18"/>
    <x v="0"/>
    <s v="Allen"/>
    <x v="3"/>
    <s v="HNP"/>
    <n v="27"/>
    <n v="46"/>
    <n v="1242"/>
    <s v="Cash"/>
    <n v="36.018000000000001"/>
  </r>
  <r>
    <d v="2024-10-15T00:00:00"/>
    <s v="F-1862-18"/>
    <x v="0"/>
    <s v="Plano"/>
    <x v="5"/>
    <s v="TAP"/>
    <n v="30"/>
    <n v="58"/>
    <n v="1740"/>
    <s v="Credit card"/>
    <n v="34.799999999999997"/>
  </r>
  <r>
    <d v="2024-10-16T00:00:00"/>
    <s v="H-2792-19"/>
    <x v="0"/>
    <s v="Coppell"/>
    <x v="0"/>
    <s v="PFF"/>
    <n v="25"/>
    <n v="48"/>
    <n v="1200"/>
    <s v="Cash"/>
    <n v="34.799999999999997"/>
  </r>
  <r>
    <d v="2024-10-16T00:00:00"/>
    <s v="E-3741-19"/>
    <x v="7"/>
    <s v="Richardson"/>
    <x v="5"/>
    <s v="TSQ"/>
    <n v="52"/>
    <n v="53"/>
    <n v="2756"/>
    <s v="Credit card"/>
    <n v="77.168000000000006"/>
  </r>
  <r>
    <d v="2024-10-16T00:00:00"/>
    <s v="H-8627-19"/>
    <x v="7"/>
    <s v="Allen"/>
    <x v="2"/>
    <s v="ATP"/>
    <n v="41"/>
    <n v="22"/>
    <n v="902"/>
    <s v="Credit card"/>
    <n v="19.844000000000001"/>
  </r>
  <r>
    <d v="2024-10-16T00:00:00"/>
    <s v="A-5266-19"/>
    <x v="0"/>
    <s v="Frisco"/>
    <x v="4"/>
    <s v="PKH"/>
    <n v="19"/>
    <n v="58"/>
    <n v="1102"/>
    <s v="Credit card"/>
    <n v="25.346"/>
  </r>
  <r>
    <d v="2024-10-16T00:00:00"/>
    <s v="F-2498-19"/>
    <x v="7"/>
    <s v="McKinney"/>
    <x v="3"/>
    <s v="SAT"/>
    <n v="10"/>
    <n v="23"/>
    <n v="230"/>
    <s v="Credit card"/>
    <n v="5.29"/>
  </r>
  <r>
    <d v="2024-10-16T00:00:00"/>
    <s v="A-9471-19"/>
    <x v="5"/>
    <s v="Dallas"/>
    <x v="6"/>
    <s v="AKJ"/>
    <n v="17"/>
    <n v="56"/>
    <n v="952"/>
    <s v="Credit card"/>
    <n v="23.8"/>
  </r>
  <r>
    <d v="2024-10-16T00:00:00"/>
    <s v="D-7513-19"/>
    <x v="3"/>
    <s v="Coppell"/>
    <x v="0"/>
    <s v="ZAA"/>
    <n v="49"/>
    <n v="24"/>
    <n v="1176"/>
    <s v="Credit card"/>
    <n v="32.927999999999997"/>
  </r>
  <r>
    <d v="2024-10-16T00:00:00"/>
    <s v="D-4325-19"/>
    <x v="6"/>
    <s v="Dallas"/>
    <x v="4"/>
    <s v="APS"/>
    <n v="18"/>
    <n v="58"/>
    <n v="1044"/>
    <s v="Credit card"/>
    <n v="22.968"/>
  </r>
  <r>
    <d v="2024-10-16T00:00:00"/>
    <s v="F-2754-19"/>
    <x v="6"/>
    <s v="Richardson"/>
    <x v="6"/>
    <s v="TSQ"/>
    <n v="11"/>
    <n v="21"/>
    <n v="231"/>
    <s v="Credit card"/>
    <n v="5.3129999999999997"/>
  </r>
  <r>
    <d v="2024-10-16T00:00:00"/>
    <s v="G-9190-19"/>
    <x v="4"/>
    <s v="Richardson"/>
    <x v="4"/>
    <s v="HNP"/>
    <n v="56"/>
    <n v="31"/>
    <n v="1736"/>
    <s v="Credit card"/>
    <n v="41.664000000000001"/>
  </r>
  <r>
    <d v="2024-10-17T00:00:00"/>
    <s v="F-9722-20"/>
    <x v="8"/>
    <s v="McKinney"/>
    <x v="6"/>
    <s v="TSA"/>
    <n v="33"/>
    <n v="58"/>
    <n v="1914"/>
    <s v="Credit card"/>
    <n v="57.42"/>
  </r>
  <r>
    <d v="2024-10-17T00:00:00"/>
    <s v="D-8576-20"/>
    <x v="1"/>
    <s v="Allen"/>
    <x v="0"/>
    <s v="HNP"/>
    <n v="17"/>
    <n v="26"/>
    <n v="442"/>
    <s v="Credit card"/>
    <n v="10.166"/>
  </r>
  <r>
    <d v="2024-10-17T00:00:00"/>
    <s v="A-8384-20"/>
    <x v="6"/>
    <s v="Dallas"/>
    <x v="3"/>
    <s v="ZAA"/>
    <n v="58"/>
    <n v="47"/>
    <n v="2726"/>
    <s v="Gift card"/>
    <n v="68.150000000000006"/>
  </r>
  <r>
    <d v="2024-10-17T00:00:00"/>
    <s v="H-5092-20"/>
    <x v="8"/>
    <s v="Plano"/>
    <x v="6"/>
    <s v="SMH"/>
    <n v="16"/>
    <n v="60"/>
    <n v="960"/>
    <s v="Check"/>
    <n v="20.16"/>
  </r>
  <r>
    <d v="2024-10-17T00:00:00"/>
    <s v="E-3732-20"/>
    <x v="8"/>
    <s v="Plano"/>
    <x v="1"/>
    <s v="SAT"/>
    <n v="47"/>
    <n v="38"/>
    <n v="1786"/>
    <s v="Credit card"/>
    <n v="48.222000000000001"/>
  </r>
  <r>
    <d v="2024-10-17T00:00:00"/>
    <s v="C-1597-20"/>
    <x v="7"/>
    <s v="Plano"/>
    <x v="0"/>
    <s v="TAP"/>
    <n v="20"/>
    <n v="52"/>
    <n v="1040"/>
    <s v="Gift card"/>
    <n v="22.88"/>
  </r>
  <r>
    <d v="2024-10-17T00:00:00"/>
    <s v="A-1358-20"/>
    <x v="7"/>
    <s v="Allen"/>
    <x v="4"/>
    <s v="ATP"/>
    <n v="50"/>
    <n v="48"/>
    <n v="2400"/>
    <s v="Credit card"/>
    <n v="64.8"/>
  </r>
  <r>
    <d v="2024-10-17T00:00:00"/>
    <s v="D-9921-20"/>
    <x v="4"/>
    <s v="McKinney"/>
    <x v="0"/>
    <s v="HTE"/>
    <n v="21"/>
    <n v="24"/>
    <n v="504"/>
    <s v="Gift card"/>
    <n v="15.12"/>
  </r>
  <r>
    <d v="2024-10-17T00:00:00"/>
    <s v="D-8628-20"/>
    <x v="7"/>
    <s v="Allen"/>
    <x v="2"/>
    <s v="ARP"/>
    <n v="22"/>
    <n v="41"/>
    <n v="902"/>
    <s v="Credit card"/>
    <n v="22.55"/>
  </r>
  <r>
    <d v="2024-10-17T00:00:00"/>
    <s v="E-4820-20"/>
    <x v="4"/>
    <s v="McKinney"/>
    <x v="1"/>
    <s v="AKJ"/>
    <n v="34"/>
    <n v="57"/>
    <n v="1938"/>
    <s v="Check"/>
    <n v="50.387999999999998"/>
  </r>
  <r>
    <d v="2024-10-17T00:00:00"/>
    <s v="E-5457-20"/>
    <x v="6"/>
    <s v="Richardson"/>
    <x v="3"/>
    <s v="AKJ"/>
    <n v="56"/>
    <n v="52"/>
    <n v="2912"/>
    <s v="Credit card"/>
    <n v="87.36"/>
  </r>
  <r>
    <d v="2024-10-17T00:00:00"/>
    <s v="G-6116-20"/>
    <x v="4"/>
    <s v="McKinney"/>
    <x v="6"/>
    <s v="PFF"/>
    <n v="44"/>
    <n v="44"/>
    <n v="1936"/>
    <s v="Gift card"/>
    <n v="46.463999999999999"/>
  </r>
  <r>
    <d v="2024-10-17T00:00:00"/>
    <s v="E-5859-20"/>
    <x v="7"/>
    <s v="Coppell"/>
    <x v="4"/>
    <s v="TSA"/>
    <n v="21"/>
    <n v="44"/>
    <n v="924"/>
    <s v="Credit card"/>
    <n v="24.948"/>
  </r>
  <r>
    <d v="2024-10-17T00:00:00"/>
    <s v="A-8730-20"/>
    <x v="0"/>
    <s v="Allen"/>
    <x v="2"/>
    <s v="APS"/>
    <n v="31"/>
    <n v="29"/>
    <n v="899"/>
    <s v="Credit card"/>
    <n v="22.475000000000001"/>
  </r>
  <r>
    <d v="2024-10-17T00:00:00"/>
    <s v="D-5063-20"/>
    <x v="0"/>
    <s v="Dallas"/>
    <x v="1"/>
    <s v="TAP"/>
    <n v="33"/>
    <n v="35"/>
    <n v="1155"/>
    <s v="Cash"/>
    <n v="30.03"/>
  </r>
  <r>
    <d v="2024-10-17T00:00:00"/>
    <s v="B-1566-20"/>
    <x v="1"/>
    <s v="Dallas"/>
    <x v="2"/>
    <s v="KQR"/>
    <n v="51"/>
    <n v="60"/>
    <n v="3060"/>
    <s v="Credit card"/>
    <n v="70.38"/>
  </r>
  <r>
    <d v="2024-10-17T00:00:00"/>
    <s v="D-2031-20"/>
    <x v="8"/>
    <s v="Plano"/>
    <x v="4"/>
    <s v="ATP"/>
    <n v="39"/>
    <n v="58"/>
    <n v="2262"/>
    <s v="Gift card"/>
    <n v="47.502000000000002"/>
  </r>
  <r>
    <d v="2024-10-17T00:00:00"/>
    <s v="E-3827-20"/>
    <x v="4"/>
    <s v="Plano"/>
    <x v="2"/>
    <s v="HTE"/>
    <n v="45"/>
    <n v="53"/>
    <n v="2385"/>
    <s v="Cash"/>
    <n v="62.01"/>
  </r>
  <r>
    <d v="2024-10-17T00:00:00"/>
    <s v="F-8660-20"/>
    <x v="3"/>
    <s v="Coppell"/>
    <x v="2"/>
    <s v="AKJ"/>
    <n v="18"/>
    <n v="36"/>
    <n v="648"/>
    <s v="Cash"/>
    <n v="16.2"/>
  </r>
  <r>
    <d v="2024-10-17T00:00:00"/>
    <s v="B-7247-20"/>
    <x v="8"/>
    <s v="Richardson"/>
    <x v="3"/>
    <s v="PKH"/>
    <n v="36"/>
    <n v="46"/>
    <n v="1656"/>
    <s v="Credit card"/>
    <n v="46.368000000000002"/>
  </r>
  <r>
    <d v="2024-10-17T00:00:00"/>
    <s v="F-3466-20"/>
    <x v="6"/>
    <s v="Coppell"/>
    <x v="1"/>
    <s v="HTE"/>
    <n v="50"/>
    <n v="37"/>
    <n v="1850"/>
    <s v="Gift card"/>
    <n v="44.4"/>
  </r>
  <r>
    <d v="2024-10-17T00:00:00"/>
    <s v="C-1265-20"/>
    <x v="4"/>
    <s v="Coppell"/>
    <x v="3"/>
    <s v="ARP"/>
    <n v="53"/>
    <n v="55"/>
    <n v="2915"/>
    <s v="Gift card"/>
    <n v="72.875"/>
  </r>
  <r>
    <d v="2024-10-18T00:00:00"/>
    <s v="G-2692-21"/>
    <x v="2"/>
    <s v="Richardson"/>
    <x v="4"/>
    <s v="PKH"/>
    <n v="22"/>
    <n v="34"/>
    <n v="748"/>
    <s v="Cash"/>
    <n v="22.44"/>
  </r>
  <r>
    <d v="2024-10-19T00:00:00"/>
    <s v="H-8771-22"/>
    <x v="4"/>
    <s v="Coppell"/>
    <x v="3"/>
    <s v="TAP"/>
    <n v="53"/>
    <n v="44"/>
    <n v="2332"/>
    <s v="Check"/>
    <n v="58.3"/>
  </r>
  <r>
    <d v="2024-10-19T00:00:00"/>
    <s v="D-3085-22"/>
    <x v="2"/>
    <s v="Allen"/>
    <x v="1"/>
    <s v="JKA"/>
    <n v="10"/>
    <n v="36"/>
    <n v="360"/>
    <s v="Credit card"/>
    <n v="8.64"/>
  </r>
  <r>
    <d v="2024-10-19T00:00:00"/>
    <s v="F-1335-22"/>
    <x v="7"/>
    <s v="Dallas"/>
    <x v="3"/>
    <s v="JKA"/>
    <n v="43"/>
    <n v="34"/>
    <n v="1462"/>
    <s v="Credit card"/>
    <n v="39.473999999999997"/>
  </r>
  <r>
    <d v="2024-10-19T00:00:00"/>
    <s v="B-9814-22"/>
    <x v="1"/>
    <s v="Coppell"/>
    <x v="0"/>
    <s v="PKH"/>
    <n v="50"/>
    <n v="59"/>
    <n v="2950"/>
    <s v="Credit card"/>
    <n v="64.900000000000006"/>
  </r>
  <r>
    <d v="2024-10-19T00:00:00"/>
    <s v="C-6856-22"/>
    <x v="5"/>
    <s v="Dallas"/>
    <x v="0"/>
    <s v="MSP"/>
    <n v="58"/>
    <n v="52"/>
    <n v="3016"/>
    <s v="Gift card"/>
    <n v="84.447999999999993"/>
  </r>
  <r>
    <d v="2024-10-19T00:00:00"/>
    <s v="F-8287-22"/>
    <x v="7"/>
    <s v="Frisco"/>
    <x v="0"/>
    <s v="PFF"/>
    <n v="11"/>
    <n v="28"/>
    <n v="308"/>
    <s v="Credit card"/>
    <n v="8.3160000000000007"/>
  </r>
  <r>
    <d v="2024-10-20T00:00:00"/>
    <s v="H-4003-23"/>
    <x v="5"/>
    <s v="Coppell"/>
    <x v="6"/>
    <s v="ATP"/>
    <n v="28"/>
    <n v="22"/>
    <n v="616"/>
    <s v="Gift card"/>
    <n v="13.552"/>
  </r>
  <r>
    <d v="2024-10-20T00:00:00"/>
    <s v="A-8227-23"/>
    <x v="3"/>
    <s v="McKinney"/>
    <x v="3"/>
    <s v="MSP"/>
    <n v="33"/>
    <n v="43"/>
    <n v="1419"/>
    <s v="Gift card"/>
    <n v="42.57"/>
  </r>
  <r>
    <d v="2024-10-20T00:00:00"/>
    <s v="A-6085-23"/>
    <x v="6"/>
    <s v="Richardson"/>
    <x v="3"/>
    <s v="ARP"/>
    <n v="38"/>
    <n v="20"/>
    <n v="760"/>
    <s v="Credit card"/>
    <n v="15.2"/>
  </r>
  <r>
    <d v="2024-10-21T00:00:00"/>
    <s v="F-8579-24"/>
    <x v="1"/>
    <s v="McKinney"/>
    <x v="4"/>
    <s v="TSQ"/>
    <n v="38"/>
    <n v="24"/>
    <n v="912"/>
    <s v="Gift card"/>
    <n v="24.623999999999999"/>
  </r>
  <r>
    <d v="2024-10-21T00:00:00"/>
    <s v="A-9195-24"/>
    <x v="8"/>
    <s v="Dallas"/>
    <x v="0"/>
    <s v="TSA"/>
    <n v="22"/>
    <n v="51"/>
    <n v="1122"/>
    <s v="Check"/>
    <n v="23.562000000000001"/>
  </r>
  <r>
    <d v="2024-10-21T00:00:00"/>
    <s v="G-2776-24"/>
    <x v="8"/>
    <s v="Allen"/>
    <x v="0"/>
    <s v="KQR"/>
    <n v="16"/>
    <n v="46"/>
    <n v="736"/>
    <s v="Cash"/>
    <n v="15.456"/>
  </r>
  <r>
    <d v="2024-10-21T00:00:00"/>
    <s v="G-5287-24"/>
    <x v="5"/>
    <s v="McKinney"/>
    <x v="0"/>
    <s v="AKJ"/>
    <n v="46"/>
    <n v="44"/>
    <n v="2024"/>
    <s v="Credit card"/>
    <n v="60.72"/>
  </r>
  <r>
    <d v="2024-10-22T00:00:00"/>
    <s v="F-3726-25"/>
    <x v="2"/>
    <s v="Coppell"/>
    <x v="1"/>
    <s v="TAP"/>
    <n v="15"/>
    <n v="22"/>
    <n v="330"/>
    <s v="Cash"/>
    <n v="9.9"/>
  </r>
  <r>
    <d v="2024-10-22T00:00:00"/>
    <s v="H-2211-25"/>
    <x v="5"/>
    <s v="Plano"/>
    <x v="6"/>
    <s v="TSA"/>
    <n v="50"/>
    <n v="37"/>
    <n v="1850"/>
    <s v="Credit card"/>
    <n v="37"/>
  </r>
  <r>
    <d v="2024-10-22T00:00:00"/>
    <s v="D-7548-25"/>
    <x v="1"/>
    <s v="Plano"/>
    <x v="0"/>
    <s v="ATP"/>
    <n v="27"/>
    <n v="44"/>
    <n v="1188"/>
    <s v="Credit card"/>
    <n v="28.512"/>
  </r>
  <r>
    <d v="2024-10-22T00:00:00"/>
    <s v="A-5925-25"/>
    <x v="7"/>
    <s v="Dallas"/>
    <x v="5"/>
    <s v="ATP"/>
    <n v="16"/>
    <n v="52"/>
    <n v="832"/>
    <s v="Cash"/>
    <n v="24.96"/>
  </r>
  <r>
    <d v="2024-10-22T00:00:00"/>
    <s v="E-1668-25"/>
    <x v="5"/>
    <s v="Plano"/>
    <x v="3"/>
    <s v="ATP"/>
    <n v="44"/>
    <n v="51"/>
    <n v="2244"/>
    <s v="Gift card"/>
    <n v="58.344000000000001"/>
  </r>
  <r>
    <d v="2024-10-22T00:00:00"/>
    <s v="C-8118-25"/>
    <x v="7"/>
    <s v="Dallas"/>
    <x v="2"/>
    <s v="TSA"/>
    <n v="39"/>
    <n v="53"/>
    <n v="2067"/>
    <s v="Gift card"/>
    <n v="62.01"/>
  </r>
  <r>
    <d v="2024-10-22T00:00:00"/>
    <s v="E-8492-25"/>
    <x v="2"/>
    <s v="Coppell"/>
    <x v="5"/>
    <s v="SAT"/>
    <n v="55"/>
    <n v="48"/>
    <n v="2640"/>
    <s v="Cash"/>
    <n v="76.56"/>
  </r>
  <r>
    <d v="2024-10-22T00:00:00"/>
    <s v="D-2392-25"/>
    <x v="4"/>
    <s v="Plano"/>
    <x v="2"/>
    <s v="SMH"/>
    <n v="16"/>
    <n v="45"/>
    <n v="720"/>
    <s v="Credit card"/>
    <n v="20.16"/>
  </r>
  <r>
    <d v="2024-10-22T00:00:00"/>
    <s v="F-4379-25"/>
    <x v="8"/>
    <s v="Plano"/>
    <x v="4"/>
    <s v="APS"/>
    <n v="59"/>
    <n v="47"/>
    <n v="2773"/>
    <s v="Cash"/>
    <n v="69.325000000000003"/>
  </r>
  <r>
    <d v="2024-10-23T00:00:00"/>
    <s v="C-6520-26"/>
    <x v="7"/>
    <s v="Dallas"/>
    <x v="4"/>
    <s v="PKH"/>
    <n v="28"/>
    <n v="29"/>
    <n v="812"/>
    <s v="Cash"/>
    <n v="17.864000000000001"/>
  </r>
  <r>
    <d v="2024-10-23T00:00:00"/>
    <s v="H-5426-26"/>
    <x v="0"/>
    <s v="Allen"/>
    <x v="0"/>
    <s v="SAT"/>
    <n v="45"/>
    <n v="46"/>
    <n v="2070"/>
    <s v="Credit card"/>
    <n v="45.54"/>
  </r>
  <r>
    <d v="2024-10-23T00:00:00"/>
    <s v="E-4948-26"/>
    <x v="1"/>
    <s v="Allen"/>
    <x v="6"/>
    <s v="TSQ"/>
    <n v="29"/>
    <n v="59"/>
    <n v="1711"/>
    <s v="Gift card"/>
    <n v="46.197000000000003"/>
  </r>
  <r>
    <d v="2024-10-23T00:00:00"/>
    <s v="C-9644-26"/>
    <x v="7"/>
    <s v="Allen"/>
    <x v="3"/>
    <s v="HTE"/>
    <n v="53"/>
    <n v="47"/>
    <n v="2491"/>
    <s v="Credit card"/>
    <n v="64.766000000000005"/>
  </r>
  <r>
    <d v="2024-10-23T00:00:00"/>
    <s v="G-4614-26"/>
    <x v="3"/>
    <s v="Richardson"/>
    <x v="6"/>
    <s v="ARP"/>
    <n v="16"/>
    <n v="29"/>
    <n v="464"/>
    <s v="Cash"/>
    <n v="10.208"/>
  </r>
  <r>
    <d v="2024-10-24T00:00:00"/>
    <s v="E-5320-27"/>
    <x v="8"/>
    <s v="Plano"/>
    <x v="4"/>
    <s v="AKJ"/>
    <n v="60"/>
    <n v="57"/>
    <n v="3420"/>
    <s v="Credit card"/>
    <n v="99.18"/>
  </r>
  <r>
    <d v="2024-10-24T00:00:00"/>
    <s v="H-8215-27"/>
    <x v="3"/>
    <s v="McKinney"/>
    <x v="1"/>
    <s v="JKA"/>
    <n v="18"/>
    <n v="56"/>
    <n v="1008"/>
    <s v="Credit card"/>
    <n v="30.24"/>
  </r>
  <r>
    <d v="2024-10-24T00:00:00"/>
    <s v="G-8087-27"/>
    <x v="1"/>
    <s v="Frisco"/>
    <x v="1"/>
    <s v="ZAA"/>
    <n v="25"/>
    <n v="43"/>
    <n v="1075"/>
    <s v="Credit card"/>
    <n v="32.25"/>
  </r>
  <r>
    <d v="2024-10-24T00:00:00"/>
    <s v="C-8275-27"/>
    <x v="1"/>
    <s v="McKinney"/>
    <x v="6"/>
    <s v="HNP"/>
    <n v="53"/>
    <n v="36"/>
    <n v="1908"/>
    <s v="Credit card"/>
    <n v="51.515999999999998"/>
  </r>
  <r>
    <d v="2024-10-25T00:00:00"/>
    <s v="E-1728-28"/>
    <x v="2"/>
    <s v="Frisco"/>
    <x v="1"/>
    <s v="PKH"/>
    <n v="50"/>
    <n v="47"/>
    <n v="2350"/>
    <s v="Gift card"/>
    <n v="61.1"/>
  </r>
  <r>
    <d v="2024-10-25T00:00:00"/>
    <s v="F-7801-28"/>
    <x v="7"/>
    <s v="Richardson"/>
    <x v="3"/>
    <s v="SMH"/>
    <n v="33"/>
    <n v="55"/>
    <n v="1815"/>
    <s v="Cash"/>
    <n v="54.45"/>
  </r>
  <r>
    <d v="2024-10-25T00:00:00"/>
    <s v="C-3989-28"/>
    <x v="2"/>
    <s v="Dallas"/>
    <x v="2"/>
    <s v="SAT"/>
    <n v="12"/>
    <n v="35"/>
    <n v="420"/>
    <s v="Cash"/>
    <n v="9.66"/>
  </r>
  <r>
    <d v="2024-10-25T00:00:00"/>
    <s v="C-1671-28"/>
    <x v="7"/>
    <s v="Plano"/>
    <x v="0"/>
    <s v="PFF"/>
    <n v="60"/>
    <n v="35"/>
    <n v="2100"/>
    <s v="Cash"/>
    <n v="60.9"/>
  </r>
  <r>
    <d v="2024-10-25T00:00:00"/>
    <s v="F-6281-28"/>
    <x v="2"/>
    <s v="Allen"/>
    <x v="1"/>
    <s v="SAT"/>
    <n v="26"/>
    <n v="36"/>
    <n v="936"/>
    <s v="Gift card"/>
    <n v="20.591999999999999"/>
  </r>
  <r>
    <d v="2024-10-25T00:00:00"/>
    <s v="A-3228-28"/>
    <x v="4"/>
    <s v="Frisco"/>
    <x v="1"/>
    <s v="SMH"/>
    <n v="24"/>
    <n v="53"/>
    <n v="1272"/>
    <s v="Credit card"/>
    <n v="29.256"/>
  </r>
  <r>
    <d v="2024-10-25T00:00:00"/>
    <s v="C-1265-28"/>
    <x v="3"/>
    <s v="Coppell"/>
    <x v="1"/>
    <s v="TSQ"/>
    <n v="43"/>
    <n v="33"/>
    <n v="1419"/>
    <s v="Cash"/>
    <n v="31.218"/>
  </r>
  <r>
    <d v="2024-10-25T00:00:00"/>
    <s v="B-8625-28"/>
    <x v="0"/>
    <s v="Dallas"/>
    <x v="5"/>
    <s v="KQR"/>
    <n v="13"/>
    <n v="58"/>
    <n v="754"/>
    <s v="Gift card"/>
    <n v="21.111999999999998"/>
  </r>
  <r>
    <d v="2024-10-25T00:00:00"/>
    <s v="F-1594-28"/>
    <x v="6"/>
    <s v="Allen"/>
    <x v="0"/>
    <s v="TAP"/>
    <n v="12"/>
    <n v="58"/>
    <n v="696"/>
    <s v="Gift card"/>
    <n v="20.184000000000001"/>
  </r>
  <r>
    <d v="2024-10-25T00:00:00"/>
    <s v="G-7736-28"/>
    <x v="5"/>
    <s v="Frisco"/>
    <x v="2"/>
    <s v="HTE"/>
    <n v="26"/>
    <n v="39"/>
    <n v="1014"/>
    <s v="Cash"/>
    <n v="27.378"/>
  </r>
  <r>
    <d v="2024-10-25T00:00:00"/>
    <s v="F-8345-28"/>
    <x v="7"/>
    <s v="Plano"/>
    <x v="1"/>
    <s v="ARP"/>
    <n v="23"/>
    <n v="30"/>
    <n v="690"/>
    <s v="Credit card"/>
    <n v="15.18"/>
  </r>
  <r>
    <d v="2024-10-25T00:00:00"/>
    <s v="C-9455-28"/>
    <x v="7"/>
    <s v="Coppell"/>
    <x v="0"/>
    <s v="PKH"/>
    <n v="40"/>
    <n v="47"/>
    <n v="1880"/>
    <s v="Check"/>
    <n v="52.64"/>
  </r>
  <r>
    <d v="2024-10-25T00:00:00"/>
    <s v="H-2210-28"/>
    <x v="4"/>
    <s v="Richardson"/>
    <x v="6"/>
    <s v="SAT"/>
    <n v="18"/>
    <n v="25"/>
    <n v="450"/>
    <s v="Cash"/>
    <n v="13.5"/>
  </r>
  <r>
    <d v="2024-10-25T00:00:00"/>
    <s v="D-2955-28"/>
    <x v="7"/>
    <s v="Plano"/>
    <x v="4"/>
    <s v="MSP"/>
    <n v="18"/>
    <n v="23"/>
    <n v="414"/>
    <s v="Cash"/>
    <n v="10.763999999999999"/>
  </r>
  <r>
    <d v="2024-10-25T00:00:00"/>
    <s v="F-3717-28"/>
    <x v="5"/>
    <s v="Dallas"/>
    <x v="5"/>
    <s v="HNP"/>
    <n v="50"/>
    <n v="30"/>
    <n v="1500"/>
    <s v="Cash"/>
    <n v="30"/>
  </r>
  <r>
    <d v="2024-10-25T00:00:00"/>
    <s v="C-7798-28"/>
    <x v="5"/>
    <s v="McKinney"/>
    <x v="6"/>
    <s v="HTE"/>
    <n v="19"/>
    <n v="23"/>
    <n v="437"/>
    <s v="Check"/>
    <n v="9.6140000000000008"/>
  </r>
  <r>
    <d v="2024-10-25T00:00:00"/>
    <s v="E-8145-28"/>
    <x v="7"/>
    <s v="McKinney"/>
    <x v="6"/>
    <s v="KQR"/>
    <n v="31"/>
    <n v="56"/>
    <n v="1736"/>
    <s v="Cash"/>
    <n v="43.4"/>
  </r>
  <r>
    <d v="2024-10-25T00:00:00"/>
    <s v="D-2828-28"/>
    <x v="8"/>
    <s v="Dallas"/>
    <x v="5"/>
    <s v="SAT"/>
    <n v="31"/>
    <n v="39"/>
    <n v="1209"/>
    <s v="Cash"/>
    <n v="36.270000000000003"/>
  </r>
  <r>
    <d v="2024-10-25T00:00:00"/>
    <s v="E-1211-28"/>
    <x v="7"/>
    <s v="Richardson"/>
    <x v="3"/>
    <s v="APS"/>
    <n v="45"/>
    <n v="52"/>
    <n v="2340"/>
    <s v="Credit card"/>
    <n v="56.16"/>
  </r>
  <r>
    <d v="2024-10-25T00:00:00"/>
    <s v="E-7678-28"/>
    <x v="0"/>
    <s v="Frisco"/>
    <x v="5"/>
    <s v="JKA"/>
    <n v="11"/>
    <n v="40"/>
    <n v="440"/>
    <s v="Gift card"/>
    <n v="12.32"/>
  </r>
  <r>
    <d v="2024-10-25T00:00:00"/>
    <s v="A-7343-28"/>
    <x v="8"/>
    <s v="Richardson"/>
    <x v="3"/>
    <s v="ARP"/>
    <n v="50"/>
    <n v="24"/>
    <n v="1200"/>
    <s v="Check"/>
    <n v="27.6"/>
  </r>
  <r>
    <d v="2024-10-25T00:00:00"/>
    <s v="F-7026-28"/>
    <x v="4"/>
    <s v="Coppell"/>
    <x v="6"/>
    <s v="ZAA"/>
    <n v="56"/>
    <n v="59"/>
    <n v="3304"/>
    <s v="Gift card"/>
    <n v="99.12"/>
  </r>
  <r>
    <d v="2024-10-25T00:00:00"/>
    <s v="G-3342-28"/>
    <x v="4"/>
    <s v="Dallas"/>
    <x v="2"/>
    <s v="HNP"/>
    <n v="22"/>
    <n v="50"/>
    <n v="1100"/>
    <s v="Credit card"/>
    <n v="30.8"/>
  </r>
  <r>
    <d v="2024-10-26T00:00:00"/>
    <s v="B-6455-29"/>
    <x v="3"/>
    <s v="McKinney"/>
    <x v="3"/>
    <s v="JKA"/>
    <n v="31"/>
    <n v="48"/>
    <n v="1488"/>
    <s v="Credit card"/>
    <n v="37.200000000000003"/>
  </r>
  <r>
    <d v="2024-10-26T00:00:00"/>
    <s v="E-2596-29"/>
    <x v="1"/>
    <s v="Frisco"/>
    <x v="1"/>
    <s v="HTE"/>
    <n v="20"/>
    <n v="57"/>
    <n v="1140"/>
    <s v="Credit card"/>
    <n v="31.92"/>
  </r>
  <r>
    <d v="2024-10-27T00:00:00"/>
    <s v="A-8774-30"/>
    <x v="8"/>
    <s v="McKinney"/>
    <x v="3"/>
    <s v="TAP"/>
    <n v="38"/>
    <n v="51"/>
    <n v="1938"/>
    <s v="Credit card"/>
    <n v="58.14"/>
  </r>
  <r>
    <d v="2024-10-27T00:00:00"/>
    <s v="G-8803-30"/>
    <x v="5"/>
    <s v="Plano"/>
    <x v="2"/>
    <s v="PKH"/>
    <n v="16"/>
    <n v="57"/>
    <n v="912"/>
    <s v="Check"/>
    <n v="19.152000000000001"/>
  </r>
  <r>
    <d v="2024-10-28T00:00:00"/>
    <s v="DK-5835-1"/>
    <x v="5"/>
    <s v="Richardson"/>
    <x v="4"/>
    <s v="KQR"/>
    <n v="49"/>
    <n v="41"/>
    <n v="2009"/>
    <s v="Cash"/>
    <n v="58.261000000000003"/>
  </r>
  <r>
    <d v="2024-10-29T00:00:00"/>
    <s v="DK-6437-2"/>
    <x v="7"/>
    <s v="Coppell"/>
    <x v="4"/>
    <s v="ARP"/>
    <n v="35"/>
    <n v="55"/>
    <n v="1925"/>
    <s v="Cash"/>
    <n v="46.2"/>
  </r>
  <r>
    <d v="2024-10-29T00:00:00"/>
    <s v="AK-6267-2"/>
    <x v="2"/>
    <s v="Plano"/>
    <x v="0"/>
    <s v="JKA"/>
    <n v="43"/>
    <n v="37"/>
    <n v="1591"/>
    <s v="Credit card"/>
    <n v="31.82"/>
  </r>
  <r>
    <d v="2024-10-29T00:00:00"/>
    <s v="DK-2427-2"/>
    <x v="7"/>
    <s v="Plano"/>
    <x v="2"/>
    <s v="HTE"/>
    <n v="42"/>
    <n v="22"/>
    <n v="924"/>
    <s v="Credit card"/>
    <n v="19.404"/>
  </r>
  <r>
    <d v="2024-10-29T00:00:00"/>
    <s v="BK-3279-2"/>
    <x v="4"/>
    <s v="Allen"/>
    <x v="1"/>
    <s v="HTE"/>
    <n v="24"/>
    <n v="41"/>
    <n v="984"/>
    <s v="Credit card"/>
    <n v="28.536000000000001"/>
  </r>
  <r>
    <d v="2024-10-29T00:00:00"/>
    <s v="GK-2051-2"/>
    <x v="7"/>
    <s v="McKinney"/>
    <x v="0"/>
    <s v="TSA"/>
    <n v="33"/>
    <n v="43"/>
    <n v="1419"/>
    <s v="Cash"/>
    <n v="38.313000000000002"/>
  </r>
  <r>
    <d v="2024-10-30T00:00:00"/>
    <s v="BK-5645-3"/>
    <x v="5"/>
    <s v="Allen"/>
    <x v="5"/>
    <s v="AKJ"/>
    <n v="16"/>
    <n v="51"/>
    <n v="816"/>
    <s v="Credit card"/>
    <n v="19.584"/>
  </r>
  <r>
    <d v="2024-10-30T00:00:00"/>
    <s v="CK-3701-3"/>
    <x v="4"/>
    <s v="Richardson"/>
    <x v="3"/>
    <s v="MSP"/>
    <n v="23"/>
    <n v="41"/>
    <n v="943"/>
    <s v="Credit card"/>
    <n v="28.29"/>
  </r>
  <r>
    <d v="2024-10-30T00:00:00"/>
    <s v="CK-9568-3"/>
    <x v="4"/>
    <s v="Coppell"/>
    <x v="3"/>
    <s v="TAP"/>
    <n v="36"/>
    <n v="26"/>
    <n v="936"/>
    <s v="Cash"/>
    <n v="21.527999999999999"/>
  </r>
  <r>
    <d v="2024-10-30T00:00:00"/>
    <s v="EK-4937-3"/>
    <x v="5"/>
    <s v="Richardson"/>
    <x v="3"/>
    <s v="TAP"/>
    <n v="22"/>
    <n v="35"/>
    <n v="770"/>
    <s v="Credit card"/>
    <n v="19.25"/>
  </r>
  <r>
    <d v="2024-10-30T00:00:00"/>
    <s v="HK-2003-3"/>
    <x v="7"/>
    <s v="Richardson"/>
    <x v="2"/>
    <s v="AKJ"/>
    <n v="42"/>
    <n v="54"/>
    <n v="2268"/>
    <s v="Credit card"/>
    <n v="61.235999999999997"/>
  </r>
  <r>
    <d v="2024-10-30T00:00:00"/>
    <s v="BK-2177-3"/>
    <x v="5"/>
    <s v="Coppell"/>
    <x v="2"/>
    <s v="ATP"/>
    <n v="52"/>
    <n v="40"/>
    <n v="2080"/>
    <s v="Credit card"/>
    <n v="49.92"/>
  </r>
  <r>
    <d v="2024-10-30T00:00:00"/>
    <s v="DK-3500-3"/>
    <x v="1"/>
    <s v="Dallas"/>
    <x v="3"/>
    <s v="TSA"/>
    <n v="17"/>
    <n v="24"/>
    <n v="408"/>
    <s v="Credit card"/>
    <n v="9.7919999999999998"/>
  </r>
  <r>
    <d v="2024-10-30T00:00:00"/>
    <s v="HK-1630-3"/>
    <x v="8"/>
    <s v="McKinney"/>
    <x v="1"/>
    <s v="HNP"/>
    <n v="37"/>
    <n v="60"/>
    <n v="2220"/>
    <s v="Cash"/>
    <n v="62.16"/>
  </r>
  <r>
    <d v="2024-10-30T00:00:00"/>
    <s v="HK-5072-3"/>
    <x v="6"/>
    <s v="Allen"/>
    <x v="4"/>
    <s v="PKH"/>
    <n v="52"/>
    <n v="20"/>
    <n v="1040"/>
    <s v="Credit card"/>
    <n v="31.2"/>
  </r>
  <r>
    <d v="2024-10-30T00:00:00"/>
    <s v="DK-8774-3"/>
    <x v="3"/>
    <s v="Richardson"/>
    <x v="1"/>
    <s v="TAP"/>
    <n v="18"/>
    <n v="39"/>
    <n v="702"/>
    <s v="Cash"/>
    <n v="15.444000000000001"/>
  </r>
  <r>
    <d v="2024-10-30T00:00:00"/>
    <s v="AK-6545-3"/>
    <x v="7"/>
    <s v="Dallas"/>
    <x v="4"/>
    <s v="KQR"/>
    <n v="34"/>
    <n v="38"/>
    <n v="1292"/>
    <s v="Gift card"/>
    <n v="36.176000000000002"/>
  </r>
  <r>
    <d v="2024-10-30T00:00:00"/>
    <s v="EK-9577-3"/>
    <x v="4"/>
    <s v="Plano"/>
    <x v="6"/>
    <s v="SMH"/>
    <n v="11"/>
    <n v="26"/>
    <n v="286"/>
    <s v="Credit card"/>
    <n v="8.0079999999999991"/>
  </r>
  <r>
    <d v="2024-10-30T00:00:00"/>
    <s v="AK-5918-3"/>
    <x v="7"/>
    <s v="Plano"/>
    <x v="6"/>
    <s v="TSA"/>
    <n v="24"/>
    <n v="20"/>
    <n v="480"/>
    <s v="Credit card"/>
    <n v="12"/>
  </r>
  <r>
    <d v="2024-10-30T00:00:00"/>
    <s v="HK-3451-3"/>
    <x v="8"/>
    <s v="Allen"/>
    <x v="2"/>
    <s v="APS"/>
    <n v="57"/>
    <n v="41"/>
    <n v="2337"/>
    <s v="Gift card"/>
    <n v="58.424999999999997"/>
  </r>
  <r>
    <d v="2024-10-30T00:00:00"/>
    <s v="CK-8055-3"/>
    <x v="8"/>
    <s v="Dallas"/>
    <x v="2"/>
    <s v="ZAA"/>
    <n v="47"/>
    <n v="58"/>
    <n v="2726"/>
    <s v="Credit card"/>
    <n v="81.78"/>
  </r>
  <r>
    <d v="2024-10-30T00:00:00"/>
    <s v="EK-8218-3"/>
    <x v="3"/>
    <s v="Frisco"/>
    <x v="5"/>
    <s v="ATP"/>
    <n v="28"/>
    <n v="45"/>
    <n v="1260"/>
    <s v="Credit card"/>
    <n v="32.76"/>
  </r>
  <r>
    <d v="2024-10-30T00:00:00"/>
    <s v="BK-7715-3"/>
    <x v="7"/>
    <s v="Richardson"/>
    <x v="4"/>
    <s v="TSA"/>
    <n v="35"/>
    <n v="36"/>
    <n v="1260"/>
    <s v="Credit card"/>
    <n v="31.5"/>
  </r>
  <r>
    <d v="2024-10-30T00:00:00"/>
    <s v="FK-6807-3"/>
    <x v="5"/>
    <s v="Dallas"/>
    <x v="2"/>
    <s v="HNP"/>
    <n v="34"/>
    <n v="30"/>
    <n v="1020"/>
    <s v="Gift card"/>
    <n v="25.5"/>
  </r>
  <r>
    <d v="2024-10-30T00:00:00"/>
    <s v="AK-6498-3"/>
    <x v="4"/>
    <s v="Plano"/>
    <x v="1"/>
    <s v="SMH"/>
    <n v="41"/>
    <n v="39"/>
    <n v="1599"/>
    <s v="Credit card"/>
    <n v="33.579000000000001"/>
  </r>
  <r>
    <d v="2024-10-30T00:00:00"/>
    <s v="DK-4266-3"/>
    <x v="2"/>
    <s v="Frisco"/>
    <x v="3"/>
    <s v="MSP"/>
    <n v="26"/>
    <n v="31"/>
    <n v="806"/>
    <s v="Cash"/>
    <n v="24.18"/>
  </r>
  <r>
    <d v="2024-10-31T00:00:00"/>
    <s v="EK-5112-4"/>
    <x v="7"/>
    <s v="Allen"/>
    <x v="4"/>
    <s v="APS"/>
    <n v="30"/>
    <n v="35"/>
    <n v="1050"/>
    <s v="Credit card"/>
    <n v="26.25"/>
  </r>
  <r>
    <d v="2024-11-01T00:00:00"/>
    <s v="DK-5213-5"/>
    <x v="4"/>
    <s v="McKinney"/>
    <x v="1"/>
    <s v="TSA"/>
    <n v="43"/>
    <n v="43"/>
    <n v="1849"/>
    <s v="Cash"/>
    <n v="38.829000000000001"/>
  </r>
  <r>
    <d v="2024-11-01T00:00:00"/>
    <s v="FK-1876-5"/>
    <x v="4"/>
    <s v="Plano"/>
    <x v="4"/>
    <s v="PFF"/>
    <n v="14"/>
    <n v="42"/>
    <n v="588"/>
    <s v="Credit card"/>
    <n v="11.76"/>
  </r>
  <r>
    <d v="2024-11-01T00:00:00"/>
    <s v="GK-6775-5"/>
    <x v="6"/>
    <s v="Plano"/>
    <x v="0"/>
    <s v="APS"/>
    <n v="15"/>
    <n v="24"/>
    <n v="360"/>
    <s v="Cash"/>
    <n v="9"/>
  </r>
  <r>
    <d v="2024-11-01T00:00:00"/>
    <s v="BK-2522-5"/>
    <x v="4"/>
    <s v="Dallas"/>
    <x v="1"/>
    <s v="MSP"/>
    <n v="54"/>
    <n v="54"/>
    <n v="2916"/>
    <s v="Cash"/>
    <n v="87.48"/>
  </r>
  <r>
    <d v="2024-11-02T00:00:00"/>
    <s v="BK-2649-6"/>
    <x v="7"/>
    <s v="Coppell"/>
    <x v="1"/>
    <s v="ARP"/>
    <n v="38"/>
    <n v="39"/>
    <n v="1482"/>
    <s v="Gift card"/>
    <n v="41.496000000000002"/>
  </r>
  <r>
    <d v="2024-11-03T00:00:00"/>
    <s v="GK-2154-7"/>
    <x v="5"/>
    <s v="Frisco"/>
    <x v="0"/>
    <s v="ATP"/>
    <n v="47"/>
    <n v="25"/>
    <n v="1175"/>
    <s v="Credit card"/>
    <n v="35.25"/>
  </r>
  <r>
    <d v="2024-11-03T00:00:00"/>
    <s v="DK-6073-7"/>
    <x v="0"/>
    <s v="Dallas"/>
    <x v="0"/>
    <s v="TSQ"/>
    <n v="44"/>
    <n v="29"/>
    <n v="1276"/>
    <s v="Check"/>
    <n v="25.52"/>
  </r>
  <r>
    <d v="2024-11-03T00:00:00"/>
    <s v="EK-9896-7"/>
    <x v="1"/>
    <s v="Allen"/>
    <x v="2"/>
    <s v="ARP"/>
    <n v="31"/>
    <n v="45"/>
    <n v="1395"/>
    <s v="Gift card"/>
    <n v="40.454999999999998"/>
  </r>
  <r>
    <d v="2024-11-03T00:00:00"/>
    <s v="DK-5336-7"/>
    <x v="0"/>
    <s v="Dallas"/>
    <x v="3"/>
    <s v="TSQ"/>
    <n v="52"/>
    <n v="55"/>
    <n v="2860"/>
    <s v="Gift card"/>
    <n v="60.06"/>
  </r>
  <r>
    <d v="2024-11-03T00:00:00"/>
    <s v="DK-8001-7"/>
    <x v="0"/>
    <s v="McKinney"/>
    <x v="5"/>
    <s v="ARP"/>
    <n v="60"/>
    <n v="26"/>
    <n v="1560"/>
    <s v="Credit card"/>
    <n v="45.24"/>
  </r>
  <r>
    <d v="2024-11-03T00:00:00"/>
    <s v="EK-8019-7"/>
    <x v="2"/>
    <s v="McKinney"/>
    <x v="4"/>
    <s v="SAT"/>
    <n v="28"/>
    <n v="35"/>
    <n v="980"/>
    <s v="Credit card"/>
    <n v="26.46"/>
  </r>
  <r>
    <d v="2024-11-03T00:00:00"/>
    <s v="HK-7567-7"/>
    <x v="0"/>
    <s v="Allen"/>
    <x v="0"/>
    <s v="PFF"/>
    <n v="38"/>
    <n v="29"/>
    <n v="1102"/>
    <s v="Cash"/>
    <n v="23.141999999999999"/>
  </r>
  <r>
    <d v="2024-11-03T00:00:00"/>
    <s v="FK-9630-7"/>
    <x v="4"/>
    <s v="Plano"/>
    <x v="1"/>
    <s v="ATP"/>
    <n v="36"/>
    <n v="50"/>
    <n v="1800"/>
    <s v="Credit card"/>
    <n v="52.2"/>
  </r>
  <r>
    <d v="2024-11-03T00:00:00"/>
    <s v="HK-2689-7"/>
    <x v="5"/>
    <s v="Dallas"/>
    <x v="5"/>
    <s v="AKJ"/>
    <n v="32"/>
    <n v="58"/>
    <n v="1856"/>
    <s v="Gift card"/>
    <n v="46.4"/>
  </r>
  <r>
    <d v="2024-11-03T00:00:00"/>
    <s v="FK-3824-7"/>
    <x v="5"/>
    <s v="Plano"/>
    <x v="4"/>
    <s v="KQR"/>
    <n v="20"/>
    <n v="55"/>
    <n v="1100"/>
    <s v="Credit card"/>
    <n v="26.4"/>
  </r>
  <r>
    <d v="2024-11-03T00:00:00"/>
    <s v="CK-7706-7"/>
    <x v="3"/>
    <s v="Allen"/>
    <x v="6"/>
    <s v="TSA"/>
    <n v="33"/>
    <n v="45"/>
    <n v="1485"/>
    <s v="Credit card"/>
    <n v="40.094999999999999"/>
  </r>
  <r>
    <d v="2024-11-03T00:00:00"/>
    <s v="AK-5384-7"/>
    <x v="6"/>
    <s v="McKinney"/>
    <x v="2"/>
    <s v="ZAA"/>
    <n v="38"/>
    <n v="35"/>
    <n v="1330"/>
    <s v="Credit card"/>
    <n v="31.92"/>
  </r>
  <r>
    <d v="2024-11-03T00:00:00"/>
    <s v="CK-1983-7"/>
    <x v="2"/>
    <s v="Frisco"/>
    <x v="2"/>
    <s v="KQR"/>
    <n v="40"/>
    <n v="46"/>
    <n v="1840"/>
    <s v="Credit card"/>
    <n v="36.799999999999997"/>
  </r>
  <r>
    <d v="2024-11-03T00:00:00"/>
    <s v="AK-2366-7"/>
    <x v="7"/>
    <s v="Richardson"/>
    <x v="1"/>
    <s v="HTE"/>
    <n v="28"/>
    <n v="21"/>
    <n v="588"/>
    <s v="Cash"/>
    <n v="15.288"/>
  </r>
  <r>
    <d v="2024-11-03T00:00:00"/>
    <s v="AK-1155-7"/>
    <x v="0"/>
    <s v="McKinney"/>
    <x v="0"/>
    <s v="ZAA"/>
    <n v="57"/>
    <n v="48"/>
    <n v="2736"/>
    <s v="Cash"/>
    <n v="79.343999999999994"/>
  </r>
  <r>
    <d v="2024-11-03T00:00:00"/>
    <s v="CK-7416-7"/>
    <x v="2"/>
    <s v="Coppell"/>
    <x v="3"/>
    <s v="ARP"/>
    <n v="21"/>
    <n v="28"/>
    <n v="588"/>
    <s v="Check"/>
    <n v="11.76"/>
  </r>
  <r>
    <d v="2024-11-03T00:00:00"/>
    <s v="EK-5110-7"/>
    <x v="7"/>
    <s v="Plano"/>
    <x v="5"/>
    <s v="ATP"/>
    <n v="59"/>
    <n v="21"/>
    <n v="1239"/>
    <s v="Cash"/>
    <n v="24.78"/>
  </r>
  <r>
    <d v="2024-11-03T00:00:00"/>
    <s v="CK-4586-7"/>
    <x v="7"/>
    <s v="Plano"/>
    <x v="0"/>
    <s v="ARP"/>
    <n v="19"/>
    <n v="25"/>
    <n v="475"/>
    <s v="Gift card"/>
    <n v="14.25"/>
  </r>
  <r>
    <d v="2024-11-03T00:00:00"/>
    <s v="CK-4765-7"/>
    <x v="8"/>
    <s v="Plano"/>
    <x v="2"/>
    <s v="ARP"/>
    <n v="22"/>
    <n v="55"/>
    <n v="1210"/>
    <s v="Check"/>
    <n v="27.83"/>
  </r>
  <r>
    <d v="2024-11-03T00:00:00"/>
    <s v="CK-8427-7"/>
    <x v="4"/>
    <s v="Coppell"/>
    <x v="0"/>
    <s v="ZAA"/>
    <n v="60"/>
    <n v="30"/>
    <n v="1800"/>
    <s v="Credit card"/>
    <n v="41.4"/>
  </r>
  <r>
    <d v="2024-11-03T00:00:00"/>
    <s v="HK-5907-7"/>
    <x v="7"/>
    <s v="McKinney"/>
    <x v="6"/>
    <s v="PKH"/>
    <n v="52"/>
    <n v="41"/>
    <n v="2132"/>
    <s v="Cash"/>
    <n v="63.96"/>
  </r>
  <r>
    <d v="2024-11-03T00:00:00"/>
    <s v="EK-8995-7"/>
    <x v="1"/>
    <s v="Frisco"/>
    <x v="3"/>
    <s v="AKJ"/>
    <n v="25"/>
    <n v="21"/>
    <n v="525"/>
    <s v="Cash"/>
    <n v="15.225"/>
  </r>
  <r>
    <d v="2024-11-03T00:00:00"/>
    <s v="DK-2359-7"/>
    <x v="7"/>
    <s v="McKinney"/>
    <x v="2"/>
    <s v="AKJ"/>
    <n v="53"/>
    <n v="25"/>
    <n v="1325"/>
    <s v="Gift card"/>
    <n v="34.450000000000003"/>
  </r>
  <r>
    <d v="2024-11-03T00:00:00"/>
    <s v="HK-7714-7"/>
    <x v="6"/>
    <s v="Dallas"/>
    <x v="2"/>
    <s v="AKJ"/>
    <n v="59"/>
    <n v="24"/>
    <n v="1416"/>
    <s v="Gift card"/>
    <n v="32.567999999999998"/>
  </r>
  <r>
    <d v="2024-11-03T00:00:00"/>
    <s v="BK-5262-7"/>
    <x v="0"/>
    <s v="McKinney"/>
    <x v="0"/>
    <s v="PFF"/>
    <n v="51"/>
    <n v="32"/>
    <n v="1632"/>
    <s v="Cash"/>
    <n v="44.064"/>
  </r>
  <r>
    <d v="2024-11-03T00:00:00"/>
    <s v="EK-7010-7"/>
    <x v="8"/>
    <s v="McKinney"/>
    <x v="1"/>
    <s v="TAP"/>
    <n v="20"/>
    <n v="37"/>
    <n v="740"/>
    <s v="Cash"/>
    <n v="15.54"/>
  </r>
  <r>
    <d v="2024-11-03T00:00:00"/>
    <s v="CK-5587-7"/>
    <x v="4"/>
    <s v="Frisco"/>
    <x v="4"/>
    <s v="ARP"/>
    <n v="53"/>
    <n v="48"/>
    <n v="2544"/>
    <s v="Cash"/>
    <n v="53.423999999999999"/>
  </r>
  <r>
    <d v="2024-11-03T00:00:00"/>
    <s v="AK-9294-7"/>
    <x v="2"/>
    <s v="McKinney"/>
    <x v="5"/>
    <s v="ZAA"/>
    <n v="30"/>
    <n v="40"/>
    <n v="1200"/>
    <s v="Credit card"/>
    <n v="34.799999999999997"/>
  </r>
  <r>
    <d v="2024-11-03T00:00:00"/>
    <s v="GK-7599-7"/>
    <x v="8"/>
    <s v="Richardson"/>
    <x v="3"/>
    <s v="ARP"/>
    <n v="27"/>
    <n v="56"/>
    <n v="1512"/>
    <s v="Gift card"/>
    <n v="30.24"/>
  </r>
  <r>
    <d v="2024-11-04T00:00:00"/>
    <s v="HK-2195-8"/>
    <x v="6"/>
    <s v="McKinney"/>
    <x v="3"/>
    <s v="KQR"/>
    <n v="28"/>
    <n v="41"/>
    <n v="1148"/>
    <s v="Credit card"/>
    <n v="27.552"/>
  </r>
  <r>
    <d v="2024-11-04T00:00:00"/>
    <s v="GK-2772-8"/>
    <x v="1"/>
    <s v="McKinney"/>
    <x v="1"/>
    <s v="ATP"/>
    <n v="38"/>
    <n v="54"/>
    <n v="2052"/>
    <s v="Cash"/>
    <n v="49.247999999999998"/>
  </r>
  <r>
    <d v="2024-11-04T00:00:00"/>
    <s v="CK-1520-8"/>
    <x v="8"/>
    <s v="Plano"/>
    <x v="4"/>
    <s v="SAT"/>
    <n v="59"/>
    <n v="31"/>
    <n v="1829"/>
    <s v="Credit card"/>
    <n v="42.067"/>
  </r>
  <r>
    <d v="2024-11-04T00:00:00"/>
    <s v="DK-7178-8"/>
    <x v="7"/>
    <s v="Dallas"/>
    <x v="1"/>
    <s v="AKJ"/>
    <n v="12"/>
    <n v="32"/>
    <n v="384"/>
    <s v="Credit card"/>
    <n v="7.68"/>
  </r>
  <r>
    <d v="2024-11-05T00:00:00"/>
    <s v="DK-2821-9"/>
    <x v="7"/>
    <s v="Plano"/>
    <x v="0"/>
    <s v="KQR"/>
    <n v="17"/>
    <n v="32"/>
    <n v="544"/>
    <s v="Cash"/>
    <n v="12.512"/>
  </r>
  <r>
    <d v="2024-11-05T00:00:00"/>
    <s v="DK-5875-9"/>
    <x v="3"/>
    <s v="Dallas"/>
    <x v="1"/>
    <s v="JKA"/>
    <n v="28"/>
    <n v="25"/>
    <n v="700"/>
    <s v="Credit card"/>
    <n v="15.4"/>
  </r>
  <r>
    <d v="2024-11-05T00:00:00"/>
    <s v="CK-9872-9"/>
    <x v="4"/>
    <s v="Coppell"/>
    <x v="4"/>
    <s v="TSQ"/>
    <n v="45"/>
    <n v="44"/>
    <n v="1980"/>
    <s v="Check"/>
    <n v="53.46"/>
  </r>
  <r>
    <d v="2024-11-05T00:00:00"/>
    <s v="HK-5962-9"/>
    <x v="7"/>
    <s v="Dallas"/>
    <x v="0"/>
    <s v="APS"/>
    <n v="38"/>
    <n v="48"/>
    <n v="1824"/>
    <s v="Gift card"/>
    <n v="40.128"/>
  </r>
  <r>
    <d v="2024-11-05T00:00:00"/>
    <s v="EK-4046-9"/>
    <x v="2"/>
    <s v="Dallas"/>
    <x v="2"/>
    <s v="KQR"/>
    <n v="21"/>
    <n v="42"/>
    <n v="882"/>
    <s v="Cash"/>
    <n v="23.814"/>
  </r>
  <r>
    <d v="2024-11-05T00:00:00"/>
    <s v="GK-8378-9"/>
    <x v="6"/>
    <s v="Allen"/>
    <x v="3"/>
    <s v="HTE"/>
    <n v="42"/>
    <n v="57"/>
    <n v="2394"/>
    <s v="Gift card"/>
    <n v="67.031999999999996"/>
  </r>
  <r>
    <d v="2024-11-05T00:00:00"/>
    <s v="DK-8453-9"/>
    <x v="4"/>
    <s v="Dallas"/>
    <x v="2"/>
    <s v="ATP"/>
    <n v="24"/>
    <n v="37"/>
    <n v="888"/>
    <s v="Credit card"/>
    <n v="19.536000000000001"/>
  </r>
  <r>
    <d v="2024-11-05T00:00:00"/>
    <s v="DK-9629-9"/>
    <x v="5"/>
    <s v="Plano"/>
    <x v="1"/>
    <s v="SMH"/>
    <n v="33"/>
    <n v="39"/>
    <n v="1287"/>
    <s v="Cash"/>
    <n v="38.61"/>
  </r>
  <r>
    <d v="2024-11-05T00:00:00"/>
    <s v="DK-6768-9"/>
    <x v="1"/>
    <s v="McKinney"/>
    <x v="4"/>
    <s v="JKA"/>
    <n v="24"/>
    <n v="27"/>
    <n v="648"/>
    <s v="Gift card"/>
    <n v="13.608000000000001"/>
  </r>
  <r>
    <d v="2024-11-06T00:00:00"/>
    <s v="A-2500-10"/>
    <x v="7"/>
    <s v="Plano"/>
    <x v="2"/>
    <s v="ATP"/>
    <n v="51"/>
    <n v="20"/>
    <n v="1020"/>
    <s v="Gift card"/>
    <n v="29.58"/>
  </r>
  <r>
    <d v="2024-11-06T00:00:00"/>
    <s v="H-3673-10"/>
    <x v="3"/>
    <s v="Coppell"/>
    <x v="0"/>
    <s v="ZAA"/>
    <n v="11"/>
    <n v="43"/>
    <n v="473"/>
    <s v="Check"/>
    <n v="10.406000000000001"/>
  </r>
  <r>
    <d v="2024-11-06T00:00:00"/>
    <s v="C-3162-10"/>
    <x v="5"/>
    <s v="Plano"/>
    <x v="1"/>
    <s v="SMH"/>
    <n v="19"/>
    <n v="53"/>
    <n v="1007"/>
    <s v="Credit card"/>
    <n v="23.161000000000001"/>
  </r>
  <r>
    <d v="2024-11-06T00:00:00"/>
    <s v="A-4372-10"/>
    <x v="4"/>
    <s v="Dallas"/>
    <x v="1"/>
    <s v="HNP"/>
    <n v="42"/>
    <n v="35"/>
    <n v="1470"/>
    <s v="Check"/>
    <n v="29.4"/>
  </r>
  <r>
    <d v="2024-11-07T00:00:00"/>
    <s v="B-8679-11"/>
    <x v="7"/>
    <s v="Plano"/>
    <x v="1"/>
    <s v="ARP"/>
    <n v="25"/>
    <n v="45"/>
    <n v="1125"/>
    <s v="Credit card"/>
    <n v="27"/>
  </r>
  <r>
    <d v="2024-11-07T00:00:00"/>
    <s v="C-8479-11"/>
    <x v="4"/>
    <s v="Plano"/>
    <x v="2"/>
    <s v="APS"/>
    <n v="15"/>
    <n v="22"/>
    <n v="330"/>
    <s v="Cash"/>
    <n v="8.58"/>
  </r>
  <r>
    <d v="2024-11-08T00:00:00"/>
    <s v="H-3122-12"/>
    <x v="6"/>
    <s v="Plano"/>
    <x v="3"/>
    <s v="KQR"/>
    <n v="37"/>
    <n v="44"/>
    <n v="1628"/>
    <s v="Cash"/>
    <n v="48.84"/>
  </r>
  <r>
    <d v="2024-11-09T00:00:00"/>
    <s v="G-4327-13"/>
    <x v="6"/>
    <s v="Richardson"/>
    <x v="6"/>
    <s v="TSA"/>
    <n v="28"/>
    <n v="32"/>
    <n v="896"/>
    <s v="Check"/>
    <n v="26.88"/>
  </r>
  <r>
    <d v="2024-11-09T00:00:00"/>
    <s v="G-8159-13"/>
    <x v="4"/>
    <s v="Plano"/>
    <x v="6"/>
    <s v="ARP"/>
    <n v="25"/>
    <n v="44"/>
    <n v="1100"/>
    <s v="Gift card"/>
    <n v="27.5"/>
  </r>
  <r>
    <d v="2024-11-09T00:00:00"/>
    <s v="B-8113-13"/>
    <x v="4"/>
    <s v="Plano"/>
    <x v="2"/>
    <s v="TAP"/>
    <n v="42"/>
    <n v="40"/>
    <n v="1680"/>
    <s v="Credit card"/>
    <n v="47.04"/>
  </r>
  <r>
    <d v="2024-11-10T00:00:00"/>
    <s v="D-7817-14"/>
    <x v="4"/>
    <s v="Dallas"/>
    <x v="3"/>
    <s v="JKA"/>
    <n v="15"/>
    <n v="54"/>
    <n v="810"/>
    <s v="Credit card"/>
    <n v="20.25"/>
  </r>
  <r>
    <d v="2024-11-10T00:00:00"/>
    <s v="D-3286-14"/>
    <x v="7"/>
    <s v="Dallas"/>
    <x v="1"/>
    <s v="ARP"/>
    <n v="48"/>
    <n v="50"/>
    <n v="2400"/>
    <s v="Credit card"/>
    <n v="62.4"/>
  </r>
  <r>
    <d v="2024-11-10T00:00:00"/>
    <s v="C-3215-14"/>
    <x v="1"/>
    <s v="Dallas"/>
    <x v="0"/>
    <s v="JKA"/>
    <n v="50"/>
    <n v="24"/>
    <n v="1200"/>
    <s v="Cash"/>
    <n v="27.6"/>
  </r>
  <r>
    <d v="2024-11-10T00:00:00"/>
    <s v="D-3675-14"/>
    <x v="5"/>
    <s v="Richardson"/>
    <x v="3"/>
    <s v="ARP"/>
    <n v="58"/>
    <n v="57"/>
    <n v="3306"/>
    <s v="Credit card"/>
    <n v="69.426000000000002"/>
  </r>
  <r>
    <d v="2024-11-10T00:00:00"/>
    <s v="F-1685-14"/>
    <x v="6"/>
    <s v="Coppell"/>
    <x v="3"/>
    <s v="ZAA"/>
    <n v="31"/>
    <n v="40"/>
    <n v="1240"/>
    <s v="Gift card"/>
    <n v="31"/>
  </r>
  <r>
    <d v="2024-11-10T00:00:00"/>
    <s v="A-3956-14"/>
    <x v="1"/>
    <s v="Dallas"/>
    <x v="4"/>
    <s v="ATP"/>
    <n v="48"/>
    <n v="53"/>
    <n v="2544"/>
    <s v="Credit card"/>
    <n v="66.144000000000005"/>
  </r>
  <r>
    <d v="2024-11-10T00:00:00"/>
    <s v="A-7890-14"/>
    <x v="6"/>
    <s v="Richardson"/>
    <x v="2"/>
    <s v="PKH"/>
    <n v="51"/>
    <n v="32"/>
    <n v="1632"/>
    <s v="Cash"/>
    <n v="35.904000000000003"/>
  </r>
  <r>
    <d v="2024-11-11T00:00:00"/>
    <s v="D-6975-15"/>
    <x v="1"/>
    <s v="Allen"/>
    <x v="0"/>
    <s v="SAT"/>
    <n v="33"/>
    <n v="43"/>
    <n v="1419"/>
    <s v="Credit card"/>
    <n v="38.313000000000002"/>
  </r>
  <r>
    <d v="2024-11-11T00:00:00"/>
    <s v="E-7115-15"/>
    <x v="4"/>
    <s v="Richardson"/>
    <x v="6"/>
    <s v="MSP"/>
    <n v="47"/>
    <n v="55"/>
    <n v="2585"/>
    <s v="Credit card"/>
    <n v="59.454999999999998"/>
  </r>
  <r>
    <d v="2024-11-11T00:00:00"/>
    <s v="B-9454-15"/>
    <x v="3"/>
    <s v="Allen"/>
    <x v="4"/>
    <s v="SMH"/>
    <n v="27"/>
    <n v="38"/>
    <n v="1026"/>
    <s v="Cash"/>
    <n v="22.571999999999999"/>
  </r>
  <r>
    <d v="2024-11-11T00:00:00"/>
    <s v="C-1607-15"/>
    <x v="3"/>
    <s v="Richardson"/>
    <x v="2"/>
    <s v="AKJ"/>
    <n v="48"/>
    <n v="44"/>
    <n v="2112"/>
    <s v="Credit card"/>
    <n v="52.8"/>
  </r>
  <r>
    <d v="2024-11-11T00:00:00"/>
    <s v="H-6756-15"/>
    <x v="8"/>
    <s v="Dallas"/>
    <x v="1"/>
    <s v="SMH"/>
    <n v="40"/>
    <n v="25"/>
    <n v="1000"/>
    <s v="Cash"/>
    <n v="28"/>
  </r>
  <r>
    <d v="2024-11-11T00:00:00"/>
    <s v="B-9866-15"/>
    <x v="0"/>
    <s v="Dallas"/>
    <x v="2"/>
    <s v="TSA"/>
    <n v="40"/>
    <n v="36"/>
    <n v="1440"/>
    <s v="Gift card"/>
    <n v="28.8"/>
  </r>
  <r>
    <d v="2024-11-11T00:00:00"/>
    <s v="G-8247-15"/>
    <x v="8"/>
    <s v="Plano"/>
    <x v="6"/>
    <s v="AKJ"/>
    <n v="31"/>
    <n v="50"/>
    <n v="1550"/>
    <s v="Gift card"/>
    <n v="34.1"/>
  </r>
  <r>
    <d v="2024-11-11T00:00:00"/>
    <s v="C-5816-15"/>
    <x v="2"/>
    <s v="Richardson"/>
    <x v="2"/>
    <s v="AKJ"/>
    <n v="38"/>
    <n v="29"/>
    <n v="1102"/>
    <s v="Cash"/>
    <n v="26.448"/>
  </r>
  <r>
    <d v="2024-11-11T00:00:00"/>
    <s v="E-1198-15"/>
    <x v="2"/>
    <s v="Dallas"/>
    <x v="3"/>
    <s v="TAP"/>
    <n v="17"/>
    <n v="51"/>
    <n v="867"/>
    <s v="Cash"/>
    <n v="24.276"/>
  </r>
  <r>
    <d v="2024-11-11T00:00:00"/>
    <s v="C-5558-15"/>
    <x v="1"/>
    <s v="McKinney"/>
    <x v="0"/>
    <s v="HNP"/>
    <n v="42"/>
    <n v="46"/>
    <n v="1932"/>
    <s v="Cash"/>
    <n v="52.164000000000001"/>
  </r>
  <r>
    <d v="2024-11-11T00:00:00"/>
    <s v="D-9800-15"/>
    <x v="1"/>
    <s v="Coppell"/>
    <x v="3"/>
    <s v="HNP"/>
    <n v="27"/>
    <n v="48"/>
    <n v="1296"/>
    <s v="Credit card"/>
    <n v="34.991999999999997"/>
  </r>
  <r>
    <d v="2024-11-12T00:00:00"/>
    <s v="B-1286-16"/>
    <x v="8"/>
    <s v="Plano"/>
    <x v="1"/>
    <s v="HNP"/>
    <n v="11"/>
    <n v="50"/>
    <n v="550"/>
    <s v="Cash"/>
    <n v="13.2"/>
  </r>
  <r>
    <d v="2024-11-13T00:00:00"/>
    <s v="E-2531-17"/>
    <x v="7"/>
    <s v="Frisco"/>
    <x v="1"/>
    <s v="SMH"/>
    <n v="32"/>
    <n v="49"/>
    <n v="1568"/>
    <s v="Credit card"/>
    <n v="45.472000000000001"/>
  </r>
  <r>
    <d v="2024-11-13T00:00:00"/>
    <s v="D-7520-17"/>
    <x v="3"/>
    <s v="Frisco"/>
    <x v="6"/>
    <s v="TSA"/>
    <n v="47"/>
    <n v="28"/>
    <n v="1316"/>
    <s v="Gift card"/>
    <n v="28.952000000000002"/>
  </r>
  <r>
    <d v="2024-11-14T00:00:00"/>
    <s v="B-9277-18"/>
    <x v="3"/>
    <s v="Coppell"/>
    <x v="3"/>
    <s v="ZAA"/>
    <n v="16"/>
    <n v="35"/>
    <n v="560"/>
    <s v="Credit card"/>
    <n v="14"/>
  </r>
  <r>
    <d v="2024-11-14T00:00:00"/>
    <s v="A-1451-18"/>
    <x v="4"/>
    <s v="Dallas"/>
    <x v="0"/>
    <s v="MSP"/>
    <n v="29"/>
    <n v="21"/>
    <n v="609"/>
    <s v="Gift card"/>
    <n v="12.789"/>
  </r>
  <r>
    <d v="2024-11-14T00:00:00"/>
    <s v="G-4013-18"/>
    <x v="6"/>
    <s v="Dallas"/>
    <x v="2"/>
    <s v="TAP"/>
    <n v="50"/>
    <n v="27"/>
    <n v="1350"/>
    <s v="Cash"/>
    <n v="40.5"/>
  </r>
  <r>
    <d v="2024-11-14T00:00:00"/>
    <s v="G-3621-18"/>
    <x v="1"/>
    <s v="Dallas"/>
    <x v="4"/>
    <s v="SMH"/>
    <n v="53"/>
    <n v="50"/>
    <n v="2650"/>
    <s v="Credit card"/>
    <n v="68.900000000000006"/>
  </r>
  <r>
    <d v="2024-11-14T00:00:00"/>
    <s v="C-8288-18"/>
    <x v="4"/>
    <s v="Coppell"/>
    <x v="6"/>
    <s v="SAT"/>
    <n v="22"/>
    <n v="45"/>
    <n v="990"/>
    <s v="Gift card"/>
    <n v="26.73"/>
  </r>
  <r>
    <d v="2024-11-14T00:00:00"/>
    <s v="F-8722-18"/>
    <x v="6"/>
    <s v="McKinney"/>
    <x v="5"/>
    <s v="ATP"/>
    <n v="57"/>
    <n v="60"/>
    <n v="3420"/>
    <s v="Credit card"/>
    <n v="92.34"/>
  </r>
  <r>
    <d v="2024-11-14T00:00:00"/>
    <s v="D-5438-18"/>
    <x v="0"/>
    <s v="Richardson"/>
    <x v="6"/>
    <s v="APS"/>
    <n v="46"/>
    <n v="26"/>
    <n v="1196"/>
    <s v="Credit card"/>
    <n v="28.704000000000001"/>
  </r>
  <r>
    <d v="2024-11-14T00:00:00"/>
    <s v="B-4067-18"/>
    <x v="5"/>
    <s v="Richardson"/>
    <x v="3"/>
    <s v="HNP"/>
    <n v="60"/>
    <n v="59"/>
    <n v="3540"/>
    <s v="Cash"/>
    <n v="77.88"/>
  </r>
  <r>
    <d v="2024-11-14T00:00:00"/>
    <s v="A-7500-18"/>
    <x v="0"/>
    <s v="Plano"/>
    <x v="0"/>
    <s v="ARP"/>
    <n v="27"/>
    <n v="22"/>
    <n v="594"/>
    <s v="Gift card"/>
    <n v="14.256"/>
  </r>
  <r>
    <d v="2024-11-14T00:00:00"/>
    <s v="H-5297-18"/>
    <x v="4"/>
    <s v="Richardson"/>
    <x v="5"/>
    <s v="TSA"/>
    <n v="40"/>
    <n v="57"/>
    <n v="2280"/>
    <s v="Credit card"/>
    <n v="68.400000000000006"/>
  </r>
  <r>
    <d v="2024-11-14T00:00:00"/>
    <s v="C-5304-18"/>
    <x v="8"/>
    <s v="Coppell"/>
    <x v="4"/>
    <s v="HTE"/>
    <n v="50"/>
    <n v="21"/>
    <n v="1050"/>
    <s v="Cash"/>
    <n v="30.45"/>
  </r>
  <r>
    <d v="2024-11-14T00:00:00"/>
    <s v="H-8153-18"/>
    <x v="7"/>
    <s v="Allen"/>
    <x v="2"/>
    <s v="SMH"/>
    <n v="54"/>
    <n v="38"/>
    <n v="2052"/>
    <s v="Credit card"/>
    <n v="53.351999999999997"/>
  </r>
  <r>
    <d v="2024-11-14T00:00:00"/>
    <s v="A-8524-18"/>
    <x v="5"/>
    <s v="Allen"/>
    <x v="1"/>
    <s v="KQR"/>
    <n v="58"/>
    <n v="51"/>
    <n v="2958"/>
    <s v="Credit card"/>
    <n v="62.118000000000002"/>
  </r>
  <r>
    <d v="2024-11-14T00:00:00"/>
    <s v="C-1592-18"/>
    <x v="7"/>
    <s v="Dallas"/>
    <x v="1"/>
    <s v="ZAA"/>
    <n v="53"/>
    <n v="58"/>
    <n v="3074"/>
    <s v="Cash"/>
    <n v="86.072000000000003"/>
  </r>
  <r>
    <d v="2024-11-14T00:00:00"/>
    <s v="F-1292-18"/>
    <x v="7"/>
    <s v="McKinney"/>
    <x v="4"/>
    <s v="KQR"/>
    <n v="39"/>
    <n v="44"/>
    <n v="1716"/>
    <s v="Credit card"/>
    <n v="44.616"/>
  </r>
  <r>
    <d v="2024-11-14T00:00:00"/>
    <s v="H-7947-18"/>
    <x v="3"/>
    <s v="Dallas"/>
    <x v="2"/>
    <s v="TSQ"/>
    <n v="36"/>
    <n v="24"/>
    <n v="864"/>
    <s v="Cash"/>
    <n v="25.056000000000001"/>
  </r>
  <r>
    <d v="2024-11-14T00:00:00"/>
    <s v="E-8735-18"/>
    <x v="1"/>
    <s v="Dallas"/>
    <x v="6"/>
    <s v="SMH"/>
    <n v="49"/>
    <n v="41"/>
    <n v="2009"/>
    <s v="Cash"/>
    <n v="56.252000000000002"/>
  </r>
  <r>
    <d v="2024-11-14T00:00:00"/>
    <s v="G-7680-18"/>
    <x v="8"/>
    <s v="Plano"/>
    <x v="6"/>
    <s v="ATP"/>
    <n v="24"/>
    <n v="38"/>
    <n v="912"/>
    <s v="Cash"/>
    <n v="21.888000000000002"/>
  </r>
  <r>
    <d v="2024-11-14T00:00:00"/>
    <s v="C-1896-18"/>
    <x v="6"/>
    <s v="Frisco"/>
    <x v="4"/>
    <s v="AKJ"/>
    <n v="17"/>
    <n v="23"/>
    <n v="391"/>
    <s v="Cash"/>
    <n v="9.3840000000000003"/>
  </r>
  <r>
    <d v="2024-11-14T00:00:00"/>
    <s v="G-6818-18"/>
    <x v="2"/>
    <s v="Richardson"/>
    <x v="3"/>
    <s v="PKH"/>
    <n v="14"/>
    <n v="52"/>
    <n v="728"/>
    <s v="Credit card"/>
    <n v="20.384"/>
  </r>
  <r>
    <d v="2024-11-14T00:00:00"/>
    <s v="E-7340-18"/>
    <x v="1"/>
    <s v="Dallas"/>
    <x v="2"/>
    <s v="SAT"/>
    <n v="47"/>
    <n v="46"/>
    <n v="2162"/>
    <s v="Credit card"/>
    <n v="58.374000000000002"/>
  </r>
  <r>
    <d v="2024-11-14T00:00:00"/>
    <s v="C-3788-18"/>
    <x v="4"/>
    <s v="Frisco"/>
    <x v="1"/>
    <s v="HNP"/>
    <n v="14"/>
    <n v="39"/>
    <n v="546"/>
    <s v="Check"/>
    <n v="16.38"/>
  </r>
  <r>
    <d v="2024-11-14T00:00:00"/>
    <s v="C-4579-18"/>
    <x v="6"/>
    <s v="Plano"/>
    <x v="4"/>
    <s v="JKA"/>
    <n v="21"/>
    <n v="29"/>
    <n v="609"/>
    <s v="Credit card"/>
    <n v="18.27"/>
  </r>
  <r>
    <d v="2024-11-15T00:00:00"/>
    <s v="E-8748-19"/>
    <x v="1"/>
    <s v="Plano"/>
    <x v="3"/>
    <s v="MSP"/>
    <n v="17"/>
    <n v="58"/>
    <n v="986"/>
    <s v="Gift card"/>
    <n v="24.65"/>
  </r>
  <r>
    <d v="2024-11-15T00:00:00"/>
    <s v="A-5748-19"/>
    <x v="0"/>
    <s v="Richardson"/>
    <x v="6"/>
    <s v="TSQ"/>
    <n v="58"/>
    <n v="60"/>
    <n v="3480"/>
    <s v="Credit card"/>
    <n v="87"/>
  </r>
  <r>
    <d v="2024-11-16T00:00:00"/>
    <s v="F-7577-20"/>
    <x v="3"/>
    <s v="Dallas"/>
    <x v="0"/>
    <s v="SAT"/>
    <n v="56"/>
    <n v="48"/>
    <n v="2688"/>
    <s v="Credit card"/>
    <n v="53.76"/>
  </r>
  <r>
    <d v="2024-11-16T00:00:00"/>
    <s v="B-2507-20"/>
    <x v="2"/>
    <s v="Plano"/>
    <x v="1"/>
    <s v="APS"/>
    <n v="20"/>
    <n v="23"/>
    <n v="460"/>
    <s v="Cash"/>
    <n v="11.5"/>
  </r>
  <r>
    <d v="2024-11-16T00:00:00"/>
    <s v="C-5093-20"/>
    <x v="0"/>
    <s v="Plano"/>
    <x v="4"/>
    <s v="SAT"/>
    <n v="13"/>
    <n v="47"/>
    <n v="611"/>
    <s v="Credit card"/>
    <n v="13.442"/>
  </r>
  <r>
    <d v="2024-11-16T00:00:00"/>
    <s v="G-9974-20"/>
    <x v="4"/>
    <s v="Coppell"/>
    <x v="4"/>
    <s v="HTE"/>
    <n v="18"/>
    <n v="55"/>
    <n v="990"/>
    <s v="Cash"/>
    <n v="29.7"/>
  </r>
  <r>
    <d v="2024-11-16T00:00:00"/>
    <s v="E-2245-20"/>
    <x v="7"/>
    <s v="Dallas"/>
    <x v="2"/>
    <s v="MSP"/>
    <n v="19"/>
    <n v="39"/>
    <n v="741"/>
    <s v="Cash"/>
    <n v="17.042999999999999"/>
  </r>
  <r>
    <d v="2024-11-17T00:00:00"/>
    <s v="C-1872-21"/>
    <x v="8"/>
    <s v="Plano"/>
    <x v="4"/>
    <s v="SAT"/>
    <n v="35"/>
    <n v="40"/>
    <n v="1400"/>
    <s v="Credit card"/>
    <n v="30.8"/>
  </r>
  <r>
    <d v="2024-11-17T00:00:00"/>
    <s v="C-6430-21"/>
    <x v="7"/>
    <s v="McKinney"/>
    <x v="4"/>
    <s v="PKH"/>
    <n v="19"/>
    <n v="28"/>
    <n v="532"/>
    <s v="Cash"/>
    <n v="14.364000000000001"/>
  </r>
  <r>
    <d v="2024-11-17T00:00:00"/>
    <s v="F-4678-21"/>
    <x v="7"/>
    <s v="Plano"/>
    <x v="6"/>
    <s v="AKJ"/>
    <n v="36"/>
    <n v="31"/>
    <n v="1116"/>
    <s v="Credit card"/>
    <n v="31.248000000000001"/>
  </r>
  <r>
    <d v="2024-11-18T00:00:00"/>
    <s v="H-9195-22"/>
    <x v="4"/>
    <s v="Plano"/>
    <x v="2"/>
    <s v="MSP"/>
    <n v="34"/>
    <n v="28"/>
    <n v="952"/>
    <s v="Cash"/>
    <n v="22.847999999999999"/>
  </r>
  <r>
    <d v="2024-11-18T00:00:00"/>
    <s v="A-3589-22"/>
    <x v="3"/>
    <s v="Frisco"/>
    <x v="0"/>
    <s v="JKA"/>
    <n v="47"/>
    <n v="43"/>
    <n v="2021"/>
    <s v="Cash"/>
    <n v="40.42"/>
  </r>
  <r>
    <d v="2024-11-18T00:00:00"/>
    <s v="B-7739-22"/>
    <x v="3"/>
    <s v="Dallas"/>
    <x v="1"/>
    <s v="KQR"/>
    <n v="30"/>
    <n v="49"/>
    <n v="1470"/>
    <s v="Cash"/>
    <n v="32.340000000000003"/>
  </r>
  <r>
    <d v="2024-11-18T00:00:00"/>
    <s v="F-6187-22"/>
    <x v="6"/>
    <s v="Allen"/>
    <x v="0"/>
    <s v="TAP"/>
    <n v="20"/>
    <n v="49"/>
    <n v="980"/>
    <s v="Check"/>
    <n v="19.600000000000001"/>
  </r>
  <r>
    <d v="2024-11-18T00:00:00"/>
    <s v="G-9943-22"/>
    <x v="5"/>
    <s v="McKinney"/>
    <x v="3"/>
    <s v="HNP"/>
    <n v="23"/>
    <n v="27"/>
    <n v="621"/>
    <s v="Credit card"/>
    <n v="16.766999999999999"/>
  </r>
  <r>
    <d v="2024-11-18T00:00:00"/>
    <s v="F-3857-22"/>
    <x v="4"/>
    <s v="Plano"/>
    <x v="2"/>
    <s v="SAT"/>
    <n v="15"/>
    <n v="50"/>
    <n v="750"/>
    <s v="Credit card"/>
    <n v="15.75"/>
  </r>
  <r>
    <d v="2024-11-18T00:00:00"/>
    <s v="B-4363-22"/>
    <x v="7"/>
    <s v="Frisco"/>
    <x v="4"/>
    <s v="JKA"/>
    <n v="55"/>
    <n v="20"/>
    <n v="1100"/>
    <s v="Gift card"/>
    <n v="26.4"/>
  </r>
  <r>
    <d v="2024-11-18T00:00:00"/>
    <s v="B-8603-22"/>
    <x v="2"/>
    <s v="Coppell"/>
    <x v="1"/>
    <s v="HNP"/>
    <n v="54"/>
    <n v="25"/>
    <n v="1350"/>
    <s v="Cash"/>
    <n v="35.1"/>
  </r>
  <r>
    <d v="2024-11-18T00:00:00"/>
    <s v="B-1816-22"/>
    <x v="2"/>
    <s v="Richardson"/>
    <x v="0"/>
    <s v="ZAA"/>
    <n v="10"/>
    <n v="40"/>
    <n v="400"/>
    <s v="Credit card"/>
    <n v="11.2"/>
  </r>
  <r>
    <d v="2024-11-18T00:00:00"/>
    <s v="G-4736-22"/>
    <x v="0"/>
    <s v="Plano"/>
    <x v="1"/>
    <s v="TAP"/>
    <n v="51"/>
    <n v="49"/>
    <n v="2499"/>
    <s v="Credit card"/>
    <n v="49.98"/>
  </r>
  <r>
    <d v="2024-11-18T00:00:00"/>
    <s v="G-9806-22"/>
    <x v="6"/>
    <s v="Plano"/>
    <x v="1"/>
    <s v="PKH"/>
    <n v="44"/>
    <n v="22"/>
    <n v="968"/>
    <s v="Credit card"/>
    <n v="24.2"/>
  </r>
  <r>
    <d v="2024-11-19T00:00:00"/>
    <s v="H-5329-23"/>
    <x v="4"/>
    <s v="Plano"/>
    <x v="4"/>
    <s v="PFF"/>
    <n v="39"/>
    <n v="59"/>
    <n v="2301"/>
    <s v="Check"/>
    <n v="48.320999999999998"/>
  </r>
  <r>
    <d v="2024-11-19T00:00:00"/>
    <s v="G-8208-23"/>
    <x v="4"/>
    <s v="McKinney"/>
    <x v="4"/>
    <s v="SAT"/>
    <n v="20"/>
    <n v="26"/>
    <n v="520"/>
    <s v="Credit card"/>
    <n v="15.6"/>
  </r>
  <r>
    <d v="2024-11-19T00:00:00"/>
    <s v="A-9867-23"/>
    <x v="4"/>
    <s v="Plano"/>
    <x v="0"/>
    <s v="PFF"/>
    <n v="23"/>
    <n v="50"/>
    <n v="1150"/>
    <s v="Credit card"/>
    <n v="34.5"/>
  </r>
  <r>
    <d v="2024-11-19T00:00:00"/>
    <s v="B-3005-23"/>
    <x v="0"/>
    <s v="Frisco"/>
    <x v="1"/>
    <s v="PFF"/>
    <n v="22"/>
    <n v="57"/>
    <n v="1254"/>
    <s v="Gift card"/>
    <n v="30.096"/>
  </r>
  <r>
    <d v="2024-11-19T00:00:00"/>
    <s v="A-2891-23"/>
    <x v="0"/>
    <s v="Dallas"/>
    <x v="4"/>
    <s v="APS"/>
    <n v="44"/>
    <n v="35"/>
    <n v="1540"/>
    <s v="Credit card"/>
    <n v="38.5"/>
  </r>
  <r>
    <d v="2024-11-19T00:00:00"/>
    <s v="E-9078-23"/>
    <x v="6"/>
    <s v="Plano"/>
    <x v="0"/>
    <s v="AKJ"/>
    <n v="12"/>
    <n v="38"/>
    <n v="456"/>
    <s v="Credit card"/>
    <n v="10.488"/>
  </r>
  <r>
    <d v="2024-11-20T00:00:00"/>
    <s v="D-6412-24"/>
    <x v="4"/>
    <s v="Dallas"/>
    <x v="4"/>
    <s v="ZAA"/>
    <n v="25"/>
    <n v="57"/>
    <n v="1425"/>
    <s v="Cash"/>
    <n v="28.5"/>
  </r>
  <r>
    <d v="2024-11-20T00:00:00"/>
    <s v="G-2220-24"/>
    <x v="8"/>
    <s v="Richardson"/>
    <x v="1"/>
    <s v="TAP"/>
    <n v="56"/>
    <n v="30"/>
    <n v="1680"/>
    <s v="Cash"/>
    <n v="42"/>
  </r>
  <r>
    <d v="2024-11-20T00:00:00"/>
    <s v="D-9509-24"/>
    <x v="4"/>
    <s v="Frisco"/>
    <x v="2"/>
    <s v="TAP"/>
    <n v="23"/>
    <n v="37"/>
    <n v="851"/>
    <s v="Cash"/>
    <n v="18.722000000000001"/>
  </r>
  <r>
    <d v="2024-11-20T00:00:00"/>
    <s v="A-1200-24"/>
    <x v="2"/>
    <s v="Dallas"/>
    <x v="4"/>
    <s v="SMH"/>
    <n v="20"/>
    <n v="46"/>
    <n v="920"/>
    <s v="Gift card"/>
    <n v="21.16"/>
  </r>
  <r>
    <d v="2024-11-20T00:00:00"/>
    <s v="F-2370-24"/>
    <x v="6"/>
    <s v="Allen"/>
    <x v="4"/>
    <s v="AKJ"/>
    <n v="48"/>
    <n v="38"/>
    <n v="1824"/>
    <s v="Cash"/>
    <n v="54.72"/>
  </r>
  <r>
    <d v="2024-11-20T00:00:00"/>
    <s v="H-9345-24"/>
    <x v="4"/>
    <s v="Dallas"/>
    <x v="0"/>
    <s v="MSP"/>
    <n v="50"/>
    <n v="57"/>
    <n v="2850"/>
    <s v="Credit card"/>
    <n v="82.65"/>
  </r>
  <r>
    <d v="2024-11-21T00:00:00"/>
    <s v="D-1689-25"/>
    <x v="4"/>
    <s v="Plano"/>
    <x v="4"/>
    <s v="PKH"/>
    <n v="43"/>
    <n v="34"/>
    <n v="1462"/>
    <s v="Credit card"/>
    <n v="43.86"/>
  </r>
  <r>
    <d v="2024-11-21T00:00:00"/>
    <s v="F-5230-25"/>
    <x v="8"/>
    <s v="Frisco"/>
    <x v="3"/>
    <s v="KQR"/>
    <n v="32"/>
    <n v="20"/>
    <n v="640"/>
    <s v="Cash"/>
    <n v="16"/>
  </r>
  <r>
    <d v="2024-11-21T00:00:00"/>
    <s v="F-7801-25"/>
    <x v="4"/>
    <s v="Dallas"/>
    <x v="0"/>
    <s v="APS"/>
    <n v="27"/>
    <n v="21"/>
    <n v="567"/>
    <s v="Cash"/>
    <n v="13.608000000000001"/>
  </r>
  <r>
    <d v="2024-11-22T00:00:00"/>
    <s v="E-6191-26"/>
    <x v="8"/>
    <s v="Richardson"/>
    <x v="0"/>
    <s v="SMH"/>
    <n v="42"/>
    <n v="34"/>
    <n v="1428"/>
    <s v="Cash"/>
    <n v="29.988"/>
  </r>
  <r>
    <d v="2024-11-22T00:00:00"/>
    <s v="B-1391-26"/>
    <x v="8"/>
    <s v="Dallas"/>
    <x v="1"/>
    <s v="PKH"/>
    <n v="15"/>
    <n v="40"/>
    <n v="600"/>
    <s v="Cash"/>
    <n v="13.2"/>
  </r>
  <r>
    <d v="2024-11-22T00:00:00"/>
    <s v="B-6077-26"/>
    <x v="7"/>
    <s v="Coppell"/>
    <x v="6"/>
    <s v="HTE"/>
    <n v="54"/>
    <n v="45"/>
    <n v="2430"/>
    <s v="Gift card"/>
    <n v="60.75"/>
  </r>
  <r>
    <d v="2024-11-22T00:00:00"/>
    <s v="E-4688-26"/>
    <x v="3"/>
    <s v="Richardson"/>
    <x v="3"/>
    <s v="ZAA"/>
    <n v="57"/>
    <n v="22"/>
    <n v="1254"/>
    <s v="Credit card"/>
    <n v="28.841999999999999"/>
  </r>
  <r>
    <d v="2024-11-22T00:00:00"/>
    <s v="A-1866-26"/>
    <x v="4"/>
    <s v="Richardson"/>
    <x v="4"/>
    <s v="APS"/>
    <n v="45"/>
    <n v="33"/>
    <n v="1485"/>
    <s v="Cash"/>
    <n v="43.064999999999998"/>
  </r>
  <r>
    <d v="2024-11-23T00:00:00"/>
    <s v="D-7908-27"/>
    <x v="7"/>
    <s v="Dallas"/>
    <x v="6"/>
    <s v="HNP"/>
    <n v="46"/>
    <n v="31"/>
    <n v="1426"/>
    <s v="Gift card"/>
    <n v="42.78"/>
  </r>
  <r>
    <d v="2024-11-23T00:00:00"/>
    <s v="E-9497-27"/>
    <x v="2"/>
    <s v="Plano"/>
    <x v="4"/>
    <s v="APS"/>
    <n v="33"/>
    <n v="33"/>
    <n v="1089"/>
    <s v="Cash"/>
    <n v="22.869"/>
  </r>
  <r>
    <d v="2024-11-23T00:00:00"/>
    <s v="C-7868-27"/>
    <x v="5"/>
    <s v="Plano"/>
    <x v="0"/>
    <s v="SAT"/>
    <n v="34"/>
    <n v="40"/>
    <n v="1360"/>
    <s v="Cash"/>
    <n v="28.56"/>
  </r>
  <r>
    <d v="2024-11-23T00:00:00"/>
    <s v="B-4107-27"/>
    <x v="3"/>
    <s v="Allen"/>
    <x v="3"/>
    <s v="SMH"/>
    <n v="52"/>
    <n v="22"/>
    <n v="1144"/>
    <s v="Credit card"/>
    <n v="24.024000000000001"/>
  </r>
  <r>
    <d v="2024-11-23T00:00:00"/>
    <s v="B-7625-27"/>
    <x v="7"/>
    <s v="Plano"/>
    <x v="3"/>
    <s v="MSP"/>
    <n v="21"/>
    <n v="54"/>
    <n v="1134"/>
    <s v="Gift card"/>
    <n v="22.68"/>
  </r>
  <r>
    <d v="2024-11-23T00:00:00"/>
    <s v="C-4235-27"/>
    <x v="2"/>
    <s v="Plano"/>
    <x v="4"/>
    <s v="JKA"/>
    <n v="25"/>
    <n v="58"/>
    <n v="1450"/>
    <s v="Cash"/>
    <n v="39.15"/>
  </r>
  <r>
    <d v="2024-11-23T00:00:00"/>
    <s v="H-6074-27"/>
    <x v="7"/>
    <s v="Plano"/>
    <x v="3"/>
    <s v="TAP"/>
    <n v="25"/>
    <n v="43"/>
    <n v="1075"/>
    <s v="Cash"/>
    <n v="25.8"/>
  </r>
  <r>
    <d v="2024-11-23T00:00:00"/>
    <s v="F-7377-27"/>
    <x v="8"/>
    <s v="Richardson"/>
    <x v="5"/>
    <s v="ATP"/>
    <n v="17"/>
    <n v="22"/>
    <n v="374"/>
    <s v="Cash"/>
    <n v="11.22"/>
  </r>
  <r>
    <d v="2024-11-23T00:00:00"/>
    <s v="D-8094-27"/>
    <x v="2"/>
    <s v="Dallas"/>
    <x v="3"/>
    <s v="TSQ"/>
    <n v="11"/>
    <n v="33"/>
    <n v="363"/>
    <s v="Credit card"/>
    <n v="10.526999999999999"/>
  </r>
  <r>
    <d v="2024-11-23T00:00:00"/>
    <s v="H-1997-27"/>
    <x v="7"/>
    <s v="Coppell"/>
    <x v="5"/>
    <s v="TAP"/>
    <n v="11"/>
    <n v="31"/>
    <n v="341"/>
    <s v="Cash"/>
    <n v="9.8889999999999993"/>
  </r>
  <r>
    <d v="2024-11-23T00:00:00"/>
    <s v="G-3574-27"/>
    <x v="4"/>
    <s v="Allen"/>
    <x v="6"/>
    <s v="PKH"/>
    <n v="29"/>
    <n v="31"/>
    <n v="899"/>
    <s v="Credit card"/>
    <n v="22.475000000000001"/>
  </r>
  <r>
    <d v="2024-11-23T00:00:00"/>
    <s v="D-8403-27"/>
    <x v="6"/>
    <s v="Dallas"/>
    <x v="5"/>
    <s v="HTE"/>
    <n v="42"/>
    <n v="58"/>
    <n v="2436"/>
    <s v="Gift card"/>
    <n v="48.72"/>
  </r>
  <r>
    <d v="2024-11-23T00:00:00"/>
    <s v="F-2259-27"/>
    <x v="4"/>
    <s v="McKinney"/>
    <x v="2"/>
    <s v="SMH"/>
    <n v="13"/>
    <n v="48"/>
    <n v="624"/>
    <s v="Credit card"/>
    <n v="13.728"/>
  </r>
  <r>
    <d v="2024-11-23T00:00:00"/>
    <s v="F-1818-27"/>
    <x v="4"/>
    <s v="Plano"/>
    <x v="1"/>
    <s v="TAP"/>
    <n v="58"/>
    <n v="49"/>
    <n v="2842"/>
    <s v="Cash"/>
    <n v="71.05"/>
  </r>
  <r>
    <d v="2024-11-23T00:00:00"/>
    <s v="F-8092-27"/>
    <x v="2"/>
    <s v="Dallas"/>
    <x v="6"/>
    <s v="APS"/>
    <n v="57"/>
    <n v="27"/>
    <n v="1539"/>
    <s v="Cash"/>
    <n v="41.552999999999997"/>
  </r>
  <r>
    <d v="2024-11-23T00:00:00"/>
    <s v="H-1763-27"/>
    <x v="0"/>
    <s v="McKinney"/>
    <x v="4"/>
    <s v="TAP"/>
    <n v="43"/>
    <n v="23"/>
    <n v="989"/>
    <s v="Credit card"/>
    <n v="27.692"/>
  </r>
  <r>
    <d v="2024-11-23T00:00:00"/>
    <s v="C-4682-27"/>
    <x v="0"/>
    <s v="Plano"/>
    <x v="0"/>
    <s v="TSA"/>
    <n v="58"/>
    <n v="52"/>
    <n v="3016"/>
    <s v="Check"/>
    <n v="87.463999999999999"/>
  </r>
  <r>
    <d v="2024-11-23T00:00:00"/>
    <s v="H-4159-27"/>
    <x v="8"/>
    <s v="Plano"/>
    <x v="6"/>
    <s v="TSQ"/>
    <n v="60"/>
    <n v="60"/>
    <n v="3600"/>
    <s v="Credit card"/>
    <n v="82.8"/>
  </r>
  <r>
    <d v="2024-11-23T00:00:00"/>
    <s v="C-9839-27"/>
    <x v="2"/>
    <s v="Dallas"/>
    <x v="1"/>
    <s v="APS"/>
    <n v="32"/>
    <n v="60"/>
    <n v="1920"/>
    <s v="Credit card"/>
    <n v="51.84"/>
  </r>
  <r>
    <d v="2024-11-23T00:00:00"/>
    <s v="C-4247-27"/>
    <x v="5"/>
    <s v="Richardson"/>
    <x v="2"/>
    <s v="APS"/>
    <n v="20"/>
    <n v="57"/>
    <n v="1140"/>
    <s v="Check"/>
    <n v="23.94"/>
  </r>
  <r>
    <d v="2024-11-23T00:00:00"/>
    <s v="C-1862-27"/>
    <x v="5"/>
    <s v="Frisco"/>
    <x v="6"/>
    <s v="SMH"/>
    <n v="27"/>
    <n v="53"/>
    <n v="1431"/>
    <s v="Credit card"/>
    <n v="30.050999999999998"/>
  </r>
  <r>
    <d v="2024-11-24T00:00:00"/>
    <s v="F-8944-28"/>
    <x v="7"/>
    <s v="Plano"/>
    <x v="4"/>
    <s v="TAP"/>
    <n v="28"/>
    <n v="25"/>
    <n v="700"/>
    <s v="Gift card"/>
    <n v="20.3"/>
  </r>
  <r>
    <d v="2024-11-24T00:00:00"/>
    <s v="E-4977-28"/>
    <x v="6"/>
    <s v="Frisco"/>
    <x v="1"/>
    <s v="PKH"/>
    <n v="27"/>
    <n v="37"/>
    <n v="999"/>
    <s v="Cash"/>
    <n v="23.975999999999999"/>
  </r>
  <r>
    <d v="2024-11-25T00:00:00"/>
    <s v="H-1540-29"/>
    <x v="4"/>
    <s v="Plano"/>
    <x v="0"/>
    <s v="SMH"/>
    <n v="48"/>
    <n v="28"/>
    <n v="1344"/>
    <s v="Cash"/>
    <n v="38.975999999999999"/>
  </r>
  <r>
    <d v="2024-11-25T00:00:00"/>
    <s v="G-2662-29"/>
    <x v="1"/>
    <s v="Dallas"/>
    <x v="1"/>
    <s v="TSA"/>
    <n v="20"/>
    <n v="47"/>
    <n v="940"/>
    <s v="Check"/>
    <n v="26.32"/>
  </r>
  <r>
    <d v="2024-11-25T00:00:00"/>
    <s v="B-6060-29"/>
    <x v="4"/>
    <s v="Allen"/>
    <x v="4"/>
    <s v="PFF"/>
    <n v="60"/>
    <n v="46"/>
    <n v="2760"/>
    <s v="Gift card"/>
    <n v="82.8"/>
  </r>
  <r>
    <d v="2024-11-26T00:00:00"/>
    <s v="F-4592-30"/>
    <x v="8"/>
    <s v="Coppell"/>
    <x v="5"/>
    <s v="SAT"/>
    <n v="11"/>
    <n v="45"/>
    <n v="495"/>
    <s v="Credit card"/>
    <n v="13.86"/>
  </r>
  <r>
    <d v="2024-11-26T00:00:00"/>
    <s v="G-8825-30"/>
    <x v="4"/>
    <s v="Plano"/>
    <x v="4"/>
    <s v="TAP"/>
    <n v="58"/>
    <n v="38"/>
    <n v="2204"/>
    <s v="Credit card"/>
    <n v="63.915999999999997"/>
  </r>
  <r>
    <d v="2024-11-26T00:00:00"/>
    <s v="C-9802-30"/>
    <x v="5"/>
    <s v="McKinney"/>
    <x v="6"/>
    <s v="JKA"/>
    <n v="24"/>
    <n v="55"/>
    <n v="1320"/>
    <s v="Check"/>
    <n v="27.72"/>
  </r>
  <r>
    <d v="2024-11-26T00:00:00"/>
    <s v="E-9864-30"/>
    <x v="0"/>
    <s v="Dallas"/>
    <x v="3"/>
    <s v="PFF"/>
    <n v="16"/>
    <n v="38"/>
    <n v="608"/>
    <s v="Credit card"/>
    <n v="14.592000000000001"/>
  </r>
  <r>
    <d v="2024-11-26T00:00:00"/>
    <s v="F-1588-30"/>
    <x v="0"/>
    <s v="Richardson"/>
    <x v="0"/>
    <s v="ZAA"/>
    <n v="37"/>
    <n v="43"/>
    <n v="1591"/>
    <s v="Credit card"/>
    <n v="33.411000000000001"/>
  </r>
  <r>
    <d v="2024-11-27T00:00:00"/>
    <s v="B-4065-31"/>
    <x v="7"/>
    <s v="Coppell"/>
    <x v="2"/>
    <s v="TAP"/>
    <n v="18"/>
    <n v="20"/>
    <n v="360"/>
    <s v="Check"/>
    <n v="10.8"/>
  </r>
  <r>
    <d v="2024-11-28T00:00:00"/>
    <s v="AK-9029-1"/>
    <x v="8"/>
    <s v="Plano"/>
    <x v="1"/>
    <s v="TSQ"/>
    <n v="45"/>
    <n v="58"/>
    <n v="2610"/>
    <s v="Cash"/>
    <n v="52.2"/>
  </r>
  <r>
    <d v="2024-11-29T00:00:00"/>
    <s v="BK-3365-2"/>
    <x v="4"/>
    <s v="Plano"/>
    <x v="5"/>
    <s v="TAP"/>
    <n v="23"/>
    <n v="44"/>
    <n v="1012"/>
    <s v="Credit card"/>
    <n v="23.276"/>
  </r>
  <r>
    <d v="2024-11-29T00:00:00"/>
    <s v="BK-4365-2"/>
    <x v="7"/>
    <s v="Dallas"/>
    <x v="4"/>
    <s v="TSQ"/>
    <n v="39"/>
    <n v="53"/>
    <n v="2067"/>
    <s v="Cash"/>
    <n v="47.540999999999997"/>
  </r>
  <r>
    <d v="2024-11-29T00:00:00"/>
    <s v="HK-8542-2"/>
    <x v="1"/>
    <s v="McKinney"/>
    <x v="0"/>
    <s v="HTE"/>
    <n v="22"/>
    <n v="20"/>
    <n v="440"/>
    <s v="Check"/>
    <n v="10.56"/>
  </r>
  <r>
    <d v="2024-11-29T00:00:00"/>
    <s v="HK-4668-2"/>
    <x v="0"/>
    <s v="Dallas"/>
    <x v="0"/>
    <s v="PFF"/>
    <n v="38"/>
    <n v="43"/>
    <n v="1634"/>
    <s v="Check"/>
    <n v="42.484000000000002"/>
  </r>
  <r>
    <d v="2024-11-30T00:00:00"/>
    <s v="EK-6646-3"/>
    <x v="2"/>
    <s v="Plano"/>
    <x v="4"/>
    <s v="APS"/>
    <n v="27"/>
    <n v="26"/>
    <n v="702"/>
    <s v="Cash"/>
    <n v="19.655999999999999"/>
  </r>
  <r>
    <d v="2024-12-01T00:00:00"/>
    <s v="FK-9788-4"/>
    <x v="4"/>
    <s v="Richardson"/>
    <x v="3"/>
    <s v="KQR"/>
    <n v="51"/>
    <n v="28"/>
    <n v="1428"/>
    <s v="Gift card"/>
    <n v="38.555999999999997"/>
  </r>
  <r>
    <d v="2024-12-01T00:00:00"/>
    <s v="AK-7544-4"/>
    <x v="5"/>
    <s v="Allen"/>
    <x v="5"/>
    <s v="KQR"/>
    <n v="19"/>
    <n v="52"/>
    <n v="988"/>
    <s v="Cash"/>
    <n v="26.675999999999998"/>
  </r>
  <r>
    <d v="2024-12-01T00:00:00"/>
    <s v="AK-8091-4"/>
    <x v="4"/>
    <s v="Dallas"/>
    <x v="3"/>
    <s v="SMH"/>
    <n v="30"/>
    <n v="25"/>
    <n v="750"/>
    <s v="Gift card"/>
    <n v="21.75"/>
  </r>
  <r>
    <d v="2024-12-01T00:00:00"/>
    <s v="HK-3730-4"/>
    <x v="1"/>
    <s v="McKinney"/>
    <x v="4"/>
    <s v="TAP"/>
    <n v="44"/>
    <n v="60"/>
    <n v="2640"/>
    <s v="Credit card"/>
    <n v="60.72"/>
  </r>
  <r>
    <d v="2024-12-01T00:00:00"/>
    <s v="AK-2951-4"/>
    <x v="6"/>
    <s v="Frisco"/>
    <x v="4"/>
    <s v="HNP"/>
    <n v="21"/>
    <n v="48"/>
    <n v="1008"/>
    <s v="Cash"/>
    <n v="25.2"/>
  </r>
  <r>
    <d v="2024-12-01T00:00:00"/>
    <s v="HK-2276-4"/>
    <x v="4"/>
    <s v="Plano"/>
    <x v="0"/>
    <s v="HTE"/>
    <n v="18"/>
    <n v="58"/>
    <n v="1044"/>
    <s v="Cash"/>
    <n v="26.1"/>
  </r>
  <r>
    <d v="2024-12-01T00:00:00"/>
    <s v="FK-9446-4"/>
    <x v="4"/>
    <s v="Richardson"/>
    <x v="5"/>
    <s v="MSP"/>
    <n v="26"/>
    <n v="32"/>
    <n v="832"/>
    <s v="Cash"/>
    <n v="17.472000000000001"/>
  </r>
  <r>
    <d v="2024-12-01T00:00:00"/>
    <s v="CK-4400-4"/>
    <x v="3"/>
    <s v="Dallas"/>
    <x v="2"/>
    <s v="KQR"/>
    <n v="36"/>
    <n v="30"/>
    <n v="1080"/>
    <s v="Credit card"/>
    <n v="29.16"/>
  </r>
  <r>
    <d v="2024-12-01T00:00:00"/>
    <s v="DK-2591-4"/>
    <x v="6"/>
    <s v="Allen"/>
    <x v="3"/>
    <s v="TAP"/>
    <n v="60"/>
    <n v="23"/>
    <n v="1380"/>
    <s v="Credit card"/>
    <n v="41.4"/>
  </r>
  <r>
    <d v="2024-12-01T00:00:00"/>
    <s v="AK-4511-4"/>
    <x v="1"/>
    <s v="Plano"/>
    <x v="6"/>
    <s v="KQR"/>
    <n v="49"/>
    <n v="52"/>
    <n v="2548"/>
    <s v="Credit card"/>
    <n v="73.891999999999996"/>
  </r>
  <r>
    <d v="2024-12-01T00:00:00"/>
    <s v="BK-2516-4"/>
    <x v="6"/>
    <s v="Dallas"/>
    <x v="0"/>
    <s v="TAP"/>
    <n v="49"/>
    <n v="53"/>
    <n v="2597"/>
    <s v="Credit card"/>
    <n v="54.536999999999999"/>
  </r>
  <r>
    <d v="2024-12-01T00:00:00"/>
    <s v="CK-5129-4"/>
    <x v="4"/>
    <s v="Plano"/>
    <x v="6"/>
    <s v="TAP"/>
    <n v="51"/>
    <n v="32"/>
    <n v="1632"/>
    <s v="Cash"/>
    <n v="48.96"/>
  </r>
  <r>
    <d v="2024-12-01T00:00:00"/>
    <s v="GK-3598-4"/>
    <x v="2"/>
    <s v="Frisco"/>
    <x v="3"/>
    <s v="SMH"/>
    <n v="36"/>
    <n v="22"/>
    <n v="792"/>
    <s v="Credit card"/>
    <n v="19.007999999999999"/>
  </r>
  <r>
    <d v="2024-12-01T00:00:00"/>
    <s v="GK-3174-4"/>
    <x v="3"/>
    <s v="Dallas"/>
    <x v="2"/>
    <s v="SMH"/>
    <n v="32"/>
    <n v="24"/>
    <n v="768"/>
    <s v="Credit card"/>
    <n v="16.128"/>
  </r>
  <r>
    <d v="2024-12-01T00:00:00"/>
    <s v="EK-8421-4"/>
    <x v="7"/>
    <s v="Plano"/>
    <x v="6"/>
    <s v="HNP"/>
    <n v="40"/>
    <n v="35"/>
    <n v="1400"/>
    <s v="Check"/>
    <n v="30.8"/>
  </r>
  <r>
    <d v="2024-12-01T00:00:00"/>
    <s v="EK-8662-4"/>
    <x v="8"/>
    <s v="McKinney"/>
    <x v="1"/>
    <s v="TAP"/>
    <n v="19"/>
    <n v="37"/>
    <n v="703"/>
    <s v="Cash"/>
    <n v="18.277999999999999"/>
  </r>
  <r>
    <d v="2024-12-01T00:00:00"/>
    <s v="FK-2176-4"/>
    <x v="5"/>
    <s v="Coppell"/>
    <x v="4"/>
    <s v="SAT"/>
    <n v="34"/>
    <n v="20"/>
    <n v="680"/>
    <s v="Cash"/>
    <n v="15.64"/>
  </r>
  <r>
    <d v="2024-12-01T00:00:00"/>
    <s v="EK-6353-4"/>
    <x v="7"/>
    <s v="Frisco"/>
    <x v="0"/>
    <s v="ARP"/>
    <n v="56"/>
    <n v="59"/>
    <n v="3304"/>
    <s v="Credit card"/>
    <n v="92.512"/>
  </r>
  <r>
    <d v="2024-12-02T00:00:00"/>
    <s v="FK-1656-5"/>
    <x v="0"/>
    <s v="Richardson"/>
    <x v="2"/>
    <s v="MSP"/>
    <n v="44"/>
    <n v="46"/>
    <n v="2024"/>
    <s v="Cash"/>
    <n v="56.671999999999997"/>
  </r>
  <r>
    <d v="2024-12-02T00:00:00"/>
    <s v="EK-9350-5"/>
    <x v="7"/>
    <s v="Dallas"/>
    <x v="0"/>
    <s v="PFF"/>
    <n v="40"/>
    <n v="21"/>
    <n v="840"/>
    <s v="Gift card"/>
    <n v="21.84"/>
  </r>
  <r>
    <d v="2024-12-02T00:00:00"/>
    <s v="EK-9619-5"/>
    <x v="1"/>
    <s v="Plano"/>
    <x v="3"/>
    <s v="TSA"/>
    <n v="32"/>
    <n v="27"/>
    <n v="864"/>
    <s v="Credit card"/>
    <n v="23.327999999999999"/>
  </r>
  <r>
    <d v="2024-12-02T00:00:00"/>
    <s v="DK-9815-5"/>
    <x v="4"/>
    <s v="Coppell"/>
    <x v="6"/>
    <s v="TSA"/>
    <n v="28"/>
    <n v="40"/>
    <n v="1120"/>
    <s v="Cash"/>
    <n v="30.24"/>
  </r>
  <r>
    <d v="2024-12-02T00:00:00"/>
    <s v="GK-5137-5"/>
    <x v="6"/>
    <s v="Plano"/>
    <x v="1"/>
    <s v="JKA"/>
    <n v="44"/>
    <n v="29"/>
    <n v="1276"/>
    <s v="Credit card"/>
    <n v="25.52"/>
  </r>
  <r>
    <d v="2024-12-02T00:00:00"/>
    <s v="AK-8048-5"/>
    <x v="1"/>
    <s v="Frisco"/>
    <x v="3"/>
    <s v="KQR"/>
    <n v="23"/>
    <n v="48"/>
    <n v="1104"/>
    <s v="Credit card"/>
    <n v="25.391999999999999"/>
  </r>
  <r>
    <d v="2024-12-02T00:00:00"/>
    <s v="CK-5635-5"/>
    <x v="4"/>
    <s v="Frisco"/>
    <x v="1"/>
    <s v="HTE"/>
    <n v="35"/>
    <n v="54"/>
    <n v="1890"/>
    <s v="Credit card"/>
    <n v="37.799999999999997"/>
  </r>
  <r>
    <d v="2024-12-02T00:00:00"/>
    <s v="EK-1218-5"/>
    <x v="0"/>
    <s v="Dallas"/>
    <x v="1"/>
    <s v="ARP"/>
    <n v="37"/>
    <n v="53"/>
    <n v="1961"/>
    <s v="Credit card"/>
    <n v="56.869"/>
  </r>
  <r>
    <d v="2024-12-03T00:00:00"/>
    <s v="AK-5388-6"/>
    <x v="4"/>
    <s v="Plano"/>
    <x v="1"/>
    <s v="HNP"/>
    <n v="45"/>
    <n v="29"/>
    <n v="1305"/>
    <s v="Credit card"/>
    <n v="30.015000000000001"/>
  </r>
  <r>
    <d v="2024-12-03T00:00:00"/>
    <s v="AK-2304-6"/>
    <x v="7"/>
    <s v="Dallas"/>
    <x v="1"/>
    <s v="ATP"/>
    <n v="27"/>
    <n v="20"/>
    <n v="540"/>
    <s v="Credit card"/>
    <n v="11.88"/>
  </r>
  <r>
    <d v="2024-12-03T00:00:00"/>
    <s v="DK-2522-6"/>
    <x v="1"/>
    <s v="Allen"/>
    <x v="3"/>
    <s v="ZAA"/>
    <n v="28"/>
    <n v="47"/>
    <n v="1316"/>
    <s v="Credit card"/>
    <n v="28.952000000000002"/>
  </r>
  <r>
    <d v="2024-12-03T00:00:00"/>
    <s v="AK-2511-6"/>
    <x v="5"/>
    <s v="McKinney"/>
    <x v="1"/>
    <s v="SMH"/>
    <n v="60"/>
    <n v="23"/>
    <n v="1380"/>
    <s v="Cash"/>
    <n v="35.880000000000003"/>
  </r>
  <r>
    <d v="2024-12-03T00:00:00"/>
    <s v="BK-3408-6"/>
    <x v="8"/>
    <s v="Plano"/>
    <x v="1"/>
    <s v="HNP"/>
    <n v="11"/>
    <n v="59"/>
    <n v="649"/>
    <s v="Gift card"/>
    <n v="15.576000000000001"/>
  </r>
  <r>
    <d v="2024-12-03T00:00:00"/>
    <s v="GK-4782-6"/>
    <x v="5"/>
    <s v="Richardson"/>
    <x v="1"/>
    <s v="ATP"/>
    <n v="44"/>
    <n v="42"/>
    <n v="1848"/>
    <s v="Credit card"/>
    <n v="55.44"/>
  </r>
  <r>
    <d v="2024-12-03T00:00:00"/>
    <s v="BK-4343-6"/>
    <x v="4"/>
    <s v="Frisco"/>
    <x v="1"/>
    <s v="SMH"/>
    <n v="53"/>
    <n v="26"/>
    <n v="1378"/>
    <s v="Check"/>
    <n v="33.072000000000003"/>
  </r>
  <r>
    <d v="2024-12-03T00:00:00"/>
    <s v="EK-7232-6"/>
    <x v="3"/>
    <s v="Plano"/>
    <x v="3"/>
    <s v="APS"/>
    <n v="17"/>
    <n v="32"/>
    <n v="544"/>
    <s v="Credit card"/>
    <n v="13.6"/>
  </r>
  <r>
    <d v="2024-12-03T00:00:00"/>
    <s v="FK-1633-6"/>
    <x v="3"/>
    <s v="Plano"/>
    <x v="4"/>
    <s v="TSA"/>
    <n v="55"/>
    <n v="26"/>
    <n v="1430"/>
    <s v="Cash"/>
    <n v="32.89"/>
  </r>
  <r>
    <d v="2024-12-03T00:00:00"/>
    <s v="GK-5785-6"/>
    <x v="6"/>
    <s v="Plano"/>
    <x v="4"/>
    <s v="AKJ"/>
    <n v="34"/>
    <n v="56"/>
    <n v="1904"/>
    <s v="Cash"/>
    <n v="49.503999999999998"/>
  </r>
  <r>
    <d v="2024-12-04T00:00:00"/>
    <s v="DK-1593-7"/>
    <x v="8"/>
    <s v="Plano"/>
    <x v="0"/>
    <s v="ZAA"/>
    <n v="12"/>
    <n v="52"/>
    <n v="624"/>
    <s v="Gift card"/>
    <n v="13.728"/>
  </r>
  <r>
    <d v="2024-12-04T00:00:00"/>
    <s v="BK-5444-7"/>
    <x v="2"/>
    <s v="Richardson"/>
    <x v="1"/>
    <s v="AKJ"/>
    <n v="54"/>
    <n v="57"/>
    <n v="3078"/>
    <s v="Cash"/>
    <n v="83.105999999999995"/>
  </r>
  <r>
    <d v="2024-12-04T00:00:00"/>
    <s v="FK-7815-7"/>
    <x v="4"/>
    <s v="Plano"/>
    <x v="2"/>
    <s v="KQR"/>
    <n v="57"/>
    <n v="52"/>
    <n v="2964"/>
    <s v="Credit card"/>
    <n v="59.28"/>
  </r>
  <r>
    <d v="2024-12-04T00:00:00"/>
    <s v="GK-2899-7"/>
    <x v="0"/>
    <s v="Plano"/>
    <x v="2"/>
    <s v="HNP"/>
    <n v="34"/>
    <n v="36"/>
    <n v="1224"/>
    <s v="Cash"/>
    <n v="36.72"/>
  </r>
  <r>
    <d v="2024-12-04T00:00:00"/>
    <s v="CK-7059-7"/>
    <x v="4"/>
    <s v="Dallas"/>
    <x v="3"/>
    <s v="TSQ"/>
    <n v="38"/>
    <n v="28"/>
    <n v="1064"/>
    <s v="Credit card"/>
    <n v="24.472000000000001"/>
  </r>
  <r>
    <d v="2024-12-04T00:00:00"/>
    <s v="GK-4548-7"/>
    <x v="5"/>
    <s v="Coppell"/>
    <x v="1"/>
    <s v="SMH"/>
    <n v="29"/>
    <n v="57"/>
    <n v="1653"/>
    <s v="Credit card"/>
    <n v="47.936999999999998"/>
  </r>
  <r>
    <d v="2024-12-04T00:00:00"/>
    <s v="FK-8664-7"/>
    <x v="8"/>
    <s v="Plano"/>
    <x v="0"/>
    <s v="APS"/>
    <n v="19"/>
    <n v="29"/>
    <n v="551"/>
    <s v="Credit card"/>
    <n v="13.775"/>
  </r>
  <r>
    <d v="2024-12-04T00:00:00"/>
    <s v="CK-8803-7"/>
    <x v="7"/>
    <s v="Frisco"/>
    <x v="2"/>
    <s v="HTE"/>
    <n v="30"/>
    <n v="45"/>
    <n v="1350"/>
    <s v="Gift card"/>
    <n v="36.450000000000003"/>
  </r>
  <r>
    <d v="2024-12-04T00:00:00"/>
    <s v="GK-8908-7"/>
    <x v="4"/>
    <s v="Frisco"/>
    <x v="5"/>
    <s v="APS"/>
    <n v="46"/>
    <n v="21"/>
    <n v="966"/>
    <s v="Cash"/>
    <n v="19.32"/>
  </r>
  <r>
    <d v="2024-12-05T00:00:00"/>
    <s v="BK-6589-8"/>
    <x v="3"/>
    <s v="Dallas"/>
    <x v="2"/>
    <s v="AKJ"/>
    <n v="33"/>
    <n v="57"/>
    <n v="1881"/>
    <s v="Credit card"/>
    <n v="37.619999999999997"/>
  </r>
  <r>
    <d v="2024-12-05T00:00:00"/>
    <s v="GK-2793-8"/>
    <x v="6"/>
    <s v="Plano"/>
    <x v="3"/>
    <s v="ZAA"/>
    <n v="25"/>
    <n v="25"/>
    <n v="625"/>
    <s v="Credit card"/>
    <n v="14.375"/>
  </r>
  <r>
    <d v="2024-12-05T00:00:00"/>
    <s v="BK-4710-8"/>
    <x v="2"/>
    <s v="McKinney"/>
    <x v="1"/>
    <s v="ATP"/>
    <n v="28"/>
    <n v="59"/>
    <n v="1652"/>
    <s v="Cash"/>
    <n v="46.256"/>
  </r>
  <r>
    <d v="2024-12-06T00:00:00"/>
    <s v="DK-1730-9"/>
    <x v="7"/>
    <s v="Coppell"/>
    <x v="5"/>
    <s v="HTE"/>
    <n v="40"/>
    <n v="55"/>
    <n v="2200"/>
    <s v="Gift card"/>
    <n v="63.8"/>
  </r>
  <r>
    <d v="2024-12-06T00:00:00"/>
    <s v="DK-3612-9"/>
    <x v="4"/>
    <s v="Coppell"/>
    <x v="4"/>
    <s v="TSQ"/>
    <n v="11"/>
    <n v="46"/>
    <n v="506"/>
    <s v="Gift card"/>
    <n v="11.132"/>
  </r>
  <r>
    <d v="2024-12-06T00:00:00"/>
    <s v="DK-2595-9"/>
    <x v="8"/>
    <s v="Allen"/>
    <x v="4"/>
    <s v="SMH"/>
    <n v="21"/>
    <n v="49"/>
    <n v="1029"/>
    <s v="Gift card"/>
    <n v="29.841000000000001"/>
  </r>
  <r>
    <d v="2024-12-06T00:00:00"/>
    <s v="AK-8628-9"/>
    <x v="0"/>
    <s v="Dallas"/>
    <x v="6"/>
    <s v="HTE"/>
    <n v="12"/>
    <n v="28"/>
    <n v="336"/>
    <s v="Cash"/>
    <n v="7.056"/>
  </r>
  <r>
    <d v="2024-12-06T00:00:00"/>
    <s v="HK-5930-9"/>
    <x v="6"/>
    <s v="Dallas"/>
    <x v="6"/>
    <s v="TSQ"/>
    <n v="11"/>
    <n v="37"/>
    <n v="407"/>
    <s v="Credit card"/>
    <n v="12.21"/>
  </r>
  <r>
    <d v="2024-12-06T00:00:00"/>
    <s v="CK-7352-9"/>
    <x v="5"/>
    <s v="Dallas"/>
    <x v="4"/>
    <s v="PFF"/>
    <n v="51"/>
    <n v="31"/>
    <n v="1581"/>
    <s v="Credit card"/>
    <n v="42.686999999999998"/>
  </r>
  <r>
    <d v="2024-12-07T00:00:00"/>
    <s v="B-3675-10"/>
    <x v="4"/>
    <s v="Plano"/>
    <x v="3"/>
    <s v="PFF"/>
    <n v="35"/>
    <n v="54"/>
    <n v="1890"/>
    <s v="Credit card"/>
    <n v="47.25"/>
  </r>
  <r>
    <d v="2024-12-07T00:00:00"/>
    <s v="H-8713-10"/>
    <x v="3"/>
    <s v="McKinney"/>
    <x v="4"/>
    <s v="SMH"/>
    <n v="34"/>
    <n v="39"/>
    <n v="1326"/>
    <s v="Credit card"/>
    <n v="29.172000000000001"/>
  </r>
  <r>
    <d v="2024-12-07T00:00:00"/>
    <s v="F-8198-10"/>
    <x v="8"/>
    <s v="Plano"/>
    <x v="0"/>
    <s v="SAT"/>
    <n v="18"/>
    <n v="42"/>
    <n v="756"/>
    <s v="Credit card"/>
    <n v="22.68"/>
  </r>
  <r>
    <d v="2024-12-08T00:00:00"/>
    <s v="C-4387-11"/>
    <x v="6"/>
    <s v="Plano"/>
    <x v="5"/>
    <s v="HNP"/>
    <n v="35"/>
    <n v="55"/>
    <n v="1925"/>
    <s v="Check"/>
    <n v="51.975000000000001"/>
  </r>
  <r>
    <d v="2024-12-09T00:00:00"/>
    <s v="E-5361-12"/>
    <x v="5"/>
    <s v="Plano"/>
    <x v="1"/>
    <s v="HTE"/>
    <n v="27"/>
    <n v="56"/>
    <n v="1512"/>
    <s v="Cash"/>
    <n v="31.751999999999999"/>
  </r>
  <r>
    <d v="2024-12-09T00:00:00"/>
    <s v="E-4155-12"/>
    <x v="2"/>
    <s v="Frisco"/>
    <x v="6"/>
    <s v="ATP"/>
    <n v="24"/>
    <n v="50"/>
    <n v="1200"/>
    <s v="Gift card"/>
    <n v="33.6"/>
  </r>
  <r>
    <d v="2024-12-09T00:00:00"/>
    <s v="E-2219-12"/>
    <x v="5"/>
    <s v="Plano"/>
    <x v="3"/>
    <s v="KQR"/>
    <n v="50"/>
    <n v="35"/>
    <n v="1750"/>
    <s v="Cash"/>
    <n v="47.25"/>
  </r>
  <r>
    <d v="2024-12-09T00:00:00"/>
    <s v="C-3280-12"/>
    <x v="8"/>
    <s v="Dallas"/>
    <x v="1"/>
    <s v="ARP"/>
    <n v="57"/>
    <n v="30"/>
    <n v="1710"/>
    <s v="Gift card"/>
    <n v="35.909999999999997"/>
  </r>
  <r>
    <d v="2024-12-09T00:00:00"/>
    <s v="C-8638-12"/>
    <x v="4"/>
    <s v="Richardson"/>
    <x v="3"/>
    <s v="HNP"/>
    <n v="12"/>
    <n v="40"/>
    <n v="480"/>
    <s v="Cash"/>
    <n v="10.56"/>
  </r>
  <r>
    <d v="2024-12-09T00:00:00"/>
    <s v="A-9567-12"/>
    <x v="0"/>
    <s v="Coppell"/>
    <x v="0"/>
    <s v="APS"/>
    <n v="34"/>
    <n v="25"/>
    <n v="850"/>
    <s v="Gift card"/>
    <n v="18.7"/>
  </r>
  <r>
    <d v="2024-12-09T00:00:00"/>
    <s v="A-1148-12"/>
    <x v="4"/>
    <s v="Plano"/>
    <x v="0"/>
    <s v="PKH"/>
    <n v="12"/>
    <n v="55"/>
    <n v="660"/>
    <s v="Credit card"/>
    <n v="18.48"/>
  </r>
  <r>
    <d v="2024-12-09T00:00:00"/>
    <s v="A-1201-12"/>
    <x v="5"/>
    <s v="Frisco"/>
    <x v="0"/>
    <s v="PFF"/>
    <n v="46"/>
    <n v="55"/>
    <n v="2530"/>
    <s v="Check"/>
    <n v="55.66"/>
  </r>
  <r>
    <d v="2024-12-09T00:00:00"/>
    <s v="D-4860-12"/>
    <x v="4"/>
    <s v="Dallas"/>
    <x v="6"/>
    <s v="JKA"/>
    <n v="40"/>
    <n v="40"/>
    <n v="1600"/>
    <s v="Credit card"/>
    <n v="44.8"/>
  </r>
  <r>
    <d v="2024-12-09T00:00:00"/>
    <s v="C-9259-12"/>
    <x v="0"/>
    <s v="Coppell"/>
    <x v="1"/>
    <s v="SAT"/>
    <n v="34"/>
    <n v="40"/>
    <n v="1360"/>
    <s v="Credit card"/>
    <n v="36.72"/>
  </r>
  <r>
    <d v="2024-12-09T00:00:00"/>
    <s v="A-2472-12"/>
    <x v="7"/>
    <s v="Plano"/>
    <x v="1"/>
    <s v="JKA"/>
    <n v="11"/>
    <n v="56"/>
    <n v="616"/>
    <s v="Credit card"/>
    <n v="17.248000000000001"/>
  </r>
  <r>
    <d v="2024-12-09T00:00:00"/>
    <s v="A-8775-12"/>
    <x v="8"/>
    <s v="Dallas"/>
    <x v="0"/>
    <s v="PKH"/>
    <n v="56"/>
    <n v="30"/>
    <n v="1680"/>
    <s v="Cash"/>
    <n v="40.32"/>
  </r>
  <r>
    <d v="2024-12-09T00:00:00"/>
    <s v="G-9909-12"/>
    <x v="6"/>
    <s v="Frisco"/>
    <x v="0"/>
    <s v="JKA"/>
    <n v="28"/>
    <n v="38"/>
    <n v="1064"/>
    <s v="Credit card"/>
    <n v="22.344000000000001"/>
  </r>
  <r>
    <d v="2024-12-09T00:00:00"/>
    <s v="D-9403-12"/>
    <x v="3"/>
    <s v="Frisco"/>
    <x v="2"/>
    <s v="HTE"/>
    <n v="24"/>
    <n v="39"/>
    <n v="936"/>
    <s v="Credit card"/>
    <n v="28.08"/>
  </r>
  <r>
    <d v="2024-12-09T00:00:00"/>
    <s v="G-5751-12"/>
    <x v="2"/>
    <s v="Dallas"/>
    <x v="0"/>
    <s v="JKA"/>
    <n v="44"/>
    <n v="21"/>
    <n v="924"/>
    <s v="Gift card"/>
    <n v="22.175999999999998"/>
  </r>
  <r>
    <d v="2024-12-09T00:00:00"/>
    <s v="D-6412-12"/>
    <x v="3"/>
    <s v="Dallas"/>
    <x v="1"/>
    <s v="APS"/>
    <n v="47"/>
    <n v="49"/>
    <n v="2303"/>
    <s v="Cash"/>
    <n v="59.878"/>
  </r>
  <r>
    <d v="2024-12-09T00:00:00"/>
    <s v="E-5475-12"/>
    <x v="0"/>
    <s v="Allen"/>
    <x v="6"/>
    <s v="HNP"/>
    <n v="42"/>
    <n v="58"/>
    <n v="2436"/>
    <s v="Gift card"/>
    <n v="63.335999999999999"/>
  </r>
  <r>
    <d v="2024-12-09T00:00:00"/>
    <s v="H-9360-12"/>
    <x v="5"/>
    <s v="Plano"/>
    <x v="3"/>
    <s v="APS"/>
    <n v="53"/>
    <n v="57"/>
    <n v="3021"/>
    <s v="Credit card"/>
    <n v="75.525000000000006"/>
  </r>
  <r>
    <d v="2024-12-09T00:00:00"/>
    <s v="E-2596-12"/>
    <x v="5"/>
    <s v="Plano"/>
    <x v="1"/>
    <s v="ZAA"/>
    <n v="56"/>
    <n v="57"/>
    <n v="3192"/>
    <s v="Credit card"/>
    <n v="86.183999999999997"/>
  </r>
  <r>
    <d v="2024-12-09T00:00:00"/>
    <s v="G-9668-12"/>
    <x v="1"/>
    <s v="Richardson"/>
    <x v="6"/>
    <s v="TSA"/>
    <n v="46"/>
    <n v="21"/>
    <n v="966"/>
    <s v="Gift card"/>
    <n v="20.286000000000001"/>
  </r>
  <r>
    <d v="2024-12-09T00:00:00"/>
    <s v="G-1266-12"/>
    <x v="1"/>
    <s v="Plano"/>
    <x v="1"/>
    <s v="PFF"/>
    <n v="12"/>
    <n v="40"/>
    <n v="480"/>
    <s v="Credit card"/>
    <n v="11.04"/>
  </r>
  <r>
    <d v="2024-12-09T00:00:00"/>
    <s v="G-9599-12"/>
    <x v="6"/>
    <s v="Coppell"/>
    <x v="2"/>
    <s v="SAT"/>
    <n v="45"/>
    <n v="47"/>
    <n v="2115"/>
    <s v="Credit card"/>
    <n v="52.875"/>
  </r>
  <r>
    <d v="2024-12-09T00:00:00"/>
    <s v="C-7233-12"/>
    <x v="6"/>
    <s v="Plano"/>
    <x v="3"/>
    <s v="PKH"/>
    <n v="58"/>
    <n v="39"/>
    <n v="2262"/>
    <s v="Credit card"/>
    <n v="65.597999999999999"/>
  </r>
  <r>
    <d v="2024-12-09T00:00:00"/>
    <s v="H-4672-12"/>
    <x v="0"/>
    <s v="Dallas"/>
    <x v="4"/>
    <s v="TSQ"/>
    <n v="53"/>
    <n v="53"/>
    <n v="2809"/>
    <s v="Credit card"/>
    <n v="81.460999999999999"/>
  </r>
  <r>
    <d v="2024-12-09T00:00:00"/>
    <s v="G-3836-12"/>
    <x v="7"/>
    <s v="Richardson"/>
    <x v="0"/>
    <s v="TSQ"/>
    <n v="56"/>
    <n v="54"/>
    <n v="3024"/>
    <s v="Credit card"/>
    <n v="72.575999999999993"/>
  </r>
  <r>
    <d v="2024-12-09T00:00:00"/>
    <s v="H-2948-12"/>
    <x v="4"/>
    <s v="Dallas"/>
    <x v="4"/>
    <s v="APS"/>
    <n v="56"/>
    <n v="21"/>
    <n v="1176"/>
    <s v="Credit card"/>
    <n v="23.52"/>
  </r>
  <r>
    <d v="2024-12-09T00:00:00"/>
    <s v="C-4318-12"/>
    <x v="0"/>
    <s v="McKinney"/>
    <x v="1"/>
    <s v="TAP"/>
    <n v="47"/>
    <n v="57"/>
    <n v="2679"/>
    <s v="Check"/>
    <n v="80.37"/>
  </r>
  <r>
    <d v="2024-12-09T00:00:00"/>
    <s v="G-4676-12"/>
    <x v="7"/>
    <s v="McKinney"/>
    <x v="4"/>
    <s v="TSA"/>
    <n v="57"/>
    <n v="49"/>
    <n v="2793"/>
    <s v="Check"/>
    <n v="83.79"/>
  </r>
  <r>
    <d v="2024-12-09T00:00:00"/>
    <s v="D-3465-12"/>
    <x v="4"/>
    <s v="Richardson"/>
    <x v="3"/>
    <s v="TAP"/>
    <n v="59"/>
    <n v="41"/>
    <n v="2419"/>
    <s v="Credit card"/>
    <n v="53.218000000000004"/>
  </r>
  <r>
    <d v="2024-12-09T00:00:00"/>
    <s v="E-1749-12"/>
    <x v="6"/>
    <s v="Allen"/>
    <x v="0"/>
    <s v="HTE"/>
    <n v="21"/>
    <n v="25"/>
    <n v="525"/>
    <s v="Cash"/>
    <n v="15.75"/>
  </r>
  <r>
    <d v="2024-12-09T00:00:00"/>
    <s v="C-2684-12"/>
    <x v="5"/>
    <s v="McKinney"/>
    <x v="2"/>
    <s v="TSA"/>
    <n v="14"/>
    <n v="36"/>
    <n v="504"/>
    <s v="Gift card"/>
    <n v="14.616"/>
  </r>
  <r>
    <d v="2024-12-09T00:00:00"/>
    <s v="D-4093-12"/>
    <x v="0"/>
    <s v="Plano"/>
    <x v="4"/>
    <s v="HNP"/>
    <n v="11"/>
    <n v="20"/>
    <n v="220"/>
    <s v="Credit card"/>
    <n v="5.28"/>
  </r>
  <r>
    <d v="2024-12-09T00:00:00"/>
    <s v="G-8626-12"/>
    <x v="7"/>
    <s v="Dallas"/>
    <x v="0"/>
    <s v="TSA"/>
    <n v="30"/>
    <n v="51"/>
    <n v="1530"/>
    <s v="Cash"/>
    <n v="39.78"/>
  </r>
  <r>
    <d v="2024-12-09T00:00:00"/>
    <s v="B-1136-12"/>
    <x v="2"/>
    <s v="McKinney"/>
    <x v="6"/>
    <s v="TAP"/>
    <n v="16"/>
    <n v="60"/>
    <n v="960"/>
    <s v="Credit card"/>
    <n v="28.8"/>
  </r>
  <r>
    <d v="2024-12-09T00:00:00"/>
    <s v="F-2112-12"/>
    <x v="4"/>
    <s v="Richardson"/>
    <x v="5"/>
    <s v="ATP"/>
    <n v="15"/>
    <n v="35"/>
    <n v="525"/>
    <s v="Credit card"/>
    <n v="13.65"/>
  </r>
  <r>
    <d v="2024-12-09T00:00:00"/>
    <s v="B-9730-12"/>
    <x v="3"/>
    <s v="Allen"/>
    <x v="1"/>
    <s v="HNP"/>
    <n v="18"/>
    <n v="57"/>
    <n v="1026"/>
    <s v="Credit card"/>
    <n v="23.597999999999999"/>
  </r>
  <r>
    <d v="2024-12-10T00:00:00"/>
    <s v="A-7986-13"/>
    <x v="4"/>
    <s v="Dallas"/>
    <x v="6"/>
    <s v="ARP"/>
    <n v="37"/>
    <n v="57"/>
    <n v="2109"/>
    <s v="Gift card"/>
    <n v="52.725000000000001"/>
  </r>
  <r>
    <d v="2024-12-10T00:00:00"/>
    <s v="G-8485-13"/>
    <x v="6"/>
    <s v="Dallas"/>
    <x v="0"/>
    <s v="HTE"/>
    <n v="17"/>
    <n v="43"/>
    <n v="731"/>
    <s v="Credit card"/>
    <n v="16.082000000000001"/>
  </r>
  <r>
    <d v="2024-12-10T00:00:00"/>
    <s v="E-8570-13"/>
    <x v="7"/>
    <s v="Coppell"/>
    <x v="5"/>
    <s v="HNP"/>
    <n v="13"/>
    <n v="33"/>
    <n v="429"/>
    <s v="Credit card"/>
    <n v="9.8670000000000009"/>
  </r>
  <r>
    <d v="2024-12-11T00:00:00"/>
    <s v="D-1705-14"/>
    <x v="4"/>
    <s v="Plano"/>
    <x v="1"/>
    <s v="ARP"/>
    <n v="33"/>
    <n v="31"/>
    <n v="1023"/>
    <s v="Check"/>
    <n v="29.667000000000002"/>
  </r>
  <r>
    <d v="2024-12-11T00:00:00"/>
    <s v="D-9393-14"/>
    <x v="0"/>
    <s v="Dallas"/>
    <x v="1"/>
    <s v="SAT"/>
    <n v="44"/>
    <n v="25"/>
    <n v="1100"/>
    <s v="Credit card"/>
    <n v="23.1"/>
  </r>
  <r>
    <d v="2024-12-11T00:00:00"/>
    <s v="B-1320-14"/>
    <x v="4"/>
    <s v="Plano"/>
    <x v="3"/>
    <s v="JKA"/>
    <n v="42"/>
    <n v="48"/>
    <n v="2016"/>
    <s v="Cash"/>
    <n v="54.432000000000002"/>
  </r>
  <r>
    <d v="2024-12-11T00:00:00"/>
    <s v="H-6692-14"/>
    <x v="2"/>
    <s v="Dallas"/>
    <x v="6"/>
    <s v="TSA"/>
    <n v="43"/>
    <n v="46"/>
    <n v="1978"/>
    <s v="Gift card"/>
    <n v="55.384"/>
  </r>
  <r>
    <d v="2024-12-11T00:00:00"/>
    <s v="B-7080-14"/>
    <x v="0"/>
    <s v="McKinney"/>
    <x v="6"/>
    <s v="JKA"/>
    <n v="29"/>
    <n v="46"/>
    <n v="1334"/>
    <s v="Gift card"/>
    <n v="38.686"/>
  </r>
  <r>
    <d v="2024-12-11T00:00:00"/>
    <s v="G-5332-14"/>
    <x v="1"/>
    <s v="McKinney"/>
    <x v="0"/>
    <s v="HNP"/>
    <n v="21"/>
    <n v="29"/>
    <n v="609"/>
    <s v="Gift card"/>
    <n v="15.834"/>
  </r>
  <r>
    <d v="2024-12-11T00:00:00"/>
    <s v="A-7743-14"/>
    <x v="1"/>
    <s v="Dallas"/>
    <x v="2"/>
    <s v="TSQ"/>
    <n v="41"/>
    <n v="26"/>
    <n v="1066"/>
    <s v="Credit card"/>
    <n v="21.32"/>
  </r>
  <r>
    <d v="2024-12-11T00:00:00"/>
    <s v="G-4829-14"/>
    <x v="4"/>
    <s v="Allen"/>
    <x v="2"/>
    <s v="JKA"/>
    <n v="47"/>
    <n v="54"/>
    <n v="2538"/>
    <s v="Credit card"/>
    <n v="58.374000000000002"/>
  </r>
  <r>
    <d v="2024-12-11T00:00:00"/>
    <s v="F-8036-14"/>
    <x v="7"/>
    <s v="Dallas"/>
    <x v="0"/>
    <s v="KQR"/>
    <n v="22"/>
    <n v="31"/>
    <n v="682"/>
    <s v="Cash"/>
    <n v="15.004"/>
  </r>
  <r>
    <d v="2024-12-11T00:00:00"/>
    <s v="F-4531-14"/>
    <x v="6"/>
    <s v="Dallas"/>
    <x v="6"/>
    <s v="JKA"/>
    <n v="13"/>
    <n v="42"/>
    <n v="546"/>
    <s v="Credit card"/>
    <n v="12.558"/>
  </r>
  <r>
    <d v="2024-12-11T00:00:00"/>
    <s v="A-5722-14"/>
    <x v="0"/>
    <s v="Plano"/>
    <x v="3"/>
    <s v="SMH"/>
    <n v="41"/>
    <n v="53"/>
    <n v="2173"/>
    <s v="Cash"/>
    <n v="52.152000000000001"/>
  </r>
  <r>
    <d v="2024-12-11T00:00:00"/>
    <s v="C-4409-14"/>
    <x v="8"/>
    <s v="Plano"/>
    <x v="4"/>
    <s v="TAP"/>
    <n v="25"/>
    <n v="23"/>
    <n v="575"/>
    <s v="Cash"/>
    <n v="16.100000000000001"/>
  </r>
  <r>
    <d v="2024-12-11T00:00:00"/>
    <s v="A-5500-14"/>
    <x v="7"/>
    <s v="Coppell"/>
    <x v="0"/>
    <s v="MSP"/>
    <n v="30"/>
    <n v="31"/>
    <n v="930"/>
    <s v="Credit card"/>
    <n v="18.600000000000001"/>
  </r>
  <r>
    <d v="2024-12-11T00:00:00"/>
    <s v="G-2546-14"/>
    <x v="5"/>
    <s v="Coppell"/>
    <x v="1"/>
    <s v="TSA"/>
    <n v="45"/>
    <n v="24"/>
    <n v="1080"/>
    <s v="Credit card"/>
    <n v="29.16"/>
  </r>
  <r>
    <d v="2024-12-11T00:00:00"/>
    <s v="E-8183-14"/>
    <x v="5"/>
    <s v="Dallas"/>
    <x v="4"/>
    <s v="ATP"/>
    <n v="29"/>
    <n v="51"/>
    <n v="1479"/>
    <s v="Cash"/>
    <n v="35.496000000000002"/>
  </r>
  <r>
    <d v="2024-12-11T00:00:00"/>
    <s v="G-1739-14"/>
    <x v="7"/>
    <s v="Plano"/>
    <x v="0"/>
    <s v="TSQ"/>
    <n v="54"/>
    <n v="44"/>
    <n v="2376"/>
    <s v="Credit card"/>
    <n v="68.903999999999996"/>
  </r>
  <r>
    <d v="2024-12-11T00:00:00"/>
    <s v="D-9746-14"/>
    <x v="8"/>
    <s v="Dallas"/>
    <x v="2"/>
    <s v="PKH"/>
    <n v="43"/>
    <n v="48"/>
    <n v="2064"/>
    <s v="Credit card"/>
    <n v="49.536000000000001"/>
  </r>
  <r>
    <d v="2024-12-11T00:00:00"/>
    <s v="F-1754-14"/>
    <x v="1"/>
    <s v="Allen"/>
    <x v="6"/>
    <s v="ATP"/>
    <n v="29"/>
    <n v="39"/>
    <n v="1131"/>
    <s v="Check"/>
    <n v="30.536999999999999"/>
  </r>
  <r>
    <d v="2024-12-11T00:00:00"/>
    <s v="B-1916-14"/>
    <x v="1"/>
    <s v="McKinney"/>
    <x v="3"/>
    <s v="SAT"/>
    <n v="47"/>
    <n v="56"/>
    <n v="2632"/>
    <s v="Gift card"/>
    <n v="68.432000000000002"/>
  </r>
  <r>
    <d v="2024-12-11T00:00:00"/>
    <s v="F-9699-14"/>
    <x v="2"/>
    <s v="Plano"/>
    <x v="0"/>
    <s v="MSP"/>
    <n v="18"/>
    <n v="52"/>
    <n v="936"/>
    <s v="Cash"/>
    <n v="25.271999999999998"/>
  </r>
  <r>
    <d v="2024-12-11T00:00:00"/>
    <s v="D-6042-14"/>
    <x v="8"/>
    <s v="McKinney"/>
    <x v="2"/>
    <s v="ATP"/>
    <n v="27"/>
    <n v="28"/>
    <n v="756"/>
    <s v="Credit card"/>
    <n v="18.143999999999998"/>
  </r>
  <r>
    <d v="2024-12-12T00:00:00"/>
    <s v="A-1671-15"/>
    <x v="8"/>
    <s v="Dallas"/>
    <x v="2"/>
    <s v="ATP"/>
    <n v="34"/>
    <n v="27"/>
    <n v="918"/>
    <s v="Check"/>
    <n v="19.277999999999999"/>
  </r>
  <r>
    <d v="2024-12-13T00:00:00"/>
    <s v="D-3169-16"/>
    <x v="3"/>
    <s v="McKinney"/>
    <x v="1"/>
    <s v="ARP"/>
    <n v="28"/>
    <n v="49"/>
    <n v="1372"/>
    <s v="Check"/>
    <n v="35.671999999999997"/>
  </r>
  <r>
    <d v="2024-12-13T00:00:00"/>
    <s v="B-7720-16"/>
    <x v="5"/>
    <s v="Dallas"/>
    <x v="0"/>
    <s v="AKJ"/>
    <n v="21"/>
    <n v="56"/>
    <n v="1176"/>
    <s v="Check"/>
    <n v="25.872"/>
  </r>
  <r>
    <d v="2024-12-13T00:00:00"/>
    <s v="B-5804-16"/>
    <x v="2"/>
    <s v="McKinney"/>
    <x v="1"/>
    <s v="MSP"/>
    <n v="47"/>
    <n v="45"/>
    <n v="2115"/>
    <s v="Cash"/>
    <n v="44.414999999999999"/>
  </r>
  <r>
    <d v="2024-12-13T00:00:00"/>
    <s v="B-1985-16"/>
    <x v="7"/>
    <s v="Richardson"/>
    <x v="3"/>
    <s v="PFF"/>
    <n v="24"/>
    <n v="33"/>
    <n v="792"/>
    <s v="Gift card"/>
    <n v="17.423999999999999"/>
  </r>
  <r>
    <d v="2024-12-13T00:00:00"/>
    <s v="E-7257-16"/>
    <x v="1"/>
    <s v="Dallas"/>
    <x v="2"/>
    <s v="AKJ"/>
    <n v="28"/>
    <n v="39"/>
    <n v="1092"/>
    <s v="Credit card"/>
    <n v="27.3"/>
  </r>
  <r>
    <d v="2024-12-13T00:00:00"/>
    <s v="G-6190-16"/>
    <x v="7"/>
    <s v="Plano"/>
    <x v="1"/>
    <s v="HNP"/>
    <n v="11"/>
    <n v="24"/>
    <n v="264"/>
    <s v="Check"/>
    <n v="6.6"/>
  </r>
  <r>
    <d v="2024-12-13T00:00:00"/>
    <s v="C-7081-16"/>
    <x v="2"/>
    <s v="Dallas"/>
    <x v="0"/>
    <s v="JKA"/>
    <n v="13"/>
    <n v="46"/>
    <n v="598"/>
    <s v="Gift card"/>
    <n v="12.558"/>
  </r>
  <r>
    <d v="2024-12-13T00:00:00"/>
    <s v="H-2229-16"/>
    <x v="2"/>
    <s v="Allen"/>
    <x v="3"/>
    <s v="PKH"/>
    <n v="11"/>
    <n v="41"/>
    <n v="451"/>
    <s v="Gift card"/>
    <n v="9.4710000000000001"/>
  </r>
  <r>
    <d v="2024-12-13T00:00:00"/>
    <s v="C-7288-16"/>
    <x v="4"/>
    <s v="Frisco"/>
    <x v="6"/>
    <s v="ATP"/>
    <n v="43"/>
    <n v="25"/>
    <n v="1075"/>
    <s v="Credit card"/>
    <n v="22.574999999999999"/>
  </r>
  <r>
    <d v="2024-12-13T00:00:00"/>
    <s v="E-5027-16"/>
    <x v="1"/>
    <s v="Plano"/>
    <x v="3"/>
    <s v="TAP"/>
    <n v="10"/>
    <n v="53"/>
    <n v="530"/>
    <s v="Check"/>
    <n v="11.66"/>
  </r>
  <r>
    <d v="2024-12-13T00:00:00"/>
    <s v="A-9615-16"/>
    <x v="7"/>
    <s v="Allen"/>
    <x v="6"/>
    <s v="ARP"/>
    <n v="18"/>
    <n v="42"/>
    <n v="756"/>
    <s v="Cash"/>
    <n v="21.167999999999999"/>
  </r>
  <r>
    <d v="2024-12-13T00:00:00"/>
    <s v="H-8458-16"/>
    <x v="5"/>
    <s v="Coppell"/>
    <x v="6"/>
    <s v="PKH"/>
    <n v="20"/>
    <n v="53"/>
    <n v="1060"/>
    <s v="Cash"/>
    <n v="25.44"/>
  </r>
  <r>
    <d v="2024-12-14T00:00:00"/>
    <s v="B-6281-17"/>
    <x v="6"/>
    <s v="Allen"/>
    <x v="5"/>
    <s v="TAP"/>
    <n v="22"/>
    <n v="29"/>
    <n v="638"/>
    <s v="Credit card"/>
    <n v="14.036"/>
  </r>
  <r>
    <d v="2024-12-14T00:00:00"/>
    <s v="B-3751-17"/>
    <x v="5"/>
    <s v="Richardson"/>
    <x v="4"/>
    <s v="AKJ"/>
    <n v="42"/>
    <n v="31"/>
    <n v="1302"/>
    <s v="Credit card"/>
    <n v="36.456000000000003"/>
  </r>
  <r>
    <d v="2024-12-14T00:00:00"/>
    <s v="E-6165-17"/>
    <x v="2"/>
    <s v="Frisco"/>
    <x v="3"/>
    <s v="TSQ"/>
    <n v="39"/>
    <n v="23"/>
    <n v="897"/>
    <s v="Credit card"/>
    <n v="20.631"/>
  </r>
  <r>
    <d v="2024-12-14T00:00:00"/>
    <s v="F-8649-17"/>
    <x v="6"/>
    <s v="Richardson"/>
    <x v="4"/>
    <s v="SAT"/>
    <n v="13"/>
    <n v="31"/>
    <n v="403"/>
    <s v="Credit card"/>
    <n v="12.09"/>
  </r>
  <r>
    <d v="2024-12-15T00:00:00"/>
    <s v="G-3437-18"/>
    <x v="8"/>
    <s v="McKinney"/>
    <x v="1"/>
    <s v="ZAA"/>
    <n v="51"/>
    <n v="55"/>
    <n v="2805"/>
    <s v="Gift card"/>
    <n v="78.540000000000006"/>
  </r>
  <r>
    <d v="2024-12-15T00:00:00"/>
    <s v="B-7095-18"/>
    <x v="4"/>
    <s v="Dallas"/>
    <x v="3"/>
    <s v="KQR"/>
    <n v="35"/>
    <n v="51"/>
    <n v="1785"/>
    <s v="Cash"/>
    <n v="41.055"/>
  </r>
  <r>
    <d v="2024-12-15T00:00:00"/>
    <s v="H-6047-18"/>
    <x v="0"/>
    <s v="Dallas"/>
    <x v="4"/>
    <s v="ATP"/>
    <n v="11"/>
    <n v="46"/>
    <n v="506"/>
    <s v="Gift card"/>
    <n v="10.119999999999999"/>
  </r>
  <r>
    <d v="2024-12-15T00:00:00"/>
    <s v="D-3700-18"/>
    <x v="8"/>
    <s v="Richardson"/>
    <x v="0"/>
    <s v="SAT"/>
    <n v="31"/>
    <n v="57"/>
    <n v="1767"/>
    <s v="Gift card"/>
    <n v="44.174999999999997"/>
  </r>
  <r>
    <d v="2024-12-15T00:00:00"/>
    <s v="F-2500-18"/>
    <x v="0"/>
    <s v="Richardson"/>
    <x v="4"/>
    <s v="TAP"/>
    <n v="27"/>
    <n v="23"/>
    <n v="621"/>
    <s v="Credit card"/>
    <n v="12.42"/>
  </r>
  <r>
    <d v="2024-12-15T00:00:00"/>
    <s v="B-6103-18"/>
    <x v="5"/>
    <s v="Coppell"/>
    <x v="6"/>
    <s v="PFF"/>
    <n v="43"/>
    <n v="55"/>
    <n v="2365"/>
    <s v="Gift card"/>
    <n v="66.22"/>
  </r>
  <r>
    <d v="2024-12-15T00:00:00"/>
    <s v="C-2934-18"/>
    <x v="0"/>
    <s v="Richardson"/>
    <x v="4"/>
    <s v="ARP"/>
    <n v="34"/>
    <n v="21"/>
    <n v="714"/>
    <s v="Credit card"/>
    <n v="17.850000000000001"/>
  </r>
  <r>
    <d v="2024-12-16T00:00:00"/>
    <s v="B-9870-19"/>
    <x v="3"/>
    <s v="Allen"/>
    <x v="2"/>
    <s v="JKA"/>
    <n v="28"/>
    <n v="29"/>
    <n v="812"/>
    <s v="Credit card"/>
    <n v="19.488"/>
  </r>
  <r>
    <d v="2024-12-16T00:00:00"/>
    <s v="C-3244-19"/>
    <x v="8"/>
    <s v="Frisco"/>
    <x v="0"/>
    <s v="HTE"/>
    <n v="26"/>
    <n v="20"/>
    <n v="520"/>
    <s v="Cash"/>
    <n v="14.56"/>
  </r>
  <r>
    <d v="2024-12-17T00:00:00"/>
    <s v="E-7335-20"/>
    <x v="7"/>
    <s v="Richardson"/>
    <x v="1"/>
    <s v="HNP"/>
    <n v="18"/>
    <n v="28"/>
    <n v="504"/>
    <s v="Cash"/>
    <n v="10.584"/>
  </r>
  <r>
    <d v="2024-12-17T00:00:00"/>
    <s v="B-4331-20"/>
    <x v="0"/>
    <s v="Dallas"/>
    <x v="4"/>
    <s v="PKH"/>
    <n v="33"/>
    <n v="57"/>
    <n v="1881"/>
    <s v="Credit card"/>
    <n v="54.548999999999999"/>
  </r>
  <r>
    <d v="2024-12-17T00:00:00"/>
    <s v="B-6254-20"/>
    <x v="5"/>
    <s v="Dallas"/>
    <x v="1"/>
    <s v="TSQ"/>
    <n v="28"/>
    <n v="37"/>
    <n v="1036"/>
    <s v="Credit card"/>
    <n v="26.936"/>
  </r>
  <r>
    <d v="2024-12-18T00:00:00"/>
    <s v="H-9202-21"/>
    <x v="4"/>
    <s v="Coppell"/>
    <x v="0"/>
    <s v="KQR"/>
    <n v="13"/>
    <n v="22"/>
    <n v="286"/>
    <s v="Cash"/>
    <n v="7.4359999999999999"/>
  </r>
  <r>
    <d v="2024-12-19T00:00:00"/>
    <s v="E-3239-22"/>
    <x v="6"/>
    <s v="Richardson"/>
    <x v="2"/>
    <s v="JKA"/>
    <n v="56"/>
    <n v="57"/>
    <n v="3192"/>
    <s v="Credit card"/>
    <n v="67.031999999999996"/>
  </r>
  <r>
    <d v="2024-12-19T00:00:00"/>
    <s v="G-3277-22"/>
    <x v="1"/>
    <s v="Dallas"/>
    <x v="3"/>
    <s v="ZAA"/>
    <n v="46"/>
    <n v="58"/>
    <n v="2668"/>
    <s v="Credit card"/>
    <n v="80.040000000000006"/>
  </r>
  <r>
    <d v="2024-12-19T00:00:00"/>
    <s v="E-7698-22"/>
    <x v="4"/>
    <s v="Allen"/>
    <x v="4"/>
    <s v="HNP"/>
    <n v="22"/>
    <n v="47"/>
    <n v="1034"/>
    <s v="Credit card"/>
    <n v="31.02"/>
  </r>
  <r>
    <d v="2024-12-19T00:00:00"/>
    <s v="F-5076-22"/>
    <x v="1"/>
    <s v="McKinney"/>
    <x v="4"/>
    <s v="MSP"/>
    <n v="32"/>
    <n v="26"/>
    <n v="832"/>
    <s v="Credit card"/>
    <n v="17.472000000000001"/>
  </r>
  <r>
    <d v="2024-12-19T00:00:00"/>
    <s v="G-7802-22"/>
    <x v="4"/>
    <s v="McKinney"/>
    <x v="5"/>
    <s v="ARP"/>
    <n v="20"/>
    <n v="60"/>
    <n v="1200"/>
    <s v="Gift card"/>
    <n v="31.2"/>
  </r>
  <r>
    <d v="2024-12-20T00:00:00"/>
    <s v="E-4040-23"/>
    <x v="6"/>
    <s v="Richardson"/>
    <x v="4"/>
    <s v="ARP"/>
    <n v="48"/>
    <n v="59"/>
    <n v="2832"/>
    <s v="Gift card"/>
    <n v="65.135999999999996"/>
  </r>
  <r>
    <d v="2024-12-20T00:00:00"/>
    <s v="E-9857-23"/>
    <x v="8"/>
    <s v="Dallas"/>
    <x v="4"/>
    <s v="KQR"/>
    <n v="57"/>
    <n v="26"/>
    <n v="1482"/>
    <s v="Credit card"/>
    <n v="34.085999999999999"/>
  </r>
  <r>
    <d v="2024-12-20T00:00:00"/>
    <s v="C-7949-23"/>
    <x v="4"/>
    <s v="Dallas"/>
    <x v="4"/>
    <s v="APS"/>
    <n v="45"/>
    <n v="42"/>
    <n v="1890"/>
    <s v="Credit card"/>
    <n v="49.14"/>
  </r>
  <r>
    <d v="2024-12-20T00:00:00"/>
    <s v="B-4128-23"/>
    <x v="0"/>
    <s v="Dallas"/>
    <x v="2"/>
    <s v="SMH"/>
    <n v="53"/>
    <n v="26"/>
    <n v="1378"/>
    <s v="Credit card"/>
    <n v="30.315999999999999"/>
  </r>
  <r>
    <d v="2024-12-20T00:00:00"/>
    <s v="H-3091-23"/>
    <x v="5"/>
    <s v="Allen"/>
    <x v="4"/>
    <s v="JKA"/>
    <n v="40"/>
    <n v="37"/>
    <n v="1480"/>
    <s v="Credit card"/>
    <n v="42.92"/>
  </r>
  <r>
    <d v="2024-12-20T00:00:00"/>
    <s v="G-4811-23"/>
    <x v="4"/>
    <s v="Dallas"/>
    <x v="1"/>
    <s v="ATP"/>
    <n v="10"/>
    <n v="35"/>
    <n v="350"/>
    <s v="Cash"/>
    <n v="9.4499999999999993"/>
  </r>
  <r>
    <d v="2024-12-20T00:00:00"/>
    <s v="A-7845-23"/>
    <x v="0"/>
    <s v="Richardson"/>
    <x v="2"/>
    <s v="ATP"/>
    <n v="12"/>
    <n v="23"/>
    <n v="276"/>
    <s v="Credit card"/>
    <n v="8.0039999999999996"/>
  </r>
  <r>
    <d v="2024-12-20T00:00:00"/>
    <s v="D-4055-23"/>
    <x v="6"/>
    <s v="Richardson"/>
    <x v="6"/>
    <s v="SMH"/>
    <n v="44"/>
    <n v="53"/>
    <n v="2332"/>
    <s v="Credit card"/>
    <n v="51.304000000000002"/>
  </r>
  <r>
    <d v="2024-12-20T00:00:00"/>
    <s v="H-3310-23"/>
    <x v="8"/>
    <s v="Plano"/>
    <x v="0"/>
    <s v="HNP"/>
    <n v="51"/>
    <n v="40"/>
    <n v="2040"/>
    <s v="Check"/>
    <n v="46.92"/>
  </r>
  <r>
    <d v="2024-12-20T00:00:00"/>
    <s v="A-7724-23"/>
    <x v="7"/>
    <s v="Dallas"/>
    <x v="6"/>
    <s v="SMH"/>
    <n v="56"/>
    <n v="28"/>
    <n v="1568"/>
    <s v="Check"/>
    <n v="42.335999999999999"/>
  </r>
  <r>
    <d v="2024-12-21T00:00:00"/>
    <s v="B-6713-24"/>
    <x v="1"/>
    <s v="Richardson"/>
    <x v="6"/>
    <s v="MSP"/>
    <n v="17"/>
    <n v="39"/>
    <n v="663"/>
    <s v="Check"/>
    <n v="13.26"/>
  </r>
  <r>
    <d v="2024-12-21T00:00:00"/>
    <s v="G-5665-24"/>
    <x v="3"/>
    <s v="Coppell"/>
    <x v="1"/>
    <s v="PKH"/>
    <n v="25"/>
    <n v="28"/>
    <n v="700"/>
    <s v="Cash"/>
    <n v="16.100000000000001"/>
  </r>
  <r>
    <d v="2024-12-21T00:00:00"/>
    <s v="B-1219-24"/>
    <x v="8"/>
    <s v="Richardson"/>
    <x v="3"/>
    <s v="AKJ"/>
    <n v="38"/>
    <n v="40"/>
    <n v="1520"/>
    <s v="Credit card"/>
    <n v="41.04"/>
  </r>
  <r>
    <d v="2024-12-21T00:00:00"/>
    <s v="A-1615-24"/>
    <x v="4"/>
    <s v="Allen"/>
    <x v="0"/>
    <s v="JKA"/>
    <n v="16"/>
    <n v="20"/>
    <n v="320"/>
    <s v="Credit card"/>
    <n v="9.6"/>
  </r>
  <r>
    <d v="2024-12-21T00:00:00"/>
    <s v="D-8845-24"/>
    <x v="4"/>
    <s v="Allen"/>
    <x v="2"/>
    <s v="ARP"/>
    <n v="26"/>
    <n v="38"/>
    <n v="988"/>
    <s v="Gift card"/>
    <n v="23.712"/>
  </r>
  <r>
    <d v="2024-12-21T00:00:00"/>
    <s v="F-2731-24"/>
    <x v="4"/>
    <s v="Richardson"/>
    <x v="6"/>
    <s v="TSA"/>
    <n v="21"/>
    <n v="51"/>
    <n v="1071"/>
    <s v="Cash"/>
    <n v="32.130000000000003"/>
  </r>
  <r>
    <d v="2024-12-21T00:00:00"/>
    <s v="C-7331-24"/>
    <x v="7"/>
    <s v="Dallas"/>
    <x v="2"/>
    <s v="JKA"/>
    <n v="50"/>
    <n v="45"/>
    <n v="2250"/>
    <s v="Gift card"/>
    <n v="58.5"/>
  </r>
  <r>
    <d v="2024-12-21T00:00:00"/>
    <s v="C-8004-24"/>
    <x v="4"/>
    <s v="McKinney"/>
    <x v="1"/>
    <s v="ATP"/>
    <n v="51"/>
    <n v="41"/>
    <n v="2091"/>
    <s v="Credit card"/>
    <n v="58.548000000000002"/>
  </r>
  <r>
    <d v="2024-12-21T00:00:00"/>
    <s v="C-2137-24"/>
    <x v="8"/>
    <s v="Dallas"/>
    <x v="1"/>
    <s v="ATP"/>
    <n v="36"/>
    <n v="44"/>
    <n v="1584"/>
    <s v="Credit card"/>
    <n v="44.351999999999997"/>
  </r>
  <r>
    <d v="2024-12-21T00:00:00"/>
    <s v="D-1370-24"/>
    <x v="6"/>
    <s v="Richardson"/>
    <x v="3"/>
    <s v="ARP"/>
    <n v="57"/>
    <n v="57"/>
    <n v="3249"/>
    <s v="Check"/>
    <n v="81.224999999999994"/>
  </r>
  <r>
    <d v="2024-12-21T00:00:00"/>
    <s v="G-6763-24"/>
    <x v="4"/>
    <s v="Allen"/>
    <x v="5"/>
    <s v="ATP"/>
    <n v="31"/>
    <n v="34"/>
    <n v="1054"/>
    <s v="Check"/>
    <n v="26.35"/>
  </r>
  <r>
    <d v="2024-12-21T00:00:00"/>
    <s v="F-4770-24"/>
    <x v="7"/>
    <s v="Coppell"/>
    <x v="2"/>
    <s v="ARP"/>
    <n v="44"/>
    <n v="37"/>
    <n v="1628"/>
    <s v="Credit card"/>
    <n v="48.84"/>
  </r>
  <r>
    <d v="2024-12-21T00:00:00"/>
    <s v="B-9765-24"/>
    <x v="7"/>
    <s v="Plano"/>
    <x v="2"/>
    <s v="TSQ"/>
    <n v="12"/>
    <n v="53"/>
    <n v="636"/>
    <s v="Credit card"/>
    <n v="16.536000000000001"/>
  </r>
  <r>
    <d v="2024-12-22T00:00:00"/>
    <s v="G-2432-25"/>
    <x v="4"/>
    <s v="Richardson"/>
    <x v="2"/>
    <s v="APS"/>
    <n v="36"/>
    <n v="47"/>
    <n v="1692"/>
    <s v="Gift card"/>
    <n v="50.76"/>
  </r>
  <r>
    <d v="2024-12-22T00:00:00"/>
    <s v="E-1696-25"/>
    <x v="1"/>
    <s v="Richardson"/>
    <x v="2"/>
    <s v="HTE"/>
    <n v="38"/>
    <n v="53"/>
    <n v="2014"/>
    <s v="Gift card"/>
    <n v="40.28"/>
  </r>
  <r>
    <d v="2024-12-22T00:00:00"/>
    <s v="H-9432-25"/>
    <x v="1"/>
    <s v="Dallas"/>
    <x v="2"/>
    <s v="TSQ"/>
    <n v="48"/>
    <n v="38"/>
    <n v="1824"/>
    <s v="Credit card"/>
    <n v="40.128"/>
  </r>
  <r>
    <d v="2024-12-22T00:00:00"/>
    <s v="C-1183-25"/>
    <x v="0"/>
    <s v="Coppell"/>
    <x v="4"/>
    <s v="PFF"/>
    <n v="41"/>
    <n v="50"/>
    <n v="2050"/>
    <s v="Gift card"/>
    <n v="49.2"/>
  </r>
  <r>
    <d v="2024-12-22T00:00:00"/>
    <s v="D-5044-25"/>
    <x v="0"/>
    <s v="Plano"/>
    <x v="4"/>
    <s v="ZAA"/>
    <n v="52"/>
    <n v="57"/>
    <n v="2964"/>
    <s v="Credit card"/>
    <n v="65.207999999999998"/>
  </r>
  <r>
    <d v="2024-12-22T00:00:00"/>
    <s v="D-6123-25"/>
    <x v="1"/>
    <s v="Allen"/>
    <x v="1"/>
    <s v="TAP"/>
    <n v="18"/>
    <n v="55"/>
    <n v="990"/>
    <s v="Check"/>
    <n v="26.73"/>
  </r>
  <r>
    <d v="2024-12-22T00:00:00"/>
    <s v="D-3426-25"/>
    <x v="1"/>
    <s v="Frisco"/>
    <x v="2"/>
    <s v="TAP"/>
    <n v="33"/>
    <n v="59"/>
    <n v="1947"/>
    <s v="Credit card"/>
    <n v="56.463000000000001"/>
  </r>
  <r>
    <d v="2024-12-23T00:00:00"/>
    <s v="E-6180-26"/>
    <x v="3"/>
    <s v="McKinney"/>
    <x v="2"/>
    <s v="SMH"/>
    <n v="15"/>
    <n v="32"/>
    <n v="480"/>
    <s v="Credit card"/>
    <n v="11.04"/>
  </r>
  <r>
    <d v="2024-12-24T00:00:00"/>
    <s v="B-4111-27"/>
    <x v="8"/>
    <s v="Richardson"/>
    <x v="2"/>
    <s v="TSA"/>
    <n v="38"/>
    <n v="55"/>
    <n v="2090"/>
    <s v="Gift card"/>
    <n v="43.89"/>
  </r>
  <r>
    <d v="2024-12-24T00:00:00"/>
    <s v="D-9906-27"/>
    <x v="4"/>
    <s v="Coppell"/>
    <x v="2"/>
    <s v="PFF"/>
    <n v="18"/>
    <n v="37"/>
    <n v="666"/>
    <s v="Credit card"/>
    <n v="18.648"/>
  </r>
  <r>
    <d v="2024-12-24T00:00:00"/>
    <s v="G-8518-27"/>
    <x v="6"/>
    <s v="Coppell"/>
    <x v="5"/>
    <s v="SAT"/>
    <n v="58"/>
    <n v="59"/>
    <n v="3422"/>
    <s v="Credit card"/>
    <n v="95.816000000000003"/>
  </r>
  <r>
    <d v="2024-12-24T00:00:00"/>
    <s v="D-4862-27"/>
    <x v="5"/>
    <s v="Frisco"/>
    <x v="1"/>
    <s v="KQR"/>
    <n v="55"/>
    <n v="48"/>
    <n v="2640"/>
    <s v="Credit card"/>
    <n v="79.2"/>
  </r>
  <r>
    <d v="2024-12-24T00:00:00"/>
    <s v="B-1290-27"/>
    <x v="6"/>
    <s v="Richardson"/>
    <x v="1"/>
    <s v="SAT"/>
    <n v="26"/>
    <n v="25"/>
    <n v="650"/>
    <s v="Cash"/>
    <n v="14.3"/>
  </r>
  <r>
    <d v="2024-12-24T00:00:00"/>
    <s v="A-1409-27"/>
    <x v="4"/>
    <s v="Frisco"/>
    <x v="1"/>
    <s v="SAT"/>
    <n v="36"/>
    <n v="42"/>
    <n v="1512"/>
    <s v="Gift card"/>
    <n v="39.311999999999998"/>
  </r>
  <r>
    <d v="2024-12-24T00:00:00"/>
    <s v="E-1112-27"/>
    <x v="6"/>
    <s v="Richardson"/>
    <x v="6"/>
    <s v="PFF"/>
    <n v="60"/>
    <n v="48"/>
    <n v="2880"/>
    <s v="Gift card"/>
    <n v="86.4"/>
  </r>
  <r>
    <d v="2024-12-24T00:00:00"/>
    <s v="B-4448-27"/>
    <x v="6"/>
    <s v="Richardson"/>
    <x v="6"/>
    <s v="PFF"/>
    <n v="27"/>
    <n v="50"/>
    <n v="1350"/>
    <s v="Credit card"/>
    <n v="35.1"/>
  </r>
  <r>
    <d v="2024-12-24T00:00:00"/>
    <s v="D-7576-27"/>
    <x v="3"/>
    <s v="Richardson"/>
    <x v="0"/>
    <s v="MSP"/>
    <n v="37"/>
    <n v="46"/>
    <n v="1702"/>
    <s v="Credit card"/>
    <n v="44.252000000000002"/>
  </r>
  <r>
    <d v="2024-12-24T00:00:00"/>
    <s v="H-8418-27"/>
    <x v="5"/>
    <s v="Plano"/>
    <x v="3"/>
    <s v="SAT"/>
    <n v="56"/>
    <n v="27"/>
    <n v="1512"/>
    <s v="Credit card"/>
    <n v="45.36"/>
  </r>
  <r>
    <d v="2024-12-24T00:00:00"/>
    <s v="F-7005-27"/>
    <x v="5"/>
    <s v="Richardson"/>
    <x v="2"/>
    <s v="SAT"/>
    <n v="36"/>
    <n v="55"/>
    <n v="1980"/>
    <s v="Cash"/>
    <n v="49.5"/>
  </r>
  <r>
    <d v="2024-12-24T00:00:00"/>
    <s v="G-8122-27"/>
    <x v="8"/>
    <s v="Coppell"/>
    <x v="4"/>
    <s v="SMH"/>
    <n v="15"/>
    <n v="57"/>
    <n v="855"/>
    <s v="Credit card"/>
    <n v="17.100000000000001"/>
  </r>
  <r>
    <d v="2024-12-25T00:00:00"/>
    <s v="D-5863-28"/>
    <x v="4"/>
    <s v="Plano"/>
    <x v="4"/>
    <s v="ATP"/>
    <n v="15"/>
    <n v="58"/>
    <n v="870"/>
    <s v="Cash"/>
    <n v="24.36"/>
  </r>
  <r>
    <d v="2024-12-25T00:00:00"/>
    <s v="G-4670-28"/>
    <x v="2"/>
    <s v="Dallas"/>
    <x v="1"/>
    <s v="TSA"/>
    <n v="11"/>
    <n v="25"/>
    <n v="275"/>
    <s v="Cash"/>
    <n v="7.4249999999999998"/>
  </r>
  <r>
    <d v="2024-12-25T00:00:00"/>
    <s v="B-7296-28"/>
    <x v="0"/>
    <s v="Allen"/>
    <x v="5"/>
    <s v="TSA"/>
    <n v="53"/>
    <n v="54"/>
    <n v="2862"/>
    <s v="Check"/>
    <n v="57.24"/>
  </r>
  <r>
    <d v="2024-12-25T00:00:00"/>
    <s v="G-5993-28"/>
    <x v="7"/>
    <s v="Frisco"/>
    <x v="0"/>
    <s v="ARP"/>
    <n v="25"/>
    <n v="33"/>
    <n v="825"/>
    <s v="Credit card"/>
    <n v="24.75"/>
  </r>
  <r>
    <d v="2024-12-25T00:00:00"/>
    <s v="G-9128-28"/>
    <x v="4"/>
    <s v="Plano"/>
    <x v="3"/>
    <s v="PKH"/>
    <n v="34"/>
    <n v="28"/>
    <n v="952"/>
    <s v="Credit card"/>
    <n v="28.56"/>
  </r>
  <r>
    <d v="2024-12-25T00:00:00"/>
    <s v="C-5965-28"/>
    <x v="3"/>
    <s v="Richardson"/>
    <x v="6"/>
    <s v="TAP"/>
    <n v="56"/>
    <n v="39"/>
    <n v="2184"/>
    <s v="Cash"/>
    <n v="56.783999999999999"/>
  </r>
  <r>
    <d v="2024-12-25T00:00:00"/>
    <s v="E-4928-28"/>
    <x v="7"/>
    <s v="Dallas"/>
    <x v="1"/>
    <s v="TSQ"/>
    <n v="37"/>
    <n v="54"/>
    <n v="1998"/>
    <s v="Credit card"/>
    <n v="57.942"/>
  </r>
  <r>
    <d v="2024-12-26T00:00:00"/>
    <s v="A-9605-29"/>
    <x v="4"/>
    <s v="Plano"/>
    <x v="6"/>
    <s v="TSA"/>
    <n v="19"/>
    <n v="31"/>
    <n v="589"/>
    <s v="Credit card"/>
    <n v="12.958"/>
  </r>
  <r>
    <d v="2024-12-26T00:00:00"/>
    <s v="D-7126-29"/>
    <x v="7"/>
    <s v="Dallas"/>
    <x v="0"/>
    <s v="AKJ"/>
    <n v="24"/>
    <n v="54"/>
    <n v="1296"/>
    <s v="Gift card"/>
    <n v="34.991999999999997"/>
  </r>
  <r>
    <d v="2024-12-26T00:00:00"/>
    <s v="A-3006-29"/>
    <x v="3"/>
    <s v="Plano"/>
    <x v="5"/>
    <s v="ATP"/>
    <n v="37"/>
    <n v="29"/>
    <n v="1073"/>
    <s v="Credit card"/>
    <n v="28.971"/>
  </r>
  <r>
    <d v="2024-12-27T00:00:00"/>
    <s v="C-9582-30"/>
    <x v="2"/>
    <s v="Plano"/>
    <x v="3"/>
    <s v="SAT"/>
    <n v="23"/>
    <n v="32"/>
    <n v="736"/>
    <s v="Credit card"/>
    <n v="17.664000000000001"/>
  </r>
  <r>
    <d v="2024-12-27T00:00:00"/>
    <s v="F-2577-30"/>
    <x v="6"/>
    <s v="Dallas"/>
    <x v="0"/>
    <s v="PFF"/>
    <n v="50"/>
    <n v="33"/>
    <n v="1650"/>
    <s v="Cash"/>
    <n v="33"/>
  </r>
  <r>
    <d v="2024-12-27T00:00:00"/>
    <s v="D-7837-30"/>
    <x v="6"/>
    <s v="Dallas"/>
    <x v="0"/>
    <s v="ZAA"/>
    <n v="47"/>
    <n v="53"/>
    <n v="2491"/>
    <s v="Cash"/>
    <n v="49.82"/>
  </r>
  <r>
    <d v="2024-12-27T00:00:00"/>
    <s v="E-3389-30"/>
    <x v="2"/>
    <s v="Richardson"/>
    <x v="2"/>
    <s v="PFF"/>
    <n v="60"/>
    <n v="38"/>
    <n v="2280"/>
    <s v="Credit card"/>
    <n v="45.6"/>
  </r>
  <r>
    <d v="2024-12-27T00:00:00"/>
    <s v="C-6531-30"/>
    <x v="7"/>
    <s v="Richardson"/>
    <x v="0"/>
    <s v="APS"/>
    <n v="26"/>
    <n v="23"/>
    <n v="598"/>
    <s v="Cash"/>
    <n v="17.940000000000001"/>
  </r>
  <r>
    <d v="2024-12-27T00:00:00"/>
    <s v="E-1696-30"/>
    <x v="2"/>
    <s v="Coppell"/>
    <x v="6"/>
    <s v="AKJ"/>
    <n v="15"/>
    <n v="27"/>
    <n v="405"/>
    <s v="Credit card"/>
    <n v="10.53"/>
  </r>
  <r>
    <d v="2024-12-27T00:00:00"/>
    <s v="H-2122-30"/>
    <x v="4"/>
    <s v="McKinney"/>
    <x v="0"/>
    <s v="SMH"/>
    <n v="42"/>
    <n v="52"/>
    <n v="2184"/>
    <s v="Credit card"/>
    <n v="45.863999999999997"/>
  </r>
  <r>
    <d v="2024-12-27T00:00:00"/>
    <s v="B-1908-30"/>
    <x v="7"/>
    <s v="Frisco"/>
    <x v="3"/>
    <s v="ARP"/>
    <n v="48"/>
    <n v="59"/>
    <n v="2832"/>
    <s v="Gift card"/>
    <n v="62.304000000000002"/>
  </r>
  <r>
    <d v="2024-12-27T00:00:00"/>
    <s v="H-6633-30"/>
    <x v="2"/>
    <s v="Plano"/>
    <x v="2"/>
    <s v="JKA"/>
    <n v="14"/>
    <n v="41"/>
    <n v="574"/>
    <s v="Gift card"/>
    <n v="15.497999999999999"/>
  </r>
  <r>
    <d v="2024-12-27T00:00:00"/>
    <s v="B-2711-30"/>
    <x v="6"/>
    <s v="Plano"/>
    <x v="2"/>
    <s v="AKJ"/>
    <n v="43"/>
    <n v="53"/>
    <n v="2279"/>
    <s v="Credit card"/>
    <n v="52.417000000000002"/>
  </r>
  <r>
    <d v="2024-12-27T00:00:00"/>
    <s v="F-2456-30"/>
    <x v="5"/>
    <s v="McKinney"/>
    <x v="6"/>
    <s v="SAT"/>
    <n v="40"/>
    <n v="48"/>
    <n v="1920"/>
    <s v="Gift card"/>
    <n v="55.68"/>
  </r>
  <r>
    <d v="2024-12-28T00:00:00"/>
    <s v="B-5198-31"/>
    <x v="1"/>
    <s v="Coppell"/>
    <x v="5"/>
    <s v="MSP"/>
    <n v="17"/>
    <n v="41"/>
    <n v="697"/>
    <s v="Credit card"/>
    <n v="18.122"/>
  </r>
  <r>
    <d v="2024-12-28T00:00:00"/>
    <s v="F-3014-31"/>
    <x v="3"/>
    <s v="Richardson"/>
    <x v="1"/>
    <s v="HNP"/>
    <n v="32"/>
    <n v="31"/>
    <n v="992"/>
    <s v="Cash"/>
    <n v="20.832000000000001"/>
  </r>
  <r>
    <d v="2024-12-29T00:00:00"/>
    <s v="EK-3967-1"/>
    <x v="2"/>
    <s v="Richardson"/>
    <x v="3"/>
    <s v="KQR"/>
    <n v="36"/>
    <n v="43"/>
    <n v="1548"/>
    <s v="Credit card"/>
    <n v="46.44"/>
  </r>
  <r>
    <d v="2024-12-29T00:00:00"/>
    <s v="GK-2982-1"/>
    <x v="8"/>
    <s v="Dallas"/>
    <x v="2"/>
    <s v="PFF"/>
    <n v="15"/>
    <n v="22"/>
    <n v="330"/>
    <s v="Credit card"/>
    <n v="8.58"/>
  </r>
  <r>
    <d v="2024-12-29T00:00:00"/>
    <s v="FK-9299-1"/>
    <x v="7"/>
    <s v="McKinney"/>
    <x v="0"/>
    <s v="PKH"/>
    <n v="40"/>
    <n v="45"/>
    <n v="1800"/>
    <s v="Cash"/>
    <n v="46.8"/>
  </r>
  <r>
    <d v="2024-12-29T00:00:00"/>
    <s v="BK-6031-1"/>
    <x v="3"/>
    <s v="McKinney"/>
    <x v="0"/>
    <s v="PFF"/>
    <n v="17"/>
    <n v="63"/>
    <n v="1071"/>
    <s v="Credit card"/>
    <n v="23.562000000000001"/>
  </r>
  <r>
    <d v="2024-12-29T00:00:00"/>
    <s v="EK-1276-1"/>
    <x v="8"/>
    <s v="McKinney"/>
    <x v="1"/>
    <s v="PKH"/>
    <n v="33"/>
    <n v="31"/>
    <n v="1023"/>
    <s v="Credit card"/>
    <n v="26.597999999999999"/>
  </r>
  <r>
    <d v="2024-12-29T00:00:00"/>
    <s v="HK-3043-1"/>
    <x v="7"/>
    <s v="Frisco"/>
    <x v="0"/>
    <s v="JKA"/>
    <n v="20"/>
    <n v="52"/>
    <n v="1040"/>
    <s v="Credit card"/>
    <n v="28.08"/>
  </r>
  <r>
    <d v="2024-12-30T00:00:00"/>
    <s v="EK-6733-2"/>
    <x v="8"/>
    <s v="Dallas"/>
    <x v="1"/>
    <s v="AKJ"/>
    <n v="45"/>
    <n v="38"/>
    <n v="1710"/>
    <s v="Cash"/>
    <n v="39.33"/>
  </r>
  <r>
    <d v="2024-12-30T00:00:00"/>
    <s v="GK-4789-2"/>
    <x v="6"/>
    <s v="Plano"/>
    <x v="2"/>
    <s v="ARP"/>
    <n v="44"/>
    <n v="53"/>
    <n v="2332"/>
    <s v="Credit card"/>
    <n v="65.296000000000006"/>
  </r>
  <r>
    <d v="2024-12-30T00:00:00"/>
    <s v="EK-5023-2"/>
    <x v="4"/>
    <s v="Dallas"/>
    <x v="0"/>
    <s v="MSP"/>
    <n v="32"/>
    <n v="38"/>
    <n v="1216"/>
    <s v="Credit card"/>
    <n v="29.184000000000001"/>
  </r>
  <r>
    <d v="2024-12-30T00:00:00"/>
    <s v="FK-4284-2"/>
    <x v="6"/>
    <s v="McKinney"/>
    <x v="5"/>
    <s v="TAP"/>
    <n v="42"/>
    <n v="32"/>
    <n v="1344"/>
    <s v="Gift card"/>
    <n v="36.287999999999997"/>
  </r>
  <r>
    <d v="2024-12-31T00:00:00"/>
    <s v="DK-7025-3"/>
    <x v="7"/>
    <s v="Dallas"/>
    <x v="2"/>
    <s v="TSA"/>
    <n v="35"/>
    <n v="58"/>
    <n v="2030"/>
    <s v="Gift card"/>
    <n v="58.87"/>
  </r>
  <r>
    <d v="2024-12-31T00:00:00"/>
    <s v="DK-4869-3"/>
    <x v="3"/>
    <s v="Richardson"/>
    <x v="2"/>
    <s v="MSP"/>
    <n v="37"/>
    <n v="45"/>
    <n v="1665"/>
    <s v="Credit card"/>
    <n v="33.299999999999997"/>
  </r>
  <r>
    <d v="2025-01-01T00:00:00"/>
    <s v="BK-6916-4"/>
    <x v="1"/>
    <s v="Allen"/>
    <x v="4"/>
    <s v="ATP"/>
    <n v="21"/>
    <n v="52"/>
    <n v="1092"/>
    <s v="Credit card"/>
    <n v="31.667999999999999"/>
  </r>
  <r>
    <d v="2025-01-01T00:00:00"/>
    <s v="CK-8325-4"/>
    <x v="8"/>
    <s v="Dallas"/>
    <x v="6"/>
    <s v="PKH"/>
    <n v="56"/>
    <n v="58"/>
    <n v="3248"/>
    <s v="Cash"/>
    <n v="87.695999999999998"/>
  </r>
  <r>
    <d v="2025-01-02T00:00:00"/>
    <s v="CK-5357-5"/>
    <x v="4"/>
    <s v="Dallas"/>
    <x v="2"/>
    <s v="SAT"/>
    <n v="49"/>
    <n v="75"/>
    <n v="3675"/>
    <s v="Credit card"/>
    <n v="84.525000000000006"/>
  </r>
  <r>
    <d v="2025-01-02T00:00:00"/>
    <s v="BK-9467-5"/>
    <x v="7"/>
    <s v="Richardson"/>
    <x v="3"/>
    <s v="HTE"/>
    <n v="58"/>
    <n v="51"/>
    <n v="2958"/>
    <s v="Cash"/>
    <n v="73.95"/>
  </r>
  <r>
    <d v="2025-01-02T00:00:00"/>
    <s v="BK-5718-5"/>
    <x v="3"/>
    <s v="Allen"/>
    <x v="0"/>
    <s v="TSQ"/>
    <n v="39"/>
    <n v="60"/>
    <n v="2340"/>
    <s v="Credit card"/>
    <n v="56.16"/>
  </r>
  <r>
    <d v="2025-01-02T00:00:00"/>
    <s v="EK-3619-5"/>
    <x v="2"/>
    <s v="McKinney"/>
    <x v="3"/>
    <s v="PFF"/>
    <n v="49"/>
    <n v="62"/>
    <n v="3038"/>
    <s v="Credit card"/>
    <n v="91.14"/>
  </r>
  <r>
    <d v="2025-01-02T00:00:00"/>
    <s v="FK-6379-5"/>
    <x v="1"/>
    <s v="Coppell"/>
    <x v="3"/>
    <s v="ARP"/>
    <n v="47"/>
    <n v="76"/>
    <n v="3572"/>
    <s v="Cash"/>
    <n v="82.156000000000006"/>
  </r>
  <r>
    <d v="2025-01-02T00:00:00"/>
    <s v="AK-8461-5"/>
    <x v="7"/>
    <s v="Richardson"/>
    <x v="3"/>
    <s v="KQR"/>
    <n v="18"/>
    <n v="60"/>
    <n v="1080"/>
    <s v="Gift card"/>
    <n v="29.16"/>
  </r>
  <r>
    <d v="2025-01-03T00:00:00"/>
    <s v="CK-1475-6"/>
    <x v="0"/>
    <s v="Plano"/>
    <x v="3"/>
    <s v="HNP"/>
    <n v="13"/>
    <n v="64"/>
    <n v="832"/>
    <s v="Credit card"/>
    <n v="19.968"/>
  </r>
  <r>
    <d v="2025-01-03T00:00:00"/>
    <s v="DK-9976-6"/>
    <x v="8"/>
    <s v="Dallas"/>
    <x v="3"/>
    <s v="TAP"/>
    <n v="10"/>
    <n v="79"/>
    <n v="790"/>
    <s v="Credit card"/>
    <n v="20.54"/>
  </r>
  <r>
    <d v="2025-01-04T00:00:00"/>
    <s v="DK-2199-7"/>
    <x v="8"/>
    <s v="Plano"/>
    <x v="4"/>
    <s v="AKJ"/>
    <n v="22"/>
    <n v="80"/>
    <n v="1760"/>
    <s v="Credit card"/>
    <n v="49.28"/>
  </r>
  <r>
    <d v="2025-01-04T00:00:00"/>
    <s v="DK-8884-7"/>
    <x v="2"/>
    <s v="Plano"/>
    <x v="5"/>
    <s v="HTE"/>
    <n v="35"/>
    <n v="37"/>
    <n v="1295"/>
    <s v="Credit card"/>
    <n v="25.9"/>
  </r>
  <r>
    <d v="2025-01-04T00:00:00"/>
    <s v="DK-2163-7"/>
    <x v="0"/>
    <s v="Plano"/>
    <x v="3"/>
    <s v="SMH"/>
    <n v="60"/>
    <n v="30"/>
    <n v="1800"/>
    <s v="Check"/>
    <n v="48.6"/>
  </r>
  <r>
    <d v="2025-01-04T00:00:00"/>
    <s v="DK-7784-7"/>
    <x v="0"/>
    <s v="McKinney"/>
    <x v="3"/>
    <s v="TSA"/>
    <n v="22"/>
    <n v="73"/>
    <n v="1606"/>
    <s v="Cash"/>
    <n v="40.15"/>
  </r>
  <r>
    <d v="2025-01-04T00:00:00"/>
    <s v="AK-9082-7"/>
    <x v="5"/>
    <s v="Dallas"/>
    <x v="3"/>
    <s v="PKH"/>
    <n v="47"/>
    <n v="75"/>
    <n v="3525"/>
    <s v="Credit card"/>
    <n v="77.55"/>
  </r>
  <r>
    <d v="2025-01-04T00:00:00"/>
    <s v="FK-6202-7"/>
    <x v="3"/>
    <s v="McKinney"/>
    <x v="1"/>
    <s v="KQR"/>
    <n v="20"/>
    <n v="30"/>
    <n v="600"/>
    <s v="Credit card"/>
    <n v="16.8"/>
  </r>
  <r>
    <d v="2025-01-04T00:00:00"/>
    <s v="HK-5799-7"/>
    <x v="1"/>
    <s v="Richardson"/>
    <x v="2"/>
    <s v="AKJ"/>
    <n v="27"/>
    <n v="59"/>
    <n v="1593"/>
    <s v="Cash"/>
    <n v="35.045999999999999"/>
  </r>
  <r>
    <d v="2025-01-04T00:00:00"/>
    <s v="BK-5472-7"/>
    <x v="3"/>
    <s v="Frisco"/>
    <x v="0"/>
    <s v="PKH"/>
    <n v="12"/>
    <n v="72"/>
    <n v="864"/>
    <s v="Credit card"/>
    <n v="23.327999999999999"/>
  </r>
  <r>
    <d v="2025-01-04T00:00:00"/>
    <s v="FK-7633-7"/>
    <x v="8"/>
    <s v="Frisco"/>
    <x v="6"/>
    <s v="HNP"/>
    <n v="45"/>
    <n v="70"/>
    <n v="3150"/>
    <s v="Cash"/>
    <n v="94.5"/>
  </r>
  <r>
    <d v="2025-01-04T00:00:00"/>
    <s v="AK-4128-7"/>
    <x v="4"/>
    <s v="McKinney"/>
    <x v="1"/>
    <s v="PFF"/>
    <n v="25"/>
    <n v="57"/>
    <n v="1425"/>
    <s v="Credit card"/>
    <n v="28.5"/>
  </r>
  <r>
    <d v="2025-01-04T00:00:00"/>
    <s v="DK-6365-7"/>
    <x v="2"/>
    <s v="Plano"/>
    <x v="3"/>
    <s v="APS"/>
    <n v="17"/>
    <n v="78"/>
    <n v="1326"/>
    <s v="Credit card"/>
    <n v="37.128"/>
  </r>
  <r>
    <d v="2025-01-05T00:00:00"/>
    <s v="DK-9887-8"/>
    <x v="4"/>
    <s v="Dallas"/>
    <x v="4"/>
    <s v="TSA"/>
    <n v="24"/>
    <n v="75"/>
    <n v="1800"/>
    <s v="Cash"/>
    <n v="45"/>
  </r>
  <r>
    <d v="2025-01-05T00:00:00"/>
    <s v="EK-5625-8"/>
    <x v="6"/>
    <s v="Dallas"/>
    <x v="2"/>
    <s v="TAP"/>
    <n v="36"/>
    <n v="75"/>
    <n v="2700"/>
    <s v="Cash"/>
    <n v="75.599999999999994"/>
  </r>
  <r>
    <d v="2025-01-05T00:00:00"/>
    <s v="HK-9185-8"/>
    <x v="1"/>
    <s v="Richardson"/>
    <x v="4"/>
    <s v="PKH"/>
    <n v="50"/>
    <n v="76"/>
    <n v="3800"/>
    <s v="Cash"/>
    <n v="106.4"/>
  </r>
  <r>
    <d v="2025-01-05T00:00:00"/>
    <s v="AK-6759-8"/>
    <x v="6"/>
    <s v="Frisco"/>
    <x v="1"/>
    <s v="SMH"/>
    <n v="26"/>
    <n v="80"/>
    <n v="2080"/>
    <s v="Credit card"/>
    <n v="41.6"/>
  </r>
  <r>
    <d v="2025-01-05T00:00:00"/>
    <s v="GK-3347-8"/>
    <x v="7"/>
    <s v="Allen"/>
    <x v="0"/>
    <s v="HNP"/>
    <n v="40"/>
    <n v="45"/>
    <n v="1800"/>
    <s v="Credit card"/>
    <n v="46.8"/>
  </r>
  <r>
    <d v="2025-01-05T00:00:00"/>
    <s v="HK-4875-8"/>
    <x v="7"/>
    <s v="McKinney"/>
    <x v="1"/>
    <s v="ATP"/>
    <n v="12"/>
    <n v="45"/>
    <n v="540"/>
    <s v="Cash"/>
    <n v="11.88"/>
  </r>
  <r>
    <d v="2025-01-05T00:00:00"/>
    <s v="HK-1682-8"/>
    <x v="6"/>
    <s v="Richardson"/>
    <x v="4"/>
    <s v="MSP"/>
    <n v="58"/>
    <n v="47"/>
    <n v="2726"/>
    <s v="Check"/>
    <n v="79.054000000000002"/>
  </r>
  <r>
    <d v="2025-01-05T00:00:00"/>
    <s v="EK-2573-8"/>
    <x v="4"/>
    <s v="Plano"/>
    <x v="3"/>
    <s v="APS"/>
    <n v="11"/>
    <n v="36"/>
    <n v="396"/>
    <s v="Cash"/>
    <n v="9.5039999999999996"/>
  </r>
  <r>
    <d v="2025-01-05T00:00:00"/>
    <s v="GK-9401-8"/>
    <x v="4"/>
    <s v="McKinney"/>
    <x v="2"/>
    <s v="SMH"/>
    <n v="43"/>
    <n v="37"/>
    <n v="1591"/>
    <s v="Gift card"/>
    <n v="42.957000000000001"/>
  </r>
  <r>
    <d v="2025-01-05T00:00:00"/>
    <s v="DK-2001-8"/>
    <x v="2"/>
    <s v="McKinney"/>
    <x v="1"/>
    <s v="MSP"/>
    <n v="42"/>
    <n v="64"/>
    <n v="2688"/>
    <s v="Credit card"/>
    <n v="80.64"/>
  </r>
  <r>
    <d v="2025-01-05T00:00:00"/>
    <s v="EK-9789-8"/>
    <x v="7"/>
    <s v="Frisco"/>
    <x v="2"/>
    <s v="PKH"/>
    <n v="53"/>
    <n v="54"/>
    <n v="2862"/>
    <s v="Gift card"/>
    <n v="57.24"/>
  </r>
  <r>
    <d v="2025-01-05T00:00:00"/>
    <s v="CK-9106-8"/>
    <x v="5"/>
    <s v="Dallas"/>
    <x v="2"/>
    <s v="HTE"/>
    <n v="17"/>
    <n v="59"/>
    <n v="1003"/>
    <s v="Credit card"/>
    <n v="20.059999999999999"/>
  </r>
  <r>
    <d v="2025-01-05T00:00:00"/>
    <s v="DK-8725-8"/>
    <x v="4"/>
    <s v="Allen"/>
    <x v="0"/>
    <s v="ZAA"/>
    <n v="29"/>
    <n v="54"/>
    <n v="1566"/>
    <s v="Credit card"/>
    <n v="43.847999999999999"/>
  </r>
  <r>
    <d v="2025-01-05T00:00:00"/>
    <s v="EK-1415-8"/>
    <x v="1"/>
    <s v="Plano"/>
    <x v="1"/>
    <s v="AKJ"/>
    <n v="26"/>
    <n v="38"/>
    <n v="988"/>
    <s v="Check"/>
    <n v="20.748000000000001"/>
  </r>
  <r>
    <d v="2025-01-05T00:00:00"/>
    <s v="EK-3709-8"/>
    <x v="6"/>
    <s v="Plano"/>
    <x v="3"/>
    <s v="SMH"/>
    <n v="53"/>
    <n v="37"/>
    <n v="1961"/>
    <s v="Cash"/>
    <n v="43.142000000000003"/>
  </r>
  <r>
    <d v="2025-01-05T00:00:00"/>
    <s v="CK-4036-8"/>
    <x v="5"/>
    <s v="Richardson"/>
    <x v="1"/>
    <s v="APS"/>
    <n v="29"/>
    <n v="32"/>
    <n v="928"/>
    <s v="Credit card"/>
    <n v="20.416"/>
  </r>
  <r>
    <d v="2025-01-05T00:00:00"/>
    <s v="DK-4724-8"/>
    <x v="2"/>
    <s v="Coppell"/>
    <x v="1"/>
    <s v="AKJ"/>
    <n v="59"/>
    <n v="41"/>
    <n v="2419"/>
    <s v="Credit card"/>
    <n v="50.798999999999999"/>
  </r>
  <r>
    <d v="2025-01-05T00:00:00"/>
    <s v="GK-9303-8"/>
    <x v="4"/>
    <s v="Allen"/>
    <x v="0"/>
    <s v="SMH"/>
    <n v="21"/>
    <n v="44"/>
    <n v="924"/>
    <s v="Credit card"/>
    <n v="26.795999999999999"/>
  </r>
  <r>
    <d v="2025-01-06T00:00:00"/>
    <s v="FK-6473-9"/>
    <x v="8"/>
    <s v="Frisco"/>
    <x v="6"/>
    <s v="TSQ"/>
    <n v="28"/>
    <n v="49"/>
    <n v="1372"/>
    <s v="Cash"/>
    <n v="28.812000000000001"/>
  </r>
  <r>
    <d v="2025-01-07T00:00:00"/>
    <s v="D-3640-10"/>
    <x v="5"/>
    <s v="Plano"/>
    <x v="2"/>
    <s v="MSP"/>
    <n v="50"/>
    <n v="47"/>
    <n v="2350"/>
    <s v="Credit card"/>
    <n v="54.05"/>
  </r>
  <r>
    <d v="2025-01-07T00:00:00"/>
    <s v="C-2255-10"/>
    <x v="7"/>
    <s v="Plano"/>
    <x v="4"/>
    <s v="AKJ"/>
    <n v="58"/>
    <n v="46"/>
    <n v="2668"/>
    <s v="Cash"/>
    <n v="66.7"/>
  </r>
  <r>
    <d v="2025-01-07T00:00:00"/>
    <s v="D-2784-10"/>
    <x v="0"/>
    <s v="Plano"/>
    <x v="2"/>
    <s v="TAP"/>
    <n v="24"/>
    <n v="35"/>
    <n v="840"/>
    <s v="Credit card"/>
    <n v="23.52"/>
  </r>
  <r>
    <d v="2025-01-07T00:00:00"/>
    <s v="G-1394-10"/>
    <x v="7"/>
    <s v="Allen"/>
    <x v="4"/>
    <s v="SAT"/>
    <n v="55"/>
    <n v="48"/>
    <n v="2640"/>
    <s v="Credit card"/>
    <n v="55.44"/>
  </r>
  <r>
    <d v="2025-01-07T00:00:00"/>
    <s v="A-3537-10"/>
    <x v="7"/>
    <s v="Dallas"/>
    <x v="3"/>
    <s v="ATP"/>
    <n v="19"/>
    <n v="73"/>
    <n v="1387"/>
    <s v="Cash"/>
    <n v="41.61"/>
  </r>
  <r>
    <d v="2025-01-07T00:00:00"/>
    <s v="H-9798-10"/>
    <x v="8"/>
    <s v="McKinney"/>
    <x v="4"/>
    <s v="APS"/>
    <n v="37"/>
    <n v="73"/>
    <n v="2701"/>
    <s v="Credit card"/>
    <n v="59.421999999999997"/>
  </r>
  <r>
    <d v="2025-01-07T00:00:00"/>
    <s v="E-2526-10"/>
    <x v="4"/>
    <s v="Plano"/>
    <x v="0"/>
    <s v="MSP"/>
    <n v="32"/>
    <n v="34"/>
    <n v="1088"/>
    <s v="Credit card"/>
    <n v="23.936"/>
  </r>
  <r>
    <d v="2025-01-07T00:00:00"/>
    <s v="F-1937-10"/>
    <x v="4"/>
    <s v="Plano"/>
    <x v="3"/>
    <s v="ZAA"/>
    <n v="46"/>
    <n v="42"/>
    <n v="1932"/>
    <s v="Credit card"/>
    <n v="38.64"/>
  </r>
  <r>
    <d v="2025-01-07T00:00:00"/>
    <s v="B-9255-10"/>
    <x v="6"/>
    <s v="McKinney"/>
    <x v="5"/>
    <s v="ZAA"/>
    <n v="53"/>
    <n v="36"/>
    <n v="1908"/>
    <s v="Cash"/>
    <n v="45.792000000000002"/>
  </r>
  <r>
    <d v="2025-01-07T00:00:00"/>
    <s v="D-2451-10"/>
    <x v="7"/>
    <s v="Dallas"/>
    <x v="1"/>
    <s v="SMH"/>
    <n v="33"/>
    <n v="73"/>
    <n v="2409"/>
    <s v="Cash"/>
    <n v="50.588999999999999"/>
  </r>
  <r>
    <d v="2025-01-07T00:00:00"/>
    <s v="C-5100-10"/>
    <x v="0"/>
    <s v="Plano"/>
    <x v="2"/>
    <s v="APS"/>
    <n v="20"/>
    <n v="59"/>
    <n v="1180"/>
    <s v="Credit card"/>
    <n v="31.86"/>
  </r>
  <r>
    <d v="2025-01-07T00:00:00"/>
    <s v="D-9932-10"/>
    <x v="0"/>
    <s v="Coppell"/>
    <x v="3"/>
    <s v="AKJ"/>
    <n v="46"/>
    <n v="30"/>
    <n v="1380"/>
    <s v="Cash"/>
    <n v="37.26"/>
  </r>
  <r>
    <d v="2025-01-07T00:00:00"/>
    <s v="E-6813-10"/>
    <x v="1"/>
    <s v="Frisco"/>
    <x v="4"/>
    <s v="AKJ"/>
    <n v="38"/>
    <n v="36"/>
    <n v="1368"/>
    <s v="Credit card"/>
    <n v="32.832000000000001"/>
  </r>
  <r>
    <d v="2025-01-07T00:00:00"/>
    <s v="E-4901-10"/>
    <x v="8"/>
    <s v="Dallas"/>
    <x v="0"/>
    <s v="TSQ"/>
    <n v="20"/>
    <n v="67"/>
    <n v="1340"/>
    <s v="Credit card"/>
    <n v="32.159999999999997"/>
  </r>
  <r>
    <d v="2025-01-07T00:00:00"/>
    <s v="B-5848-10"/>
    <x v="3"/>
    <s v="McKinney"/>
    <x v="6"/>
    <s v="SMH"/>
    <n v="30"/>
    <n v="67"/>
    <n v="2010"/>
    <s v="Credit card"/>
    <n v="40.200000000000003"/>
  </r>
  <r>
    <d v="2025-01-07T00:00:00"/>
    <s v="H-5691-10"/>
    <x v="5"/>
    <s v="Allen"/>
    <x v="0"/>
    <s v="ARP"/>
    <n v="50"/>
    <n v="79"/>
    <n v="3950"/>
    <s v="Cash"/>
    <n v="79"/>
  </r>
  <r>
    <d v="2025-01-07T00:00:00"/>
    <s v="H-5307-10"/>
    <x v="0"/>
    <s v="Plano"/>
    <x v="2"/>
    <s v="PKH"/>
    <n v="38"/>
    <n v="59"/>
    <n v="2242"/>
    <s v="Credit card"/>
    <n v="44.84"/>
  </r>
  <r>
    <d v="2025-01-07T00:00:00"/>
    <s v="B-4632-10"/>
    <x v="7"/>
    <s v="Plano"/>
    <x v="2"/>
    <s v="HNP"/>
    <n v="27"/>
    <n v="59"/>
    <n v="1593"/>
    <s v="Credit card"/>
    <n v="33.453000000000003"/>
  </r>
  <r>
    <d v="2025-01-07T00:00:00"/>
    <s v="D-5350-10"/>
    <x v="7"/>
    <s v="Plano"/>
    <x v="1"/>
    <s v="TSA"/>
    <n v="49"/>
    <n v="65"/>
    <n v="3185"/>
    <s v="Gift card"/>
    <n v="89.18"/>
  </r>
  <r>
    <d v="2025-01-07T00:00:00"/>
    <s v="F-3743-10"/>
    <x v="2"/>
    <s v="Coppell"/>
    <x v="0"/>
    <s v="TSA"/>
    <n v="22"/>
    <n v="55"/>
    <n v="1210"/>
    <s v="Credit card"/>
    <n v="33.880000000000003"/>
  </r>
  <r>
    <d v="2025-01-07T00:00:00"/>
    <s v="B-5988-10"/>
    <x v="2"/>
    <s v="Coppell"/>
    <x v="5"/>
    <s v="APS"/>
    <n v="37"/>
    <n v="47"/>
    <n v="1739"/>
    <s v="Credit card"/>
    <n v="45.213999999999999"/>
  </r>
  <r>
    <d v="2025-01-08T00:00:00"/>
    <s v="F-5206-11"/>
    <x v="3"/>
    <s v="Plano"/>
    <x v="0"/>
    <s v="APS"/>
    <n v="34"/>
    <n v="60"/>
    <n v="2040"/>
    <s v="Credit card"/>
    <n v="48.96"/>
  </r>
  <r>
    <d v="2025-01-08T00:00:00"/>
    <s v="F-2031-11"/>
    <x v="6"/>
    <s v="Allen"/>
    <x v="1"/>
    <s v="TSQ"/>
    <n v="19"/>
    <n v="52"/>
    <n v="988"/>
    <s v="Credit card"/>
    <n v="25.687999999999999"/>
  </r>
  <r>
    <d v="2025-01-08T00:00:00"/>
    <s v="D-8387-11"/>
    <x v="4"/>
    <s v="Plano"/>
    <x v="4"/>
    <s v="AKJ"/>
    <n v="12"/>
    <n v="69"/>
    <n v="828"/>
    <s v="Credit card"/>
    <n v="24.012"/>
  </r>
  <r>
    <d v="2025-01-08T00:00:00"/>
    <s v="G-1710-11"/>
    <x v="5"/>
    <s v="Dallas"/>
    <x v="3"/>
    <s v="AKJ"/>
    <n v="11"/>
    <n v="63"/>
    <n v="693"/>
    <s v="Credit card"/>
    <n v="13.86"/>
  </r>
  <r>
    <d v="2025-01-08T00:00:00"/>
    <s v="C-7062-11"/>
    <x v="3"/>
    <s v="Dallas"/>
    <x v="1"/>
    <s v="PKH"/>
    <n v="41"/>
    <n v="48"/>
    <n v="1968"/>
    <s v="Credit card"/>
    <n v="49.2"/>
  </r>
  <r>
    <d v="2025-01-09T00:00:00"/>
    <s v="B-5680-12"/>
    <x v="1"/>
    <s v="Plano"/>
    <x v="1"/>
    <s v="JKA"/>
    <n v="27"/>
    <n v="30"/>
    <n v="810"/>
    <s v="Credit card"/>
    <n v="17.82"/>
  </r>
  <r>
    <d v="2025-01-09T00:00:00"/>
    <s v="C-9923-12"/>
    <x v="8"/>
    <s v="McKinney"/>
    <x v="6"/>
    <s v="KQR"/>
    <n v="49"/>
    <n v="31"/>
    <n v="1519"/>
    <s v="Cash"/>
    <n v="44.051000000000002"/>
  </r>
  <r>
    <d v="2025-01-09T00:00:00"/>
    <s v="C-9974-12"/>
    <x v="8"/>
    <s v="McKinney"/>
    <x v="2"/>
    <s v="TAP"/>
    <n v="15"/>
    <n v="48"/>
    <n v="720"/>
    <s v="Credit card"/>
    <n v="17.28"/>
  </r>
  <r>
    <d v="2025-01-09T00:00:00"/>
    <s v="B-8334-12"/>
    <x v="2"/>
    <s v="Richardson"/>
    <x v="4"/>
    <s v="JKA"/>
    <n v="27"/>
    <n v="64"/>
    <n v="1728"/>
    <s v="Gift card"/>
    <n v="51.84"/>
  </r>
  <r>
    <d v="2025-01-09T00:00:00"/>
    <s v="F-1616-12"/>
    <x v="5"/>
    <s v="McKinney"/>
    <x v="4"/>
    <s v="HNP"/>
    <n v="19"/>
    <n v="69"/>
    <n v="1311"/>
    <s v="Credit card"/>
    <n v="34.085999999999999"/>
  </r>
  <r>
    <d v="2025-01-09T00:00:00"/>
    <s v="A-2062-12"/>
    <x v="5"/>
    <s v="Allen"/>
    <x v="2"/>
    <s v="JKA"/>
    <n v="33"/>
    <n v="79"/>
    <n v="2607"/>
    <s v="Credit card"/>
    <n v="62.567999999999998"/>
  </r>
  <r>
    <d v="2025-01-09T00:00:00"/>
    <s v="F-8361-12"/>
    <x v="3"/>
    <s v="Plano"/>
    <x v="0"/>
    <s v="TSA"/>
    <n v="53"/>
    <n v="38"/>
    <n v="2014"/>
    <s v="Gift card"/>
    <n v="52.363999999999997"/>
  </r>
  <r>
    <d v="2025-01-09T00:00:00"/>
    <s v="E-9161-12"/>
    <x v="8"/>
    <s v="Plano"/>
    <x v="4"/>
    <s v="KQR"/>
    <n v="16"/>
    <n v="47"/>
    <n v="752"/>
    <s v="Credit card"/>
    <n v="18.8"/>
  </r>
  <r>
    <d v="2025-01-09T00:00:00"/>
    <s v="G-6980-12"/>
    <x v="7"/>
    <s v="Dallas"/>
    <x v="2"/>
    <s v="ATP"/>
    <n v="49"/>
    <n v="43"/>
    <n v="2107"/>
    <s v="Gift card"/>
    <n v="56.889000000000003"/>
  </r>
  <r>
    <d v="2025-01-10T00:00:00"/>
    <s v="C-1827-13"/>
    <x v="3"/>
    <s v="Dallas"/>
    <x v="4"/>
    <s v="KQR"/>
    <n v="22"/>
    <n v="53"/>
    <n v="1166"/>
    <s v="Check"/>
    <n v="25.652000000000001"/>
  </r>
  <r>
    <d v="2025-01-10T00:00:00"/>
    <s v="H-2284-13"/>
    <x v="8"/>
    <s v="Coppell"/>
    <x v="6"/>
    <s v="MSP"/>
    <n v="30"/>
    <n v="55"/>
    <n v="1650"/>
    <s v="Credit card"/>
    <n v="34.65"/>
  </r>
  <r>
    <d v="2025-01-10T00:00:00"/>
    <s v="A-3151-13"/>
    <x v="1"/>
    <s v="Coppell"/>
    <x v="1"/>
    <s v="TAP"/>
    <n v="14"/>
    <n v="68"/>
    <n v="952"/>
    <s v="Check"/>
    <n v="28.56"/>
  </r>
  <r>
    <d v="2025-01-10T00:00:00"/>
    <s v="E-8292-13"/>
    <x v="2"/>
    <s v="Dallas"/>
    <x v="4"/>
    <s v="APS"/>
    <n v="59"/>
    <n v="63"/>
    <n v="3717"/>
    <s v="Credit card"/>
    <n v="89.207999999999998"/>
  </r>
  <r>
    <d v="2025-01-10T00:00:00"/>
    <s v="D-4814-13"/>
    <x v="7"/>
    <s v="Dallas"/>
    <x v="5"/>
    <s v="SMH"/>
    <n v="51"/>
    <n v="78"/>
    <n v="3978"/>
    <s v="Cash"/>
    <n v="103.428"/>
  </r>
  <r>
    <d v="2025-01-10T00:00:00"/>
    <s v="D-5274-13"/>
    <x v="1"/>
    <s v="McKinney"/>
    <x v="6"/>
    <s v="ATP"/>
    <n v="14"/>
    <n v="59"/>
    <n v="826"/>
    <s v="Credit card"/>
    <n v="17.346"/>
  </r>
  <r>
    <d v="2025-01-10T00:00:00"/>
    <s v="H-8921-13"/>
    <x v="1"/>
    <s v="Plano"/>
    <x v="4"/>
    <s v="MSP"/>
    <n v="52"/>
    <n v="80"/>
    <n v="4160"/>
    <s v="Cash"/>
    <n v="124.8"/>
  </r>
  <r>
    <d v="2025-01-10T00:00:00"/>
    <s v="F-5060-13"/>
    <x v="1"/>
    <s v="Plano"/>
    <x v="6"/>
    <s v="ATP"/>
    <n v="49"/>
    <n v="35"/>
    <n v="1715"/>
    <s v="Credit card"/>
    <n v="41.16"/>
  </r>
  <r>
    <d v="2025-01-10T00:00:00"/>
    <s v="G-3354-13"/>
    <x v="7"/>
    <s v="Richardson"/>
    <x v="4"/>
    <s v="JKA"/>
    <n v="48"/>
    <n v="72"/>
    <n v="3456"/>
    <s v="Credit card"/>
    <n v="76.031999999999996"/>
  </r>
  <r>
    <d v="2025-01-10T00:00:00"/>
    <s v="H-9120-13"/>
    <x v="1"/>
    <s v="Richardson"/>
    <x v="4"/>
    <s v="KQR"/>
    <n v="47"/>
    <n v="41"/>
    <n v="1927"/>
    <s v="Check"/>
    <n v="46.247999999999998"/>
  </r>
  <r>
    <d v="2025-01-11T00:00:00"/>
    <s v="E-9449-14"/>
    <x v="5"/>
    <s v="Dallas"/>
    <x v="5"/>
    <s v="ARP"/>
    <n v="39"/>
    <n v="51"/>
    <n v="1989"/>
    <s v="Check"/>
    <n v="55.692"/>
  </r>
  <r>
    <d v="2025-01-12T00:00:00"/>
    <s v="G-1951-15"/>
    <x v="7"/>
    <s v="Dallas"/>
    <x v="2"/>
    <s v="TSA"/>
    <n v="10"/>
    <n v="70"/>
    <n v="700"/>
    <s v="Gift card"/>
    <n v="21"/>
  </r>
  <r>
    <d v="2025-01-12T00:00:00"/>
    <s v="F-9833-15"/>
    <x v="7"/>
    <s v="Richardson"/>
    <x v="3"/>
    <s v="TSQ"/>
    <n v="15"/>
    <n v="52"/>
    <n v="780"/>
    <s v="Credit card"/>
    <n v="16.38"/>
  </r>
  <r>
    <d v="2025-01-12T00:00:00"/>
    <s v="B-5594-15"/>
    <x v="7"/>
    <s v="Plano"/>
    <x v="4"/>
    <s v="TAP"/>
    <n v="58"/>
    <n v="56"/>
    <n v="3248"/>
    <s v="Gift card"/>
    <n v="84.447999999999993"/>
  </r>
  <r>
    <d v="2025-01-12T00:00:00"/>
    <s v="F-2237-15"/>
    <x v="4"/>
    <s v="Dallas"/>
    <x v="1"/>
    <s v="SMH"/>
    <n v="46"/>
    <n v="31"/>
    <n v="1426"/>
    <s v="Check"/>
    <n v="34.223999999999997"/>
  </r>
  <r>
    <d v="2025-01-12T00:00:00"/>
    <s v="C-1507-15"/>
    <x v="7"/>
    <s v="Frisco"/>
    <x v="1"/>
    <s v="APS"/>
    <n v="30"/>
    <n v="69"/>
    <n v="2070"/>
    <s v="Credit card"/>
    <n v="62.1"/>
  </r>
  <r>
    <d v="2025-01-12T00:00:00"/>
    <s v="H-1724-15"/>
    <x v="8"/>
    <s v="McKinney"/>
    <x v="3"/>
    <s v="SAT"/>
    <n v="12"/>
    <n v="58"/>
    <n v="696"/>
    <s v="Credit card"/>
    <n v="18.792000000000002"/>
  </r>
  <r>
    <d v="2025-01-12T00:00:00"/>
    <s v="G-9589-15"/>
    <x v="8"/>
    <s v="Dallas"/>
    <x v="0"/>
    <s v="JKA"/>
    <n v="11"/>
    <n v="73"/>
    <n v="803"/>
    <s v="Cash"/>
    <n v="18.469000000000001"/>
  </r>
  <r>
    <d v="2025-01-12T00:00:00"/>
    <s v="F-2146-15"/>
    <x v="2"/>
    <s v="Frisco"/>
    <x v="0"/>
    <s v="HNP"/>
    <n v="51"/>
    <n v="38"/>
    <n v="1938"/>
    <s v="Gift card"/>
    <n v="50.387999999999998"/>
  </r>
  <r>
    <d v="2025-01-12T00:00:00"/>
    <s v="B-2485-15"/>
    <x v="8"/>
    <s v="McKinney"/>
    <x v="3"/>
    <s v="KQR"/>
    <n v="48"/>
    <n v="41"/>
    <n v="1968"/>
    <s v="Credit card"/>
    <n v="55.103999999999999"/>
  </r>
  <r>
    <d v="2025-01-12T00:00:00"/>
    <s v="A-8561-15"/>
    <x v="8"/>
    <s v="McKinney"/>
    <x v="3"/>
    <s v="PKH"/>
    <n v="35"/>
    <n v="36"/>
    <n v="1260"/>
    <s v="Credit card"/>
    <n v="32.76"/>
  </r>
  <r>
    <d v="2025-01-12T00:00:00"/>
    <s v="E-1973-15"/>
    <x v="1"/>
    <s v="Plano"/>
    <x v="2"/>
    <s v="TSQ"/>
    <n v="45"/>
    <n v="76"/>
    <n v="3420"/>
    <s v="Cash"/>
    <n v="82.08"/>
  </r>
  <r>
    <d v="2025-01-12T00:00:00"/>
    <s v="C-2575-15"/>
    <x v="6"/>
    <s v="Plano"/>
    <x v="4"/>
    <s v="ATP"/>
    <n v="30"/>
    <n v="68"/>
    <n v="2040"/>
    <s v="Gift card"/>
    <n v="51"/>
  </r>
  <r>
    <d v="2025-01-13T00:00:00"/>
    <s v="F-1408-16"/>
    <x v="4"/>
    <s v="Frisco"/>
    <x v="2"/>
    <s v="HTE"/>
    <n v="33"/>
    <n v="65"/>
    <n v="2145"/>
    <s v="Gift card"/>
    <n v="55.77"/>
  </r>
  <r>
    <d v="2025-01-13T00:00:00"/>
    <s v="F-7593-16"/>
    <x v="5"/>
    <s v="Plano"/>
    <x v="5"/>
    <s v="AKJ"/>
    <n v="32"/>
    <n v="70"/>
    <n v="2240"/>
    <s v="Cash"/>
    <n v="51.52"/>
  </r>
  <r>
    <d v="2025-01-13T00:00:00"/>
    <s v="G-9773-16"/>
    <x v="4"/>
    <s v="Frisco"/>
    <x v="4"/>
    <s v="TSQ"/>
    <n v="14"/>
    <n v="51"/>
    <n v="714"/>
    <s v="Cash"/>
    <n v="14.28"/>
  </r>
  <r>
    <d v="2025-01-13T00:00:00"/>
    <s v="A-3637-16"/>
    <x v="0"/>
    <s v="Allen"/>
    <x v="4"/>
    <s v="HTE"/>
    <n v="12"/>
    <n v="77"/>
    <n v="924"/>
    <s v="Cash"/>
    <n v="26.795999999999999"/>
  </r>
  <r>
    <d v="2025-01-13T00:00:00"/>
    <s v="E-9377-16"/>
    <x v="8"/>
    <s v="Dallas"/>
    <x v="4"/>
    <s v="AKJ"/>
    <n v="36"/>
    <n v="67"/>
    <n v="2412"/>
    <s v="Cash"/>
    <n v="50.652000000000001"/>
  </r>
  <r>
    <d v="2025-01-14T00:00:00"/>
    <s v="E-2445-17"/>
    <x v="1"/>
    <s v="Frisco"/>
    <x v="6"/>
    <s v="MSP"/>
    <n v="27"/>
    <n v="34"/>
    <n v="918"/>
    <s v="Gift card"/>
    <n v="25.704000000000001"/>
  </r>
  <r>
    <d v="2025-01-14T00:00:00"/>
    <s v="F-8326-17"/>
    <x v="1"/>
    <s v="McKinney"/>
    <x v="6"/>
    <s v="PKH"/>
    <n v="27"/>
    <n v="32"/>
    <n v="864"/>
    <s v="Gift card"/>
    <n v="20.736000000000001"/>
  </r>
  <r>
    <d v="2025-01-15T00:00:00"/>
    <s v="D-5080-18"/>
    <x v="8"/>
    <s v="Dallas"/>
    <x v="4"/>
    <s v="PFF"/>
    <n v="53"/>
    <n v="33"/>
    <n v="1749"/>
    <s v="Credit card"/>
    <n v="34.979999999999997"/>
  </r>
  <r>
    <d v="2025-01-15T00:00:00"/>
    <s v="H-6655-18"/>
    <x v="4"/>
    <s v="McKinney"/>
    <x v="3"/>
    <s v="JKA"/>
    <n v="45"/>
    <n v="48"/>
    <n v="2160"/>
    <s v="Check"/>
    <n v="43.2"/>
  </r>
  <r>
    <d v="2025-01-15T00:00:00"/>
    <s v="B-2634-18"/>
    <x v="7"/>
    <s v="McKinney"/>
    <x v="5"/>
    <s v="PKH"/>
    <n v="53"/>
    <n v="79"/>
    <n v="4187"/>
    <s v="Check"/>
    <n v="113.04900000000001"/>
  </r>
  <r>
    <d v="2025-01-15T00:00:00"/>
    <s v="C-5256-18"/>
    <x v="7"/>
    <s v="Allen"/>
    <x v="3"/>
    <s v="HNP"/>
    <n v="16"/>
    <n v="67"/>
    <n v="1072"/>
    <s v="Cash"/>
    <n v="31.088000000000001"/>
  </r>
  <r>
    <d v="2025-01-15T00:00:00"/>
    <s v="D-6751-18"/>
    <x v="2"/>
    <s v="McKinney"/>
    <x v="6"/>
    <s v="HTE"/>
    <n v="24"/>
    <n v="73"/>
    <n v="1752"/>
    <s v="Credit card"/>
    <n v="52.56"/>
  </r>
  <r>
    <d v="2025-01-16T00:00:00"/>
    <s v="A-7027-19"/>
    <x v="4"/>
    <s v="Frisco"/>
    <x v="1"/>
    <s v="HNP"/>
    <n v="16"/>
    <n v="65"/>
    <n v="1040"/>
    <s v="Credit card"/>
    <n v="27.04"/>
  </r>
  <r>
    <d v="2025-01-16T00:00:00"/>
    <s v="B-9216-19"/>
    <x v="0"/>
    <s v="Frisco"/>
    <x v="2"/>
    <s v="ZAA"/>
    <n v="41"/>
    <n v="78"/>
    <n v="3198"/>
    <s v="Credit card"/>
    <n v="63.96"/>
  </r>
  <r>
    <d v="2025-01-16T00:00:00"/>
    <s v="D-5653-19"/>
    <x v="5"/>
    <s v="Frisco"/>
    <x v="2"/>
    <s v="HNP"/>
    <n v="49"/>
    <n v="45"/>
    <n v="2205"/>
    <s v="Credit card"/>
    <n v="55.125"/>
  </r>
  <r>
    <d v="2025-01-16T00:00:00"/>
    <s v="B-5071-19"/>
    <x v="1"/>
    <s v="Allen"/>
    <x v="3"/>
    <s v="ATP"/>
    <n v="22"/>
    <n v="71"/>
    <n v="1562"/>
    <s v="Credit card"/>
    <n v="37.488"/>
  </r>
  <r>
    <d v="2025-01-17T00:00:00"/>
    <s v="A-5990-20"/>
    <x v="7"/>
    <s v="Dallas"/>
    <x v="5"/>
    <s v="APS"/>
    <n v="59"/>
    <n v="57"/>
    <n v="3363"/>
    <s v="Credit card"/>
    <n v="100.89"/>
  </r>
  <r>
    <d v="2025-01-17T00:00:00"/>
    <s v="C-2988-20"/>
    <x v="3"/>
    <s v="Allen"/>
    <x v="5"/>
    <s v="PFF"/>
    <n v="40"/>
    <n v="41"/>
    <n v="1640"/>
    <s v="Credit card"/>
    <n v="45.92"/>
  </r>
  <r>
    <d v="2025-01-17T00:00:00"/>
    <s v="H-7138-20"/>
    <x v="5"/>
    <s v="Richardson"/>
    <x v="2"/>
    <s v="JKA"/>
    <n v="52"/>
    <n v="40"/>
    <n v="2080"/>
    <s v="Cash"/>
    <n v="41.6"/>
  </r>
  <r>
    <d v="2025-01-17T00:00:00"/>
    <s v="D-7753-20"/>
    <x v="7"/>
    <s v="Allen"/>
    <x v="6"/>
    <s v="TAP"/>
    <n v="43"/>
    <n v="67"/>
    <n v="2881"/>
    <s v="Cash"/>
    <n v="60.500999999999998"/>
  </r>
  <r>
    <d v="2025-01-17T00:00:00"/>
    <s v="B-2729-20"/>
    <x v="7"/>
    <s v="Allen"/>
    <x v="1"/>
    <s v="KQR"/>
    <n v="44"/>
    <n v="35"/>
    <n v="1540"/>
    <s v="Credit card"/>
    <n v="40.04"/>
  </r>
  <r>
    <d v="2025-01-17T00:00:00"/>
    <s v="A-8052-20"/>
    <x v="2"/>
    <s v="Allen"/>
    <x v="0"/>
    <s v="TSA"/>
    <n v="54"/>
    <n v="72"/>
    <n v="3888"/>
    <s v="Gift card"/>
    <n v="97.2"/>
  </r>
  <r>
    <d v="2025-01-17T00:00:00"/>
    <s v="E-3156-20"/>
    <x v="6"/>
    <s v="Richardson"/>
    <x v="1"/>
    <s v="HTE"/>
    <n v="24"/>
    <n v="52"/>
    <n v="1248"/>
    <s v="Cash"/>
    <n v="27.456"/>
  </r>
  <r>
    <d v="2025-01-17T00:00:00"/>
    <s v="B-8352-20"/>
    <x v="7"/>
    <s v="Dallas"/>
    <x v="1"/>
    <s v="AKJ"/>
    <n v="58"/>
    <n v="69"/>
    <n v="4002"/>
    <s v="Credit card"/>
    <n v="84.042000000000002"/>
  </r>
  <r>
    <d v="2025-01-18T00:00:00"/>
    <s v="A-6540-21"/>
    <x v="3"/>
    <s v="Frisco"/>
    <x v="3"/>
    <s v="HNP"/>
    <n v="20"/>
    <n v="60"/>
    <n v="1200"/>
    <s v="Check"/>
    <n v="33.6"/>
  </r>
  <r>
    <d v="2025-01-18T00:00:00"/>
    <s v="G-5792-21"/>
    <x v="7"/>
    <s v="Frisco"/>
    <x v="1"/>
    <s v="JKA"/>
    <n v="43"/>
    <n v="44"/>
    <n v="1892"/>
    <s v="Cash"/>
    <n v="52.975999999999999"/>
  </r>
  <r>
    <d v="2025-01-18T00:00:00"/>
    <s v="A-9461-21"/>
    <x v="6"/>
    <s v="Dallas"/>
    <x v="5"/>
    <s v="AKJ"/>
    <n v="16"/>
    <n v="58"/>
    <n v="928"/>
    <s v="Gift card"/>
    <n v="24.128"/>
  </r>
  <r>
    <d v="2025-01-18T00:00:00"/>
    <s v="A-9384-21"/>
    <x v="3"/>
    <s v="Dallas"/>
    <x v="6"/>
    <s v="PFF"/>
    <n v="20"/>
    <n v="50"/>
    <n v="1000"/>
    <s v="Credit card"/>
    <n v="30"/>
  </r>
  <r>
    <d v="2025-01-18T00:00:00"/>
    <s v="H-1901-21"/>
    <x v="6"/>
    <s v="Coppell"/>
    <x v="4"/>
    <s v="SMH"/>
    <n v="48"/>
    <n v="45"/>
    <n v="2160"/>
    <s v="Credit card"/>
    <n v="54"/>
  </r>
  <r>
    <d v="2025-01-18T00:00:00"/>
    <s v="G-8543-21"/>
    <x v="1"/>
    <s v="Plano"/>
    <x v="3"/>
    <s v="HTE"/>
    <n v="13"/>
    <n v="56"/>
    <n v="728"/>
    <s v="Credit card"/>
    <n v="18.928000000000001"/>
  </r>
  <r>
    <d v="2025-01-19T00:00:00"/>
    <s v="C-5827-22"/>
    <x v="4"/>
    <s v="Dallas"/>
    <x v="1"/>
    <s v="SMH"/>
    <n v="59"/>
    <n v="57"/>
    <n v="3363"/>
    <s v="Gift card"/>
    <n v="97.527000000000001"/>
  </r>
  <r>
    <d v="2025-01-20T00:00:00"/>
    <s v="B-9755-23"/>
    <x v="1"/>
    <s v="Dallas"/>
    <x v="6"/>
    <s v="APS"/>
    <n v="25"/>
    <n v="51"/>
    <n v="1275"/>
    <s v="Credit card"/>
    <n v="35.700000000000003"/>
  </r>
  <r>
    <d v="2025-01-20T00:00:00"/>
    <s v="A-3397-23"/>
    <x v="8"/>
    <s v="Dallas"/>
    <x v="6"/>
    <s v="KQR"/>
    <n v="46"/>
    <n v="53"/>
    <n v="2438"/>
    <s v="Gift card"/>
    <n v="63.387999999999998"/>
  </r>
  <r>
    <d v="2025-01-20T00:00:00"/>
    <s v="D-2654-23"/>
    <x v="7"/>
    <s v="Coppell"/>
    <x v="1"/>
    <s v="APS"/>
    <n v="34"/>
    <n v="21"/>
    <n v="714"/>
    <s v="Cash"/>
    <n v="17.135999999999999"/>
  </r>
  <r>
    <d v="2025-01-20T00:00:00"/>
    <s v="B-8289-23"/>
    <x v="4"/>
    <s v="Allen"/>
    <x v="2"/>
    <s v="TSQ"/>
    <n v="24"/>
    <n v="49"/>
    <n v="1176"/>
    <s v="Check"/>
    <n v="35.28"/>
  </r>
  <r>
    <d v="2025-01-20T00:00:00"/>
    <s v="F-8959-23"/>
    <x v="4"/>
    <s v="Coppell"/>
    <x v="1"/>
    <s v="TSQ"/>
    <n v="29"/>
    <n v="48"/>
    <n v="1392"/>
    <s v="Cash"/>
    <n v="32.015999999999998"/>
  </r>
  <r>
    <d v="2025-01-20T00:00:00"/>
    <s v="A-9801-23"/>
    <x v="1"/>
    <s v="Coppell"/>
    <x v="0"/>
    <s v="PKH"/>
    <n v="11"/>
    <n v="30"/>
    <n v="330"/>
    <s v="Gift card"/>
    <n v="6.93"/>
  </r>
  <r>
    <d v="2025-01-20T00:00:00"/>
    <s v="F-7391-23"/>
    <x v="7"/>
    <s v="Dallas"/>
    <x v="3"/>
    <s v="JKA"/>
    <n v="40"/>
    <n v="53"/>
    <n v="2120"/>
    <s v="Credit card"/>
    <n v="48.76"/>
  </r>
  <r>
    <d v="2025-01-20T00:00:00"/>
    <s v="C-5676-23"/>
    <x v="4"/>
    <s v="Dallas"/>
    <x v="0"/>
    <s v="JKA"/>
    <n v="15"/>
    <n v="40"/>
    <n v="600"/>
    <s v="Cash"/>
    <n v="16.8"/>
  </r>
  <r>
    <d v="2025-01-20T00:00:00"/>
    <s v="C-7062-23"/>
    <x v="5"/>
    <s v="Richardson"/>
    <x v="4"/>
    <s v="TSA"/>
    <n v="29"/>
    <n v="24"/>
    <n v="696"/>
    <s v="Gift card"/>
    <n v="18.792000000000002"/>
  </r>
  <r>
    <d v="2025-01-20T00:00:00"/>
    <s v="H-3794-23"/>
    <x v="4"/>
    <s v="McKinney"/>
    <x v="5"/>
    <s v="TSA"/>
    <n v="56"/>
    <n v="46"/>
    <n v="2576"/>
    <s v="Cash"/>
    <n v="59.247999999999998"/>
  </r>
  <r>
    <d v="2025-01-21T00:00:00"/>
    <s v="G-8822-24"/>
    <x v="1"/>
    <s v="McKinney"/>
    <x v="4"/>
    <s v="ARP"/>
    <n v="12"/>
    <n v="37"/>
    <n v="444"/>
    <s v="Gift card"/>
    <n v="11.544"/>
  </r>
  <r>
    <d v="2025-01-21T00:00:00"/>
    <s v="G-6764-24"/>
    <x v="4"/>
    <s v="Frisco"/>
    <x v="3"/>
    <s v="TAP"/>
    <n v="24"/>
    <n v="47"/>
    <n v="1128"/>
    <s v="Credit card"/>
    <n v="22.56"/>
  </r>
  <r>
    <d v="2025-01-21T00:00:00"/>
    <s v="B-7942-24"/>
    <x v="4"/>
    <s v="McKinney"/>
    <x v="0"/>
    <s v="ARP"/>
    <n v="30"/>
    <n v="60"/>
    <n v="1800"/>
    <s v="Credit card"/>
    <n v="48.6"/>
  </r>
  <r>
    <d v="2025-01-21T00:00:00"/>
    <s v="D-7149-24"/>
    <x v="8"/>
    <s v="Plano"/>
    <x v="2"/>
    <s v="APS"/>
    <n v="26"/>
    <n v="53"/>
    <n v="1378"/>
    <s v="Gift card"/>
    <n v="31.693999999999999"/>
  </r>
  <r>
    <d v="2025-01-21T00:00:00"/>
    <s v="C-7312-24"/>
    <x v="7"/>
    <s v="Plano"/>
    <x v="4"/>
    <s v="ATP"/>
    <n v="56"/>
    <n v="52"/>
    <n v="2912"/>
    <s v="Credit card"/>
    <n v="87.36"/>
  </r>
  <r>
    <d v="2025-01-21T00:00:00"/>
    <s v="B-2139-24"/>
    <x v="4"/>
    <s v="Dallas"/>
    <x v="4"/>
    <s v="ZAA"/>
    <n v="10"/>
    <n v="48"/>
    <n v="480"/>
    <s v="Cash"/>
    <n v="12.48"/>
  </r>
  <r>
    <d v="2025-01-21T00:00:00"/>
    <s v="F-3760-24"/>
    <x v="0"/>
    <s v="Richardson"/>
    <x v="3"/>
    <s v="PKH"/>
    <n v="38"/>
    <n v="52"/>
    <n v="1976"/>
    <s v="Cash"/>
    <n v="55.328000000000003"/>
  </r>
  <r>
    <d v="2025-01-21T00:00:00"/>
    <s v="A-7109-24"/>
    <x v="7"/>
    <s v="Richardson"/>
    <x v="1"/>
    <s v="JKA"/>
    <n v="48"/>
    <n v="47"/>
    <n v="2256"/>
    <s v="Credit card"/>
    <n v="47.375999999999998"/>
  </r>
  <r>
    <d v="2025-01-21T00:00:00"/>
    <s v="H-3727-24"/>
    <x v="6"/>
    <s v="Frisco"/>
    <x v="1"/>
    <s v="TSA"/>
    <n v="41"/>
    <n v="45"/>
    <n v="1845"/>
    <s v="Check"/>
    <n v="47.97"/>
  </r>
  <r>
    <d v="2025-01-21T00:00:00"/>
    <s v="A-3611-24"/>
    <x v="4"/>
    <s v="McKinney"/>
    <x v="4"/>
    <s v="AKJ"/>
    <n v="29"/>
    <n v="47"/>
    <n v="1363"/>
    <s v="Credit card"/>
    <n v="35.438000000000002"/>
  </r>
  <r>
    <d v="2025-01-21T00:00:00"/>
    <s v="E-9911-24"/>
    <x v="0"/>
    <s v="Richardson"/>
    <x v="2"/>
    <s v="HTE"/>
    <n v="28"/>
    <n v="31"/>
    <n v="868"/>
    <s v="Credit card"/>
    <n v="19.963999999999999"/>
  </r>
  <r>
    <d v="2025-01-21T00:00:00"/>
    <s v="D-3829-24"/>
    <x v="1"/>
    <s v="Frisco"/>
    <x v="4"/>
    <s v="JKA"/>
    <n v="35"/>
    <n v="53"/>
    <n v="1855"/>
    <s v="Credit card"/>
    <n v="50.085000000000001"/>
  </r>
  <r>
    <d v="2025-01-21T00:00:00"/>
    <s v="G-6459-24"/>
    <x v="1"/>
    <s v="Frisco"/>
    <x v="3"/>
    <s v="JKA"/>
    <n v="60"/>
    <n v="36"/>
    <n v="2160"/>
    <s v="Cash"/>
    <n v="45.36"/>
  </r>
  <r>
    <d v="2025-01-21T00:00:00"/>
    <s v="B-9035-24"/>
    <x v="4"/>
    <s v="Coppell"/>
    <x v="1"/>
    <s v="TSA"/>
    <n v="27"/>
    <n v="48"/>
    <n v="1296"/>
    <s v="Gift card"/>
    <n v="33.695999999999998"/>
  </r>
  <r>
    <d v="2025-01-21T00:00:00"/>
    <s v="E-4407-24"/>
    <x v="3"/>
    <s v="Allen"/>
    <x v="4"/>
    <s v="TSQ"/>
    <n v="16"/>
    <n v="35"/>
    <n v="560"/>
    <s v="Gift card"/>
    <n v="15.68"/>
  </r>
  <r>
    <d v="2025-01-22T00:00:00"/>
    <s v="F-4120-25"/>
    <x v="6"/>
    <s v="Dallas"/>
    <x v="0"/>
    <s v="TAP"/>
    <n v="60"/>
    <n v="60"/>
    <n v="3600"/>
    <s v="Cash"/>
    <n v="108"/>
  </r>
  <r>
    <d v="2025-01-22T00:00:00"/>
    <s v="A-4157-25"/>
    <x v="4"/>
    <s v="McKinney"/>
    <x v="0"/>
    <s v="TSQ"/>
    <n v="44"/>
    <n v="53"/>
    <n v="2332"/>
    <s v="Cash"/>
    <n v="51.304000000000002"/>
  </r>
  <r>
    <d v="2025-01-22T00:00:00"/>
    <s v="D-7379-25"/>
    <x v="2"/>
    <s v="Plano"/>
    <x v="4"/>
    <s v="SMH"/>
    <n v="60"/>
    <n v="38"/>
    <n v="2280"/>
    <s v="Credit card"/>
    <n v="61.56"/>
  </r>
  <r>
    <d v="2025-01-22T00:00:00"/>
    <s v="F-2201-25"/>
    <x v="2"/>
    <s v="Coppell"/>
    <x v="1"/>
    <s v="TAP"/>
    <n v="51"/>
    <n v="20"/>
    <n v="1020"/>
    <s v="Cash"/>
    <n v="24.48"/>
  </r>
  <r>
    <d v="2025-01-23T00:00:00"/>
    <s v="H-4610-26"/>
    <x v="7"/>
    <s v="Coppell"/>
    <x v="4"/>
    <s v="SAT"/>
    <n v="39"/>
    <n v="26"/>
    <n v="1014"/>
    <s v="Credit card"/>
    <n v="20.28"/>
  </r>
  <r>
    <d v="2025-01-24T00:00:00"/>
    <s v="D-8415-27"/>
    <x v="3"/>
    <s v="Allen"/>
    <x v="0"/>
    <s v="KQR"/>
    <n v="59"/>
    <n v="41"/>
    <n v="2419"/>
    <s v="Check"/>
    <n v="65.313000000000002"/>
  </r>
  <r>
    <d v="2025-01-24T00:00:00"/>
    <s v="A-8370-27"/>
    <x v="2"/>
    <s v="Coppell"/>
    <x v="2"/>
    <s v="MSP"/>
    <n v="56"/>
    <n v="25"/>
    <n v="1400"/>
    <s v="Credit card"/>
    <n v="42"/>
  </r>
  <r>
    <d v="2025-01-25T00:00:00"/>
    <s v="B-5256-28"/>
    <x v="4"/>
    <s v="Dallas"/>
    <x v="6"/>
    <s v="JKA"/>
    <n v="41"/>
    <n v="25"/>
    <n v="1025"/>
    <s v="Cash"/>
    <n v="26.65"/>
  </r>
  <r>
    <d v="2025-01-25T00:00:00"/>
    <s v="E-4834-28"/>
    <x v="4"/>
    <s v="Dallas"/>
    <x v="1"/>
    <s v="ATP"/>
    <n v="32"/>
    <n v="51"/>
    <n v="1632"/>
    <s v="Cash"/>
    <n v="40.799999999999997"/>
  </r>
  <r>
    <d v="2025-01-25T00:00:00"/>
    <s v="E-3039-28"/>
    <x v="7"/>
    <s v="Allen"/>
    <x v="6"/>
    <s v="SMH"/>
    <n v="10"/>
    <n v="39"/>
    <n v="390"/>
    <s v="Cash"/>
    <n v="8.19"/>
  </r>
  <r>
    <d v="2025-01-25T00:00:00"/>
    <s v="H-3123-28"/>
    <x v="6"/>
    <s v="Plano"/>
    <x v="1"/>
    <s v="TAP"/>
    <n v="17"/>
    <n v="55"/>
    <n v="935"/>
    <s v="Credit card"/>
    <n v="24.31"/>
  </r>
  <r>
    <d v="2025-01-25T00:00:00"/>
    <s v="G-9353-28"/>
    <x v="2"/>
    <s v="Plano"/>
    <x v="2"/>
    <s v="SAT"/>
    <n v="37"/>
    <n v="45"/>
    <n v="1665"/>
    <s v="Cash"/>
    <n v="33.299999999999997"/>
  </r>
  <r>
    <d v="2025-01-25T00:00:00"/>
    <s v="F-4940-28"/>
    <x v="7"/>
    <s v="Allen"/>
    <x v="6"/>
    <s v="AKJ"/>
    <n v="43"/>
    <n v="25"/>
    <n v="1075"/>
    <s v="Credit card"/>
    <n v="22.574999999999999"/>
  </r>
  <r>
    <d v="2025-01-25T00:00:00"/>
    <s v="E-7772-28"/>
    <x v="2"/>
    <s v="McKinney"/>
    <x v="4"/>
    <s v="ATP"/>
    <n v="53"/>
    <n v="57"/>
    <n v="3021"/>
    <s v="Credit card"/>
    <n v="66.462000000000003"/>
  </r>
  <r>
    <d v="2025-01-25T00:00:00"/>
    <s v="A-7396-28"/>
    <x v="5"/>
    <s v="Dallas"/>
    <x v="3"/>
    <s v="JKA"/>
    <n v="13"/>
    <n v="49"/>
    <n v="637"/>
    <s v="Credit card"/>
    <n v="15.925000000000001"/>
  </r>
  <r>
    <d v="2025-01-25T00:00:00"/>
    <s v="B-5994-28"/>
    <x v="3"/>
    <s v="Richardson"/>
    <x v="0"/>
    <s v="HTE"/>
    <n v="30"/>
    <n v="58"/>
    <n v="1740"/>
    <s v="Check"/>
    <n v="48.72"/>
  </r>
  <r>
    <d v="2025-01-25T00:00:00"/>
    <s v="H-5035-28"/>
    <x v="4"/>
    <s v="Richardson"/>
    <x v="3"/>
    <s v="ARP"/>
    <n v="21"/>
    <n v="47"/>
    <n v="987"/>
    <s v="Credit card"/>
    <n v="28.623000000000001"/>
  </r>
  <r>
    <d v="2025-01-25T00:00:00"/>
    <s v="B-5673-28"/>
    <x v="1"/>
    <s v="Allen"/>
    <x v="2"/>
    <s v="ZAA"/>
    <n v="12"/>
    <n v="37"/>
    <n v="444"/>
    <s v="Check"/>
    <n v="9.3239999999999998"/>
  </r>
  <r>
    <d v="2025-01-25T00:00:00"/>
    <s v="H-8854-28"/>
    <x v="4"/>
    <s v="Richardson"/>
    <x v="3"/>
    <s v="HNP"/>
    <n v="25"/>
    <n v="43"/>
    <n v="1075"/>
    <s v="Cash"/>
    <n v="31.175000000000001"/>
  </r>
  <r>
    <d v="2025-01-25T00:00:00"/>
    <s v="G-2325-28"/>
    <x v="0"/>
    <s v="Allen"/>
    <x v="3"/>
    <s v="ATP"/>
    <n v="15"/>
    <n v="30"/>
    <n v="450"/>
    <s v="Gift card"/>
    <n v="12.6"/>
  </r>
  <r>
    <d v="2025-01-26T00:00:00"/>
    <s v="E-5747-29"/>
    <x v="5"/>
    <s v="Dallas"/>
    <x v="1"/>
    <s v="JKA"/>
    <n v="56"/>
    <n v="45"/>
    <n v="2520"/>
    <s v="Credit card"/>
    <n v="57.96"/>
  </r>
  <r>
    <d v="2025-01-26T00:00:00"/>
    <s v="G-8471-29"/>
    <x v="6"/>
    <s v="Plano"/>
    <x v="4"/>
    <s v="AKJ"/>
    <n v="51"/>
    <n v="55"/>
    <n v="2805"/>
    <s v="Credit card"/>
    <n v="72.930000000000007"/>
  </r>
  <r>
    <d v="2025-01-26T00:00:00"/>
    <s v="B-9189-29"/>
    <x v="3"/>
    <s v="McKinney"/>
    <x v="6"/>
    <s v="HTE"/>
    <n v="15"/>
    <n v="40"/>
    <n v="600"/>
    <s v="Credit card"/>
    <n v="15"/>
  </r>
  <r>
    <d v="2025-01-26T00:00:00"/>
    <s v="F-9069-29"/>
    <x v="2"/>
    <s v="Plano"/>
    <x v="3"/>
    <s v="MSP"/>
    <n v="19"/>
    <n v="23"/>
    <n v="437"/>
    <s v="Credit card"/>
    <n v="8.74"/>
  </r>
  <r>
    <d v="2025-01-26T00:00:00"/>
    <s v="B-5795-29"/>
    <x v="2"/>
    <s v="Richardson"/>
    <x v="3"/>
    <s v="PKH"/>
    <n v="45"/>
    <n v="52"/>
    <n v="2340"/>
    <s v="Credit card"/>
    <n v="60.84"/>
  </r>
  <r>
    <d v="2025-01-26T00:00:00"/>
    <s v="G-3498-29"/>
    <x v="3"/>
    <s v="McKinney"/>
    <x v="4"/>
    <s v="ARP"/>
    <n v="22"/>
    <n v="59"/>
    <n v="1298"/>
    <s v="Gift card"/>
    <n v="38.94"/>
  </r>
  <r>
    <d v="2025-01-27T00:00:00"/>
    <s v="E-7059-30"/>
    <x v="7"/>
    <s v="Allen"/>
    <x v="3"/>
    <s v="APS"/>
    <n v="38"/>
    <n v="53"/>
    <n v="2014"/>
    <s v="Gift card"/>
    <n v="44.308"/>
  </r>
  <r>
    <d v="2025-01-27T00:00:00"/>
    <s v="G-7869-30"/>
    <x v="7"/>
    <s v="Allen"/>
    <x v="2"/>
    <s v="ZAA"/>
    <n v="60"/>
    <n v="33"/>
    <n v="1980"/>
    <s v="Gift card"/>
    <n v="41.58"/>
  </r>
  <r>
    <d v="2025-01-27T00:00:00"/>
    <s v="B-4423-30"/>
    <x v="7"/>
    <s v="Plano"/>
    <x v="1"/>
    <s v="HTE"/>
    <n v="11"/>
    <n v="56"/>
    <n v="616"/>
    <s v="Credit card"/>
    <n v="12.936"/>
  </r>
  <r>
    <d v="2025-01-27T00:00:00"/>
    <s v="H-6321-30"/>
    <x v="8"/>
    <s v="Dallas"/>
    <x v="1"/>
    <s v="HTE"/>
    <n v="34"/>
    <n v="20"/>
    <n v="680"/>
    <s v="Check"/>
    <n v="19.04"/>
  </r>
  <r>
    <d v="2025-01-27T00:00:00"/>
    <s v="A-4221-30"/>
    <x v="7"/>
    <s v="Plano"/>
    <x v="6"/>
    <s v="PKH"/>
    <n v="27"/>
    <n v="32"/>
    <n v="864"/>
    <s v="Credit card"/>
    <n v="19.007999999999999"/>
  </r>
  <r>
    <d v="2025-01-27T00:00:00"/>
    <s v="E-9208-30"/>
    <x v="0"/>
    <s v="Plano"/>
    <x v="1"/>
    <s v="KQR"/>
    <n v="25"/>
    <n v="56"/>
    <n v="1400"/>
    <s v="Gift card"/>
    <n v="40.6"/>
  </r>
  <r>
    <d v="2025-01-27T00:00:00"/>
    <s v="F-3283-30"/>
    <x v="7"/>
    <s v="Coppell"/>
    <x v="1"/>
    <s v="PFF"/>
    <n v="16"/>
    <n v="25"/>
    <n v="400"/>
    <s v="Cash"/>
    <n v="9.1999999999999993"/>
  </r>
  <r>
    <d v="2025-01-28T00:00:00"/>
    <s v="HK-2365-1"/>
    <x v="4"/>
    <s v="McKinney"/>
    <x v="3"/>
    <s v="AKJ"/>
    <n v="13"/>
    <n v="33"/>
    <n v="429"/>
    <s v="Credit card"/>
    <n v="9.8670000000000009"/>
  </r>
  <r>
    <d v="2025-01-28T00:00:00"/>
    <s v="GK-1304-1"/>
    <x v="4"/>
    <s v="Plano"/>
    <x v="3"/>
    <s v="SMH"/>
    <n v="36"/>
    <n v="28"/>
    <n v="1008"/>
    <s v="Credit card"/>
    <n v="23.184000000000001"/>
  </r>
  <r>
    <d v="2025-01-28T00:00:00"/>
    <s v="AK-7202-1"/>
    <x v="7"/>
    <s v="McKinney"/>
    <x v="6"/>
    <s v="KQR"/>
    <n v="33"/>
    <n v="51"/>
    <n v="1683"/>
    <s v="Credit card"/>
    <n v="33.659999999999997"/>
  </r>
  <r>
    <d v="2025-01-28T00:00:00"/>
    <s v="DK-7169-1"/>
    <x v="8"/>
    <s v="Dallas"/>
    <x v="1"/>
    <s v="PKH"/>
    <n v="30"/>
    <n v="60"/>
    <n v="1800"/>
    <s v="Credit card"/>
    <n v="43.2"/>
  </r>
  <r>
    <d v="2025-01-28T00:00:00"/>
    <s v="DK-6784-1"/>
    <x v="7"/>
    <s v="Plano"/>
    <x v="2"/>
    <s v="PKH"/>
    <n v="12"/>
    <n v="59"/>
    <n v="708"/>
    <s v="Credit card"/>
    <n v="16.283999999999999"/>
  </r>
  <r>
    <d v="2025-01-28T00:00:00"/>
    <s v="CK-1573-1"/>
    <x v="0"/>
    <s v="Dallas"/>
    <x v="2"/>
    <s v="TSQ"/>
    <n v="14"/>
    <n v="58"/>
    <n v="812"/>
    <s v="Gift card"/>
    <n v="21.111999999999998"/>
  </r>
  <r>
    <d v="2025-01-28T00:00:00"/>
    <s v="BK-2630-1"/>
    <x v="4"/>
    <s v="Frisco"/>
    <x v="5"/>
    <s v="ARP"/>
    <n v="24"/>
    <n v="26"/>
    <n v="624"/>
    <s v="Credit card"/>
    <n v="16.847999999999999"/>
  </r>
  <r>
    <d v="2025-01-28T00:00:00"/>
    <s v="BK-1512-1"/>
    <x v="3"/>
    <s v="Dallas"/>
    <x v="1"/>
    <s v="SMH"/>
    <n v="12"/>
    <n v="38"/>
    <n v="456"/>
    <s v="Credit card"/>
    <n v="9.1199999999999992"/>
  </r>
  <r>
    <d v="2025-01-28T00:00:00"/>
    <s v="FK-7331-1"/>
    <x v="2"/>
    <s v="Dallas"/>
    <x v="4"/>
    <s v="SAT"/>
    <n v="43"/>
    <n v="57"/>
    <n v="2451"/>
    <s v="Credit card"/>
    <n v="49.02"/>
  </r>
  <r>
    <d v="2025-01-28T00:00:00"/>
    <s v="AK-5074-1"/>
    <x v="1"/>
    <s v="Coppell"/>
    <x v="3"/>
    <s v="TAP"/>
    <n v="41"/>
    <n v="34"/>
    <n v="1394"/>
    <s v="Credit card"/>
    <n v="32.061999999999998"/>
  </r>
  <r>
    <d v="2025-01-28T00:00:00"/>
    <s v="GK-1549-1"/>
    <x v="4"/>
    <s v="Dallas"/>
    <x v="3"/>
    <s v="MSP"/>
    <n v="30"/>
    <n v="22"/>
    <n v="660"/>
    <s v="Cash"/>
    <n v="17.82"/>
  </r>
  <r>
    <d v="2025-01-29T00:00:00"/>
    <s v="CK-5588-2"/>
    <x v="8"/>
    <s v="Dallas"/>
    <x v="3"/>
    <s v="TAP"/>
    <n v="33"/>
    <n v="40"/>
    <n v="1320"/>
    <s v="Gift card"/>
    <n v="27.72"/>
  </r>
  <r>
    <d v="2025-01-29T00:00:00"/>
    <s v="BK-4182-2"/>
    <x v="7"/>
    <s v="Frisco"/>
    <x v="0"/>
    <s v="ARP"/>
    <n v="22"/>
    <n v="23"/>
    <n v="506"/>
    <s v="Cash"/>
    <n v="10.625999999999999"/>
  </r>
  <r>
    <d v="2025-01-29T00:00:00"/>
    <s v="HK-1218-2"/>
    <x v="2"/>
    <s v="Coppell"/>
    <x v="0"/>
    <s v="JKA"/>
    <n v="31"/>
    <n v="40"/>
    <n v="1240"/>
    <s v="Cash"/>
    <n v="37.200000000000003"/>
  </r>
  <r>
    <d v="2025-01-29T00:00:00"/>
    <s v="HK-5888-2"/>
    <x v="4"/>
    <s v="Allen"/>
    <x v="5"/>
    <s v="ZAA"/>
    <n v="33"/>
    <n v="38"/>
    <n v="1254"/>
    <s v="Cash"/>
    <n v="33.857999999999997"/>
  </r>
  <r>
    <d v="2025-01-29T00:00:00"/>
    <s v="CK-7951-2"/>
    <x v="3"/>
    <s v="Plano"/>
    <x v="6"/>
    <s v="JKA"/>
    <n v="34"/>
    <n v="49"/>
    <n v="1666"/>
    <s v="Credit card"/>
    <n v="43.316000000000003"/>
  </r>
  <r>
    <d v="2025-01-29T00:00:00"/>
    <s v="AK-5163-2"/>
    <x v="7"/>
    <s v="McKinney"/>
    <x v="4"/>
    <s v="JKA"/>
    <n v="37"/>
    <n v="21"/>
    <n v="777"/>
    <s v="Credit card"/>
    <n v="16.317"/>
  </r>
  <r>
    <d v="2025-01-29T00:00:00"/>
    <s v="HK-9598-2"/>
    <x v="1"/>
    <s v="McKinney"/>
    <x v="0"/>
    <s v="TSQ"/>
    <n v="28"/>
    <n v="24"/>
    <n v="672"/>
    <s v="Check"/>
    <n v="19.488"/>
  </r>
  <r>
    <d v="2025-01-29T00:00:00"/>
    <s v="EK-7780-2"/>
    <x v="0"/>
    <s v="Plano"/>
    <x v="2"/>
    <s v="ZAA"/>
    <n v="51"/>
    <n v="41"/>
    <n v="2091"/>
    <s v="Credit card"/>
    <n v="52.274999999999999"/>
  </r>
  <r>
    <d v="2025-01-29T00:00:00"/>
    <s v="BK-8588-2"/>
    <x v="8"/>
    <s v="Coppell"/>
    <x v="6"/>
    <s v="TSA"/>
    <n v="25"/>
    <n v="46"/>
    <n v="1150"/>
    <s v="Gift card"/>
    <n v="27.6"/>
  </r>
  <r>
    <d v="2025-01-29T00:00:00"/>
    <s v="EK-2054-2"/>
    <x v="0"/>
    <s v="Plano"/>
    <x v="4"/>
    <s v="PKH"/>
    <n v="18"/>
    <n v="21"/>
    <n v="378"/>
    <s v="Credit card"/>
    <n v="10.962"/>
  </r>
  <r>
    <d v="2025-01-29T00:00:00"/>
    <s v="GK-5861-2"/>
    <x v="8"/>
    <s v="Allen"/>
    <x v="3"/>
    <s v="SMH"/>
    <n v="10"/>
    <n v="49"/>
    <n v="490"/>
    <s v="Cash"/>
    <n v="13.72"/>
  </r>
  <r>
    <d v="2025-01-29T00:00:00"/>
    <s v="GK-1895-2"/>
    <x v="0"/>
    <s v="Plano"/>
    <x v="3"/>
    <s v="APS"/>
    <n v="50"/>
    <n v="50"/>
    <n v="2500"/>
    <s v="Cash"/>
    <n v="65"/>
  </r>
  <r>
    <d v="2025-01-29T00:00:00"/>
    <s v="GK-4844-2"/>
    <x v="8"/>
    <s v="Allen"/>
    <x v="2"/>
    <s v="MSP"/>
    <n v="14"/>
    <n v="31"/>
    <n v="434"/>
    <s v="Cash"/>
    <n v="11.718"/>
  </r>
  <r>
    <d v="2025-01-29T00:00:00"/>
    <s v="BK-6385-2"/>
    <x v="2"/>
    <s v="Plano"/>
    <x v="2"/>
    <s v="JKA"/>
    <n v="47"/>
    <n v="59"/>
    <n v="2773"/>
    <s v="Credit card"/>
    <n v="83.19"/>
  </r>
  <r>
    <d v="2025-01-29T00:00:00"/>
    <s v="GK-2803-2"/>
    <x v="5"/>
    <s v="Frisco"/>
    <x v="0"/>
    <s v="ARP"/>
    <n v="16"/>
    <n v="39"/>
    <n v="624"/>
    <s v="Credit card"/>
    <n v="13.728"/>
  </r>
  <r>
    <d v="2025-01-29T00:00:00"/>
    <s v="BK-1326-2"/>
    <x v="8"/>
    <s v="McKinney"/>
    <x v="5"/>
    <s v="TSA"/>
    <n v="17"/>
    <n v="40"/>
    <n v="680"/>
    <s v="Cash"/>
    <n v="19.04"/>
  </r>
  <r>
    <d v="2025-01-30T00:00:00"/>
    <s v="HK-8473-3"/>
    <x v="8"/>
    <s v="McKinney"/>
    <x v="3"/>
    <s v="HTE"/>
    <n v="43"/>
    <n v="46"/>
    <n v="1978"/>
    <s v="Gift card"/>
    <n v="41.537999999999997"/>
  </r>
  <r>
    <d v="2025-01-30T00:00:00"/>
    <s v="FK-5868-3"/>
    <x v="3"/>
    <s v="Dallas"/>
    <x v="3"/>
    <s v="APS"/>
    <n v="15"/>
    <n v="60"/>
    <n v="900"/>
    <s v="Credit card"/>
    <n v="18"/>
  </r>
  <r>
    <d v="2025-01-30T00:00:00"/>
    <s v="DK-6770-3"/>
    <x v="5"/>
    <s v="Allen"/>
    <x v="0"/>
    <s v="APS"/>
    <n v="17"/>
    <n v="42"/>
    <n v="714"/>
    <s v="Credit card"/>
    <n v="18.564"/>
  </r>
  <r>
    <d v="2025-01-30T00:00:00"/>
    <s v="CK-3377-3"/>
    <x v="7"/>
    <s v="Frisco"/>
    <x v="2"/>
    <s v="SMH"/>
    <n v="14"/>
    <n v="42"/>
    <n v="588"/>
    <s v="Credit card"/>
    <n v="15.288"/>
  </r>
  <r>
    <d v="2025-01-30T00:00:00"/>
    <s v="CK-4807-3"/>
    <x v="0"/>
    <s v="Allen"/>
    <x v="1"/>
    <s v="PKH"/>
    <n v="40"/>
    <n v="51"/>
    <n v="2040"/>
    <s v="Cash"/>
    <n v="42.84"/>
  </r>
  <r>
    <d v="2025-01-30T00:00:00"/>
    <s v="FK-2238-3"/>
    <x v="4"/>
    <s v="Dallas"/>
    <x v="6"/>
    <s v="PKH"/>
    <n v="23"/>
    <n v="57"/>
    <n v="1311"/>
    <s v="Check"/>
    <n v="26.22"/>
  </r>
  <r>
    <d v="2025-01-30T00:00:00"/>
    <s v="DK-8735-3"/>
    <x v="3"/>
    <s v="Richardson"/>
    <x v="3"/>
    <s v="APS"/>
    <n v="46"/>
    <n v="23"/>
    <n v="1058"/>
    <s v="Cash"/>
    <n v="30.681999999999999"/>
  </r>
  <r>
    <d v="2025-01-30T00:00:00"/>
    <s v="AK-4696-3"/>
    <x v="5"/>
    <s v="Dallas"/>
    <x v="1"/>
    <s v="JKA"/>
    <n v="30"/>
    <n v="46"/>
    <n v="1380"/>
    <s v="Cash"/>
    <n v="37.26"/>
  </r>
  <r>
    <d v="2025-01-30T00:00:00"/>
    <s v="HK-2340-3"/>
    <x v="4"/>
    <s v="Plano"/>
    <x v="5"/>
    <s v="HNP"/>
    <n v="43"/>
    <n v="46"/>
    <n v="1978"/>
    <s v="Credit card"/>
    <n v="51.427999999999997"/>
  </r>
  <r>
    <d v="2025-01-30T00:00:00"/>
    <s v="BK-6226-3"/>
    <x v="0"/>
    <s v="Plano"/>
    <x v="4"/>
    <s v="ZAA"/>
    <n v="27"/>
    <n v="25"/>
    <n v="675"/>
    <s v="Check"/>
    <n v="16.875"/>
  </r>
  <r>
    <d v="2025-01-30T00:00:00"/>
    <s v="FK-2583-3"/>
    <x v="4"/>
    <s v="Plano"/>
    <x v="0"/>
    <s v="SMH"/>
    <n v="39"/>
    <n v="33"/>
    <n v="1287"/>
    <s v="Credit card"/>
    <n v="30.888000000000002"/>
  </r>
  <r>
    <d v="2025-01-30T00:00:00"/>
    <s v="FK-4902-3"/>
    <x v="7"/>
    <s v="Dallas"/>
    <x v="0"/>
    <s v="TSA"/>
    <n v="19"/>
    <n v="55"/>
    <n v="1045"/>
    <s v="Gift card"/>
    <n v="27.17"/>
  </r>
  <r>
    <d v="2025-01-30T00:00:00"/>
    <s v="CK-9440-3"/>
    <x v="2"/>
    <s v="Plano"/>
    <x v="1"/>
    <s v="MSP"/>
    <n v="23"/>
    <n v="22"/>
    <n v="506"/>
    <s v="Check"/>
    <n v="11.132"/>
  </r>
  <r>
    <d v="2025-01-31T00:00:00"/>
    <s v="GK-7330-4"/>
    <x v="2"/>
    <s v="Plano"/>
    <x v="6"/>
    <s v="SAT"/>
    <n v="44"/>
    <n v="21"/>
    <n v="924"/>
    <s v="Credit card"/>
    <n v="19.404"/>
  </r>
  <r>
    <d v="2025-01-31T00:00:00"/>
    <s v="FK-4815-4"/>
    <x v="1"/>
    <s v="Dallas"/>
    <x v="5"/>
    <s v="PKH"/>
    <n v="29"/>
    <n v="33"/>
    <n v="957"/>
    <s v="Credit card"/>
    <n v="26.795999999999999"/>
  </r>
  <r>
    <d v="2025-01-31T00:00:00"/>
    <s v="EK-4908-4"/>
    <x v="0"/>
    <s v="Plano"/>
    <x v="3"/>
    <s v="ZAA"/>
    <n v="53"/>
    <n v="35"/>
    <n v="1855"/>
    <s v="Credit card"/>
    <n v="44.52"/>
  </r>
  <r>
    <d v="2025-01-31T00:00:00"/>
    <s v="FK-6086-4"/>
    <x v="7"/>
    <s v="Dallas"/>
    <x v="1"/>
    <s v="JKA"/>
    <n v="39"/>
    <n v="23"/>
    <n v="897"/>
    <s v="Cash"/>
    <n v="18.837"/>
  </r>
  <r>
    <d v="2025-01-31T00:00:00"/>
    <s v="HK-6404-4"/>
    <x v="7"/>
    <s v="Plano"/>
    <x v="2"/>
    <s v="ATP"/>
    <n v="49"/>
    <n v="37"/>
    <n v="1813"/>
    <s v="Check"/>
    <n v="47.137999999999998"/>
  </r>
  <r>
    <d v="2025-01-31T00:00:00"/>
    <s v="AK-4572-4"/>
    <x v="7"/>
    <s v="Frisco"/>
    <x v="5"/>
    <s v="TSA"/>
    <n v="44"/>
    <n v="49"/>
    <n v="2156"/>
    <s v="Cash"/>
    <n v="58.212000000000003"/>
  </r>
  <r>
    <d v="2025-01-31T00:00:00"/>
    <s v="GK-8935-4"/>
    <x v="2"/>
    <s v="Frisco"/>
    <x v="6"/>
    <s v="HTE"/>
    <n v="32"/>
    <n v="54"/>
    <n v="1728"/>
    <s v="Cash"/>
    <n v="38.015999999999998"/>
  </r>
  <r>
    <d v="2025-01-31T00:00:00"/>
    <s v="FK-9751-4"/>
    <x v="3"/>
    <s v="Plano"/>
    <x v="6"/>
    <s v="ZAA"/>
    <n v="21"/>
    <n v="39"/>
    <n v="819"/>
    <s v="Credit card"/>
    <n v="22.931999999999999"/>
  </r>
  <r>
    <d v="2025-01-31T00:00:00"/>
    <s v="DK-6879-4"/>
    <x v="7"/>
    <s v="Allen"/>
    <x v="1"/>
    <s v="JKA"/>
    <n v="48"/>
    <n v="43"/>
    <n v="2064"/>
    <s v="Credit card"/>
    <n v="59.856000000000002"/>
  </r>
  <r>
    <d v="2025-01-31T00:00:00"/>
    <s v="EK-8624-4"/>
    <x v="3"/>
    <s v="Plano"/>
    <x v="2"/>
    <s v="PFF"/>
    <n v="24"/>
    <n v="45"/>
    <n v="1080"/>
    <s v="Credit card"/>
    <n v="21.6"/>
  </r>
  <r>
    <d v="2025-01-31T00:00:00"/>
    <s v="EK-9971-4"/>
    <x v="7"/>
    <s v="Plano"/>
    <x v="6"/>
    <s v="JKA"/>
    <n v="12"/>
    <n v="55"/>
    <n v="660"/>
    <s v="Cash"/>
    <n v="17.82"/>
  </r>
  <r>
    <d v="2025-01-31T00:00:00"/>
    <s v="DK-8857-4"/>
    <x v="0"/>
    <s v="Frisco"/>
    <x v="1"/>
    <s v="KQR"/>
    <n v="56"/>
    <n v="37"/>
    <n v="2072"/>
    <s v="Credit card"/>
    <n v="60.088000000000001"/>
  </r>
  <r>
    <d v="2025-01-31T00:00:00"/>
    <s v="EK-1696-4"/>
    <x v="6"/>
    <s v="Allen"/>
    <x v="0"/>
    <s v="APS"/>
    <n v="50"/>
    <n v="43"/>
    <n v="2150"/>
    <s v="Credit card"/>
    <n v="53.75"/>
  </r>
  <r>
    <d v="2025-01-31T00:00:00"/>
    <s v="GK-1739-4"/>
    <x v="5"/>
    <s v="Richardson"/>
    <x v="0"/>
    <s v="MSP"/>
    <n v="14"/>
    <n v="46"/>
    <n v="644"/>
    <s v="Credit card"/>
    <n v="14.167999999999999"/>
  </r>
  <r>
    <d v="2025-01-31T00:00:00"/>
    <s v="DK-8748-4"/>
    <x v="3"/>
    <s v="Plano"/>
    <x v="5"/>
    <s v="SMH"/>
    <n v="31"/>
    <n v="31"/>
    <n v="961"/>
    <s v="Check"/>
    <n v="25.946999999999999"/>
  </r>
  <r>
    <d v="2025-01-31T00:00:00"/>
    <s v="BK-3059-4"/>
    <x v="4"/>
    <s v="Coppell"/>
    <x v="1"/>
    <s v="PFF"/>
    <n v="27"/>
    <n v="38"/>
    <n v="1026"/>
    <s v="Gift card"/>
    <n v="30.78"/>
  </r>
  <r>
    <d v="2025-02-01T00:00:00"/>
    <s v="CK-7648-5"/>
    <x v="4"/>
    <s v="Plano"/>
    <x v="4"/>
    <s v="HTE"/>
    <n v="54"/>
    <n v="59"/>
    <n v="3186"/>
    <s v="Gift card"/>
    <n v="76.463999999999999"/>
  </r>
  <r>
    <d v="2025-02-01T00:00:00"/>
    <s v="BK-5416-5"/>
    <x v="0"/>
    <s v="Coppell"/>
    <x v="1"/>
    <s v="PFF"/>
    <n v="45"/>
    <n v="59"/>
    <n v="2655"/>
    <s v="Credit card"/>
    <n v="74.34"/>
  </r>
  <r>
    <d v="2025-02-01T00:00:00"/>
    <s v="BK-8123-5"/>
    <x v="2"/>
    <s v="Allen"/>
    <x v="4"/>
    <s v="TAP"/>
    <n v="53"/>
    <n v="34"/>
    <n v="1802"/>
    <s v="Credit card"/>
    <n v="46.851999999999997"/>
  </r>
  <r>
    <d v="2025-02-01T00:00:00"/>
    <s v="EK-2243-5"/>
    <x v="5"/>
    <s v="Dallas"/>
    <x v="1"/>
    <s v="ZAA"/>
    <n v="34"/>
    <n v="26"/>
    <n v="884"/>
    <s v="Credit card"/>
    <n v="25.635999999999999"/>
  </r>
  <r>
    <d v="2025-02-01T00:00:00"/>
    <s v="FK-7821-5"/>
    <x v="4"/>
    <s v="Dallas"/>
    <x v="0"/>
    <s v="APS"/>
    <n v="49"/>
    <n v="53"/>
    <n v="2597"/>
    <s v="Credit card"/>
    <n v="51.94"/>
  </r>
  <r>
    <d v="2025-02-01T00:00:00"/>
    <s v="GK-8520-5"/>
    <x v="6"/>
    <s v="Coppell"/>
    <x v="2"/>
    <s v="ZAA"/>
    <n v="46"/>
    <n v="42"/>
    <n v="1932"/>
    <s v="Check"/>
    <n v="52.164000000000001"/>
  </r>
  <r>
    <d v="2025-02-01T00:00:00"/>
    <s v="HK-9085-5"/>
    <x v="5"/>
    <s v="Plano"/>
    <x v="3"/>
    <s v="PKH"/>
    <n v="51"/>
    <n v="53"/>
    <n v="2703"/>
    <s v="Check"/>
    <n v="67.575000000000003"/>
  </r>
  <r>
    <d v="2025-02-01T00:00:00"/>
    <s v="EK-9162-5"/>
    <x v="3"/>
    <s v="Allen"/>
    <x v="2"/>
    <s v="HTE"/>
    <n v="60"/>
    <n v="57"/>
    <n v="3420"/>
    <s v="Cash"/>
    <n v="102.6"/>
  </r>
  <r>
    <d v="2025-02-01T00:00:00"/>
    <s v="GK-2023-5"/>
    <x v="0"/>
    <s v="Richardson"/>
    <x v="5"/>
    <s v="PFF"/>
    <n v="54"/>
    <n v="34"/>
    <n v="1836"/>
    <s v="Check"/>
    <n v="55.08"/>
  </r>
  <r>
    <d v="2025-02-01T00:00:00"/>
    <s v="DK-4803-5"/>
    <x v="4"/>
    <s v="McKinney"/>
    <x v="0"/>
    <s v="TSQ"/>
    <n v="55"/>
    <n v="35"/>
    <n v="1925"/>
    <s v="Cash"/>
    <n v="42.35"/>
  </r>
  <r>
    <d v="2025-02-01T00:00:00"/>
    <s v="EK-7436-5"/>
    <x v="7"/>
    <s v="Plano"/>
    <x v="0"/>
    <s v="APS"/>
    <n v="20"/>
    <n v="42"/>
    <n v="840"/>
    <s v="Cash"/>
    <n v="20.16"/>
  </r>
  <r>
    <d v="2025-02-01T00:00:00"/>
    <s v="AK-4042-5"/>
    <x v="7"/>
    <s v="McKinney"/>
    <x v="1"/>
    <s v="TSA"/>
    <n v="45"/>
    <n v="25"/>
    <n v="1125"/>
    <s v="Cash"/>
    <n v="27"/>
  </r>
  <r>
    <d v="2025-02-01T00:00:00"/>
    <s v="CK-2423-5"/>
    <x v="2"/>
    <s v="Dallas"/>
    <x v="1"/>
    <s v="HTE"/>
    <n v="11"/>
    <n v="25"/>
    <n v="275"/>
    <s v="Credit card"/>
    <n v="8.25"/>
  </r>
  <r>
    <d v="2025-02-01T00:00:00"/>
    <s v="GK-5560-5"/>
    <x v="0"/>
    <s v="Allen"/>
    <x v="1"/>
    <s v="KQR"/>
    <n v="36"/>
    <n v="33"/>
    <n v="1188"/>
    <s v="Cash"/>
    <n v="34.451999999999998"/>
  </r>
  <r>
    <d v="2025-02-01T00:00:00"/>
    <s v="DK-7233-5"/>
    <x v="4"/>
    <s v="Plano"/>
    <x v="2"/>
    <s v="PFF"/>
    <n v="23"/>
    <n v="38"/>
    <n v="874"/>
    <s v="Cash"/>
    <n v="26.22"/>
  </r>
  <r>
    <d v="2025-02-01T00:00:00"/>
    <s v="BK-6819-5"/>
    <x v="4"/>
    <s v="Coppell"/>
    <x v="0"/>
    <s v="MSP"/>
    <n v="14"/>
    <n v="26"/>
    <n v="364"/>
    <s v="Credit card"/>
    <n v="7.6440000000000001"/>
  </r>
  <r>
    <d v="2025-02-01T00:00:00"/>
    <s v="HK-4472-5"/>
    <x v="8"/>
    <s v="Allen"/>
    <x v="6"/>
    <s v="HTE"/>
    <n v="36"/>
    <n v="57"/>
    <n v="2052"/>
    <s v="Gift card"/>
    <n v="61.56"/>
  </r>
  <r>
    <d v="2025-02-02T00:00:00"/>
    <s v="BK-8277-6"/>
    <x v="2"/>
    <s v="Dallas"/>
    <x v="1"/>
    <s v="TSQ"/>
    <n v="16"/>
    <n v="30"/>
    <n v="480"/>
    <s v="Credit card"/>
    <n v="11.52"/>
  </r>
  <r>
    <d v="2025-02-02T00:00:00"/>
    <s v="HK-9072-6"/>
    <x v="4"/>
    <s v="Dallas"/>
    <x v="6"/>
    <s v="PKH"/>
    <n v="33"/>
    <n v="21"/>
    <n v="693"/>
    <s v="Cash"/>
    <n v="14.553000000000001"/>
  </r>
  <r>
    <d v="2025-02-02T00:00:00"/>
    <s v="FK-7361-6"/>
    <x v="5"/>
    <s v="Plano"/>
    <x v="6"/>
    <s v="TSA"/>
    <n v="19"/>
    <n v="48"/>
    <n v="912"/>
    <s v="Credit card"/>
    <n v="22.8"/>
  </r>
  <r>
    <d v="2025-02-03T00:00:00"/>
    <s v="HK-2868-7"/>
    <x v="0"/>
    <s v="Plano"/>
    <x v="0"/>
    <s v="HTE"/>
    <n v="29"/>
    <n v="57"/>
    <n v="1653"/>
    <s v="Credit card"/>
    <n v="38.018999999999998"/>
  </r>
  <r>
    <d v="2025-02-03T00:00:00"/>
    <s v="HK-2406-7"/>
    <x v="4"/>
    <s v="Frisco"/>
    <x v="3"/>
    <s v="SMH"/>
    <n v="56"/>
    <n v="45"/>
    <n v="2520"/>
    <s v="Credit card"/>
    <n v="63"/>
  </r>
  <r>
    <d v="2025-02-03T00:00:00"/>
    <s v="GK-1291-7"/>
    <x v="2"/>
    <s v="Dallas"/>
    <x v="3"/>
    <s v="AKJ"/>
    <n v="48"/>
    <n v="43"/>
    <n v="2064"/>
    <s v="Gift card"/>
    <n v="55.728000000000002"/>
  </r>
  <r>
    <d v="2025-02-03T00:00:00"/>
    <s v="BK-5500-7"/>
    <x v="7"/>
    <s v="Plano"/>
    <x v="2"/>
    <s v="TAP"/>
    <n v="37"/>
    <n v="32"/>
    <n v="1184"/>
    <s v="Gift card"/>
    <n v="35.520000000000003"/>
  </r>
  <r>
    <d v="2025-02-03T00:00:00"/>
    <s v="BK-5613-7"/>
    <x v="0"/>
    <s v="Plano"/>
    <x v="1"/>
    <s v="ZAA"/>
    <n v="10"/>
    <n v="22"/>
    <n v="220"/>
    <s v="Credit card"/>
    <n v="6.6"/>
  </r>
  <r>
    <d v="2025-02-03T00:00:00"/>
    <s v="BK-5545-7"/>
    <x v="3"/>
    <s v="Plano"/>
    <x v="0"/>
    <s v="APS"/>
    <n v="54"/>
    <n v="52"/>
    <n v="2808"/>
    <s v="Gift card"/>
    <n v="64.584000000000003"/>
  </r>
  <r>
    <d v="2025-02-03T00:00:00"/>
    <s v="EK-8978-7"/>
    <x v="4"/>
    <s v="McKinney"/>
    <x v="5"/>
    <s v="HNP"/>
    <n v="53"/>
    <n v="38"/>
    <n v="2014"/>
    <s v="Cash"/>
    <n v="50.35"/>
  </r>
  <r>
    <d v="2025-02-03T00:00:00"/>
    <s v="FK-4850-7"/>
    <x v="4"/>
    <s v="Frisco"/>
    <x v="1"/>
    <s v="PKH"/>
    <n v="55"/>
    <n v="24"/>
    <n v="1320"/>
    <s v="Gift card"/>
    <n v="29.04"/>
  </r>
  <r>
    <d v="2025-02-03T00:00:00"/>
    <s v="FK-2746-7"/>
    <x v="8"/>
    <s v="Dallas"/>
    <x v="5"/>
    <s v="HTE"/>
    <n v="30"/>
    <n v="58"/>
    <n v="1740"/>
    <s v="Gift card"/>
    <n v="48.72"/>
  </r>
  <r>
    <d v="2025-02-03T00:00:00"/>
    <s v="FK-9596-7"/>
    <x v="4"/>
    <s v="Plano"/>
    <x v="3"/>
    <s v="PFF"/>
    <n v="31"/>
    <n v="39"/>
    <n v="1209"/>
    <s v="Gift card"/>
    <n v="24.18"/>
  </r>
  <r>
    <d v="2025-02-03T00:00:00"/>
    <s v="CK-4491-7"/>
    <x v="8"/>
    <s v="Dallas"/>
    <x v="5"/>
    <s v="AKJ"/>
    <n v="35"/>
    <n v="40"/>
    <n v="1400"/>
    <s v="Credit card"/>
    <n v="35"/>
  </r>
  <r>
    <d v="2025-02-03T00:00:00"/>
    <s v="AK-4579-7"/>
    <x v="8"/>
    <s v="Coppell"/>
    <x v="3"/>
    <s v="TSQ"/>
    <n v="33"/>
    <n v="25"/>
    <n v="825"/>
    <s v="Check"/>
    <n v="22.274999999999999"/>
  </r>
  <r>
    <d v="2025-02-03T00:00:00"/>
    <s v="EK-7873-7"/>
    <x v="0"/>
    <s v="Plano"/>
    <x v="5"/>
    <s v="SAT"/>
    <n v="11"/>
    <n v="36"/>
    <n v="396"/>
    <s v="Cash"/>
    <n v="11.484"/>
  </r>
  <r>
    <d v="2025-02-03T00:00:00"/>
    <s v="GK-7515-7"/>
    <x v="2"/>
    <s v="Frisco"/>
    <x v="1"/>
    <s v="TSQ"/>
    <n v="42"/>
    <n v="51"/>
    <n v="2142"/>
    <s v="Check"/>
    <n v="51.408000000000001"/>
  </r>
  <r>
    <d v="2025-02-04T00:00:00"/>
    <s v="CK-2449-8"/>
    <x v="3"/>
    <s v="Frisco"/>
    <x v="2"/>
    <s v="PFF"/>
    <n v="14"/>
    <n v="22"/>
    <n v="308"/>
    <s v="Credit card"/>
    <n v="8.9320000000000004"/>
  </r>
  <r>
    <d v="2025-02-04T00:00:00"/>
    <s v="CK-7432-8"/>
    <x v="8"/>
    <s v="Coppell"/>
    <x v="2"/>
    <s v="PKH"/>
    <n v="19"/>
    <n v="54"/>
    <n v="1026"/>
    <s v="Check"/>
    <n v="27.702000000000002"/>
  </r>
  <r>
    <d v="2025-02-04T00:00:00"/>
    <s v="GK-8142-8"/>
    <x v="6"/>
    <s v="McKinney"/>
    <x v="3"/>
    <s v="ZAA"/>
    <n v="22"/>
    <n v="55"/>
    <n v="1210"/>
    <s v="Credit card"/>
    <n v="24.2"/>
  </r>
  <r>
    <d v="2025-02-05T00:00:00"/>
    <s v="CK-6273-9"/>
    <x v="6"/>
    <s v="Richardson"/>
    <x v="4"/>
    <s v="TSQ"/>
    <n v="49"/>
    <n v="20"/>
    <n v="980"/>
    <s v="Cash"/>
    <n v="20.58"/>
  </r>
  <r>
    <d v="2025-02-05T00:00:00"/>
    <s v="HK-7215-9"/>
    <x v="8"/>
    <s v="Plano"/>
    <x v="2"/>
    <s v="HNP"/>
    <n v="54"/>
    <n v="23"/>
    <n v="1242"/>
    <s v="Cash"/>
    <n v="33.533999999999999"/>
  </r>
  <r>
    <d v="2025-02-05T00:00:00"/>
    <s v="HK-2654-9"/>
    <x v="7"/>
    <s v="Frisco"/>
    <x v="1"/>
    <s v="APS"/>
    <n v="33"/>
    <n v="37"/>
    <n v="1221"/>
    <s v="Credit card"/>
    <n v="31.745999999999999"/>
  </r>
  <r>
    <d v="2025-02-05T00:00:00"/>
    <s v="EK-6136-9"/>
    <x v="8"/>
    <s v="Richardson"/>
    <x v="4"/>
    <s v="HTE"/>
    <n v="41"/>
    <n v="55"/>
    <n v="2255"/>
    <s v="Gift card"/>
    <n v="56.375"/>
  </r>
  <r>
    <d v="2025-02-05T00:00:00"/>
    <s v="HK-8398-9"/>
    <x v="4"/>
    <s v="Dallas"/>
    <x v="2"/>
    <s v="HTE"/>
    <n v="27"/>
    <n v="49"/>
    <n v="1323"/>
    <s v="Gift card"/>
    <n v="29.106000000000002"/>
  </r>
  <r>
    <d v="2025-02-05T00:00:00"/>
    <s v="GK-5838-9"/>
    <x v="4"/>
    <s v="Coppell"/>
    <x v="3"/>
    <s v="TAP"/>
    <n v="38"/>
    <n v="44"/>
    <n v="1672"/>
    <s v="Check"/>
    <n v="48.488"/>
  </r>
  <r>
    <d v="2025-02-05T00:00:00"/>
    <s v="FK-8516-9"/>
    <x v="7"/>
    <s v="Dallas"/>
    <x v="4"/>
    <s v="TAP"/>
    <n v="55"/>
    <n v="60"/>
    <n v="3300"/>
    <s v="Cash"/>
    <n v="99"/>
  </r>
  <r>
    <d v="2025-02-05T00:00:00"/>
    <s v="DK-3054-9"/>
    <x v="1"/>
    <s v="Plano"/>
    <x v="4"/>
    <s v="PKH"/>
    <n v="16"/>
    <n v="25"/>
    <n v="400"/>
    <s v="Cash"/>
    <n v="8.8000000000000007"/>
  </r>
  <r>
    <d v="2025-02-05T00:00:00"/>
    <s v="GK-3139-9"/>
    <x v="6"/>
    <s v="Richardson"/>
    <x v="3"/>
    <s v="PKH"/>
    <n v="55"/>
    <n v="48"/>
    <n v="2640"/>
    <s v="Cash"/>
    <n v="55.44"/>
  </r>
  <r>
    <d v="2025-02-05T00:00:00"/>
    <s v="DK-6771-9"/>
    <x v="3"/>
    <s v="Richardson"/>
    <x v="1"/>
    <s v="HNP"/>
    <n v="23"/>
    <n v="43"/>
    <n v="989"/>
    <s v="Gift card"/>
    <n v="19.78"/>
  </r>
  <r>
    <d v="2025-02-05T00:00:00"/>
    <s v="GK-7130-9"/>
    <x v="2"/>
    <s v="Frisco"/>
    <x v="2"/>
    <s v="ATP"/>
    <n v="46"/>
    <n v="24"/>
    <n v="1104"/>
    <s v="Cash"/>
    <n v="22.08"/>
  </r>
  <r>
    <d v="2025-02-05T00:00:00"/>
    <s v="DK-1176-9"/>
    <x v="7"/>
    <s v="Dallas"/>
    <x v="2"/>
    <s v="TSA"/>
    <n v="29"/>
    <n v="47"/>
    <n v="1363"/>
    <s v="Credit card"/>
    <n v="36.801000000000002"/>
  </r>
  <r>
    <d v="2025-02-05T00:00:00"/>
    <s v="BK-5889-9"/>
    <x v="4"/>
    <s v="Dallas"/>
    <x v="2"/>
    <s v="TSQ"/>
    <n v="39"/>
    <n v="34"/>
    <n v="1326"/>
    <s v="Check"/>
    <n v="35.802"/>
  </r>
  <r>
    <d v="2025-02-06T00:00:00"/>
    <s v="G-5678-10"/>
    <x v="3"/>
    <s v="McKinney"/>
    <x v="0"/>
    <s v="ATP"/>
    <n v="21"/>
    <n v="53"/>
    <n v="1113"/>
    <s v="Credit card"/>
    <n v="22.26"/>
  </r>
  <r>
    <d v="2025-02-06T00:00:00"/>
    <s v="B-1693-10"/>
    <x v="5"/>
    <s v="McKinney"/>
    <x v="5"/>
    <s v="TAP"/>
    <n v="44"/>
    <n v="57"/>
    <n v="2508"/>
    <s v="Credit card"/>
    <n v="52.667999999999999"/>
  </r>
  <r>
    <d v="2025-02-06T00:00:00"/>
    <s v="G-2998-10"/>
    <x v="6"/>
    <s v="Plano"/>
    <x v="1"/>
    <s v="PKH"/>
    <n v="28"/>
    <n v="56"/>
    <n v="1568"/>
    <s v="Credit card"/>
    <n v="36.064"/>
  </r>
  <r>
    <d v="2025-02-06T00:00:00"/>
    <s v="H-3385-10"/>
    <x v="4"/>
    <s v="Plano"/>
    <x v="4"/>
    <s v="PFF"/>
    <n v="40"/>
    <n v="44"/>
    <n v="1760"/>
    <s v="Cash"/>
    <n v="38.72"/>
  </r>
  <r>
    <d v="2025-02-06T00:00:00"/>
    <s v="G-9594-10"/>
    <x v="6"/>
    <s v="Dallas"/>
    <x v="3"/>
    <s v="TSQ"/>
    <n v="41"/>
    <n v="49"/>
    <n v="2009"/>
    <s v="Credit card"/>
    <n v="44.198"/>
  </r>
  <r>
    <d v="2025-02-06T00:00:00"/>
    <s v="A-2666-10"/>
    <x v="0"/>
    <s v="Plano"/>
    <x v="3"/>
    <s v="HTE"/>
    <n v="55"/>
    <n v="21"/>
    <n v="1155"/>
    <s v="Credit card"/>
    <n v="25.41"/>
  </r>
  <r>
    <d v="2025-02-06T00:00:00"/>
    <s v="D-4220-10"/>
    <x v="6"/>
    <s v="Plano"/>
    <x v="4"/>
    <s v="TSA"/>
    <n v="31"/>
    <n v="59"/>
    <n v="1829"/>
    <s v="Credit card"/>
    <n v="53.040999999999997"/>
  </r>
  <r>
    <d v="2025-02-06T00:00:00"/>
    <s v="A-9652-10"/>
    <x v="5"/>
    <s v="Allen"/>
    <x v="6"/>
    <s v="HNP"/>
    <n v="26"/>
    <n v="24"/>
    <n v="624"/>
    <s v="Cash"/>
    <n v="15.6"/>
  </r>
  <r>
    <d v="2025-02-06T00:00:00"/>
    <s v="B-7240-10"/>
    <x v="7"/>
    <s v="McKinney"/>
    <x v="2"/>
    <s v="ZAA"/>
    <n v="34"/>
    <n v="24"/>
    <n v="816"/>
    <s v="Cash"/>
    <n v="16.32"/>
  </r>
  <r>
    <d v="2025-02-06T00:00:00"/>
    <s v="B-8195-10"/>
    <x v="4"/>
    <s v="Plano"/>
    <x v="2"/>
    <s v="ATP"/>
    <n v="11"/>
    <n v="47"/>
    <n v="517"/>
    <s v="Gift card"/>
    <n v="12.925000000000001"/>
  </r>
  <r>
    <d v="2025-02-07T00:00:00"/>
    <s v="G-7544-11"/>
    <x v="7"/>
    <s v="Allen"/>
    <x v="4"/>
    <s v="JKA"/>
    <n v="25"/>
    <n v="20"/>
    <n v="500"/>
    <s v="Cash"/>
    <n v="13.5"/>
  </r>
  <r>
    <d v="2025-02-07T00:00:00"/>
    <s v="E-6798-11"/>
    <x v="7"/>
    <s v="Plano"/>
    <x v="4"/>
    <s v="JKA"/>
    <n v="36"/>
    <n v="37"/>
    <n v="1332"/>
    <s v="Credit card"/>
    <n v="35.963999999999999"/>
  </r>
  <r>
    <d v="2025-02-07T00:00:00"/>
    <s v="H-8200-11"/>
    <x v="0"/>
    <s v="Dallas"/>
    <x v="2"/>
    <s v="MSP"/>
    <n v="10"/>
    <n v="25"/>
    <n v="250"/>
    <s v="Credit card"/>
    <n v="5"/>
  </r>
  <r>
    <d v="2025-02-07T00:00:00"/>
    <s v="A-6068-11"/>
    <x v="0"/>
    <s v="Frisco"/>
    <x v="2"/>
    <s v="TAP"/>
    <n v="30"/>
    <n v="38"/>
    <n v="1140"/>
    <s v="Credit card"/>
    <n v="34.200000000000003"/>
  </r>
  <r>
    <d v="2025-02-07T00:00:00"/>
    <s v="C-5593-11"/>
    <x v="7"/>
    <s v="Frisco"/>
    <x v="4"/>
    <s v="MSP"/>
    <n v="38"/>
    <n v="50"/>
    <n v="1900"/>
    <s v="Cash"/>
    <n v="38"/>
  </r>
  <r>
    <d v="2025-02-07T00:00:00"/>
    <s v="B-1449-11"/>
    <x v="4"/>
    <s v="Frisco"/>
    <x v="2"/>
    <s v="ARP"/>
    <n v="27"/>
    <n v="42"/>
    <n v="1134"/>
    <s v="Credit card"/>
    <n v="27.216000000000001"/>
  </r>
  <r>
    <d v="2025-02-08T00:00:00"/>
    <s v="D-1897-12"/>
    <x v="1"/>
    <s v="Coppell"/>
    <x v="3"/>
    <s v="ARP"/>
    <n v="53"/>
    <n v="30"/>
    <n v="1590"/>
    <s v="Credit card"/>
    <n v="47.7"/>
  </r>
  <r>
    <d v="2025-02-08T00:00:00"/>
    <s v="H-4299-12"/>
    <x v="8"/>
    <s v="Allen"/>
    <x v="0"/>
    <s v="MSP"/>
    <n v="20"/>
    <n v="56"/>
    <n v="1120"/>
    <s v="Credit card"/>
    <n v="32.479999999999997"/>
  </r>
  <r>
    <d v="2025-02-08T00:00:00"/>
    <s v="B-8579-12"/>
    <x v="0"/>
    <s v="McKinney"/>
    <x v="0"/>
    <s v="TAP"/>
    <n v="34"/>
    <n v="21"/>
    <n v="714"/>
    <s v="Credit card"/>
    <n v="16.422000000000001"/>
  </r>
  <r>
    <d v="2025-02-08T00:00:00"/>
    <s v="C-4483-12"/>
    <x v="5"/>
    <s v="Frisco"/>
    <x v="0"/>
    <s v="TAP"/>
    <n v="55"/>
    <n v="23"/>
    <n v="1265"/>
    <s v="Gift card"/>
    <n v="29.094999999999999"/>
  </r>
  <r>
    <d v="2025-02-08T00:00:00"/>
    <s v="C-1228-12"/>
    <x v="3"/>
    <s v="McKinney"/>
    <x v="5"/>
    <s v="SAT"/>
    <n v="13"/>
    <n v="39"/>
    <n v="507"/>
    <s v="Cash"/>
    <n v="10.14"/>
  </r>
  <r>
    <d v="2025-02-08T00:00:00"/>
    <s v="C-3116-12"/>
    <x v="7"/>
    <s v="McKinney"/>
    <x v="1"/>
    <s v="APS"/>
    <n v="10"/>
    <n v="60"/>
    <n v="600"/>
    <s v="Credit card"/>
    <n v="15"/>
  </r>
  <r>
    <d v="2025-02-08T00:00:00"/>
    <s v="C-9761-12"/>
    <x v="3"/>
    <s v="Frisco"/>
    <x v="0"/>
    <s v="PKH"/>
    <n v="56"/>
    <n v="43"/>
    <n v="2408"/>
    <s v="Gift card"/>
    <n v="55.384"/>
  </r>
  <r>
    <d v="2025-02-08T00:00:00"/>
    <s v="A-3184-12"/>
    <x v="1"/>
    <s v="Allen"/>
    <x v="2"/>
    <s v="ZAA"/>
    <n v="22"/>
    <n v="30"/>
    <n v="660"/>
    <s v="Credit card"/>
    <n v="16.5"/>
  </r>
  <r>
    <d v="2025-02-08T00:00:00"/>
    <s v="C-4207-12"/>
    <x v="3"/>
    <s v="Frisco"/>
    <x v="3"/>
    <s v="ATP"/>
    <n v="21"/>
    <n v="35"/>
    <n v="735"/>
    <s v="Cash"/>
    <n v="14.7"/>
  </r>
  <r>
    <d v="2025-02-08T00:00:00"/>
    <s v="F-9538-12"/>
    <x v="4"/>
    <s v="McKinney"/>
    <x v="2"/>
    <s v="ZAA"/>
    <n v="22"/>
    <n v="56"/>
    <n v="1232"/>
    <s v="Cash"/>
    <n v="34.496000000000002"/>
  </r>
  <r>
    <d v="2025-02-08T00:00:00"/>
    <s v="B-2218-12"/>
    <x v="2"/>
    <s v="Dallas"/>
    <x v="1"/>
    <s v="KQR"/>
    <n v="54"/>
    <n v="44"/>
    <n v="2376"/>
    <s v="Credit card"/>
    <n v="71.28"/>
  </r>
  <r>
    <d v="2025-02-08T00:00:00"/>
    <s v="D-1985-12"/>
    <x v="6"/>
    <s v="Dallas"/>
    <x v="6"/>
    <s v="ARP"/>
    <n v="23"/>
    <n v="43"/>
    <n v="989"/>
    <s v="Credit card"/>
    <n v="26.702999999999999"/>
  </r>
  <r>
    <d v="2025-02-08T00:00:00"/>
    <s v="F-2467-12"/>
    <x v="8"/>
    <s v="Plano"/>
    <x v="2"/>
    <s v="HTE"/>
    <n v="48"/>
    <n v="21"/>
    <n v="1008"/>
    <s v="Gift card"/>
    <n v="30.24"/>
  </r>
  <r>
    <d v="2025-02-09T00:00:00"/>
    <s v="E-4677-13"/>
    <x v="7"/>
    <s v="McKinney"/>
    <x v="5"/>
    <s v="KQR"/>
    <n v="36"/>
    <n v="38"/>
    <n v="1368"/>
    <s v="Cash"/>
    <n v="38.304000000000002"/>
  </r>
  <r>
    <d v="2025-02-09T00:00:00"/>
    <s v="D-5506-13"/>
    <x v="2"/>
    <s v="Plano"/>
    <x v="0"/>
    <s v="TSQ"/>
    <n v="31"/>
    <n v="38"/>
    <n v="1178"/>
    <s v="Credit card"/>
    <n v="35.340000000000003"/>
  </r>
  <r>
    <d v="2025-02-09T00:00:00"/>
    <s v="D-9541-13"/>
    <x v="4"/>
    <s v="Frisco"/>
    <x v="4"/>
    <s v="MSP"/>
    <n v="47"/>
    <n v="46"/>
    <n v="2162"/>
    <s v="Credit card"/>
    <n v="45.402000000000001"/>
  </r>
  <r>
    <d v="2025-02-09T00:00:00"/>
    <s v="A-6173-13"/>
    <x v="0"/>
    <s v="Coppell"/>
    <x v="0"/>
    <s v="JKA"/>
    <n v="48"/>
    <n v="43"/>
    <n v="2064"/>
    <s v="Credit card"/>
    <n v="55.728000000000002"/>
  </r>
  <r>
    <d v="2025-02-09T00:00:00"/>
    <s v="G-5883-13"/>
    <x v="0"/>
    <s v="Coppell"/>
    <x v="4"/>
    <s v="JKA"/>
    <n v="34"/>
    <n v="43"/>
    <n v="1462"/>
    <s v="Credit card"/>
    <n v="30.702000000000002"/>
  </r>
  <r>
    <d v="2025-02-09T00:00:00"/>
    <s v="E-8025-13"/>
    <x v="7"/>
    <s v="Dallas"/>
    <x v="2"/>
    <s v="KQR"/>
    <n v="17"/>
    <n v="23"/>
    <n v="391"/>
    <s v="Gift card"/>
    <n v="11.73"/>
  </r>
  <r>
    <d v="2025-02-09T00:00:00"/>
    <s v="A-9677-13"/>
    <x v="0"/>
    <s v="Richardson"/>
    <x v="3"/>
    <s v="HTE"/>
    <n v="18"/>
    <n v="46"/>
    <n v="828"/>
    <s v="Credit card"/>
    <n v="21.527999999999999"/>
  </r>
  <r>
    <d v="2025-02-09T00:00:00"/>
    <s v="F-1739-13"/>
    <x v="2"/>
    <s v="Coppell"/>
    <x v="0"/>
    <s v="SAT"/>
    <n v="19"/>
    <n v="23"/>
    <n v="437"/>
    <s v="Cash"/>
    <n v="9.1769999999999996"/>
  </r>
  <r>
    <d v="2025-02-10T00:00:00"/>
    <s v="C-4952-14"/>
    <x v="4"/>
    <s v="Plano"/>
    <x v="0"/>
    <s v="ATP"/>
    <n v="33"/>
    <n v="59"/>
    <n v="1947"/>
    <s v="Cash"/>
    <n v="46.728000000000002"/>
  </r>
  <r>
    <d v="2025-02-11T00:00:00"/>
    <s v="H-6680-15"/>
    <x v="3"/>
    <s v="McKinney"/>
    <x v="3"/>
    <s v="TSQ"/>
    <n v="15"/>
    <n v="56"/>
    <n v="840"/>
    <s v="Gift card"/>
    <n v="22.68"/>
  </r>
  <r>
    <d v="2025-02-11T00:00:00"/>
    <s v="H-8686-15"/>
    <x v="4"/>
    <s v="McKinney"/>
    <x v="3"/>
    <s v="SAT"/>
    <n v="60"/>
    <n v="58"/>
    <n v="3480"/>
    <s v="Cash"/>
    <n v="83.52"/>
  </r>
  <r>
    <d v="2025-02-11T00:00:00"/>
    <s v="C-8422-15"/>
    <x v="6"/>
    <s v="Coppell"/>
    <x v="0"/>
    <s v="HTE"/>
    <n v="57"/>
    <n v="40"/>
    <n v="2280"/>
    <s v="Credit card"/>
    <n v="45.6"/>
  </r>
  <r>
    <d v="2025-02-11T00:00:00"/>
    <s v="B-3711-15"/>
    <x v="2"/>
    <s v="Dallas"/>
    <x v="2"/>
    <s v="AKJ"/>
    <n v="14"/>
    <n v="23"/>
    <n v="322"/>
    <s v="Gift card"/>
    <n v="8.3719999999999999"/>
  </r>
  <r>
    <d v="2025-02-11T00:00:00"/>
    <s v="C-1491-15"/>
    <x v="3"/>
    <s v="Coppell"/>
    <x v="1"/>
    <s v="ATP"/>
    <n v="51"/>
    <n v="42"/>
    <n v="2142"/>
    <s v="Cash"/>
    <n v="62.118000000000002"/>
  </r>
  <r>
    <d v="2025-02-11T00:00:00"/>
    <s v="F-9851-15"/>
    <x v="8"/>
    <s v="Plano"/>
    <x v="4"/>
    <s v="KQR"/>
    <n v="58"/>
    <n v="31"/>
    <n v="1798"/>
    <s v="Cash"/>
    <n v="44.95"/>
  </r>
  <r>
    <d v="2025-02-11T00:00:00"/>
    <s v="H-6718-15"/>
    <x v="0"/>
    <s v="Allen"/>
    <x v="1"/>
    <s v="ZAA"/>
    <n v="18"/>
    <n v="51"/>
    <n v="918"/>
    <s v="Credit card"/>
    <n v="21.114000000000001"/>
  </r>
  <r>
    <d v="2025-02-11T00:00:00"/>
    <s v="B-3967-15"/>
    <x v="8"/>
    <s v="Plano"/>
    <x v="4"/>
    <s v="APS"/>
    <n v="40"/>
    <n v="47"/>
    <n v="1880"/>
    <s v="Gift card"/>
    <n v="39.479999999999997"/>
  </r>
  <r>
    <d v="2025-02-11T00:00:00"/>
    <s v="A-3099-15"/>
    <x v="7"/>
    <s v="McKinney"/>
    <x v="5"/>
    <s v="TSA"/>
    <n v="54"/>
    <n v="59"/>
    <n v="3186"/>
    <s v="Credit card"/>
    <n v="82.835999999999999"/>
  </r>
  <r>
    <d v="2025-02-12T00:00:00"/>
    <s v="C-4090-16"/>
    <x v="5"/>
    <s v="Coppell"/>
    <x v="6"/>
    <s v="TSA"/>
    <n v="17"/>
    <n v="34"/>
    <n v="578"/>
    <s v="Credit card"/>
    <n v="16.762"/>
  </r>
  <r>
    <d v="2025-02-12T00:00:00"/>
    <s v="A-2907-16"/>
    <x v="7"/>
    <s v="Plano"/>
    <x v="2"/>
    <s v="ATP"/>
    <n v="24"/>
    <n v="33"/>
    <n v="792"/>
    <s v="Cash"/>
    <n v="18.216000000000001"/>
  </r>
  <r>
    <d v="2025-02-12T00:00:00"/>
    <s v="F-5221-16"/>
    <x v="8"/>
    <s v="Allen"/>
    <x v="0"/>
    <s v="PKH"/>
    <n v="38"/>
    <n v="59"/>
    <n v="2242"/>
    <s v="Cash"/>
    <n v="47.082000000000001"/>
  </r>
  <r>
    <d v="2025-02-12T00:00:00"/>
    <s v="A-3243-16"/>
    <x v="7"/>
    <s v="Richardson"/>
    <x v="2"/>
    <s v="TSA"/>
    <n v="18"/>
    <n v="50"/>
    <n v="900"/>
    <s v="Gift card"/>
    <n v="20.7"/>
  </r>
  <r>
    <d v="2025-02-12T00:00:00"/>
    <s v="C-1269-16"/>
    <x v="4"/>
    <s v="Richardson"/>
    <x v="3"/>
    <s v="APS"/>
    <n v="52"/>
    <n v="55"/>
    <n v="2860"/>
    <s v="Gift card"/>
    <n v="60.06"/>
  </r>
  <r>
    <d v="2025-02-12T00:00:00"/>
    <s v="D-1233-16"/>
    <x v="2"/>
    <s v="Plano"/>
    <x v="0"/>
    <s v="PFF"/>
    <n v="25"/>
    <n v="50"/>
    <n v="1250"/>
    <s v="Check"/>
    <n v="28.75"/>
  </r>
  <r>
    <d v="2025-02-12T00:00:00"/>
    <s v="H-3210-16"/>
    <x v="7"/>
    <s v="McKinney"/>
    <x v="4"/>
    <s v="APS"/>
    <n v="20"/>
    <n v="21"/>
    <n v="420"/>
    <s v="Check"/>
    <n v="8.82"/>
  </r>
  <r>
    <d v="2025-02-13T00:00:00"/>
    <s v="E-8489-17"/>
    <x v="3"/>
    <s v="Dallas"/>
    <x v="1"/>
    <s v="PFF"/>
    <n v="12"/>
    <n v="35"/>
    <n v="420"/>
    <s v="Cash"/>
    <n v="8.82"/>
  </r>
  <r>
    <d v="2025-02-13T00:00:00"/>
    <s v="D-4787-17"/>
    <x v="4"/>
    <s v="Allen"/>
    <x v="0"/>
    <s v="APS"/>
    <n v="20"/>
    <n v="30"/>
    <n v="600"/>
    <s v="Check"/>
    <n v="14.4"/>
  </r>
  <r>
    <d v="2025-02-13T00:00:00"/>
    <s v="B-4415-17"/>
    <x v="3"/>
    <s v="Dallas"/>
    <x v="3"/>
    <s v="ARP"/>
    <n v="41"/>
    <n v="26"/>
    <n v="1066"/>
    <s v="Gift card"/>
    <n v="27.716000000000001"/>
  </r>
  <r>
    <d v="2025-02-13T00:00:00"/>
    <s v="E-6713-17"/>
    <x v="6"/>
    <s v="Plano"/>
    <x v="5"/>
    <s v="APS"/>
    <n v="49"/>
    <n v="45"/>
    <n v="2205"/>
    <s v="Credit card"/>
    <n v="52.92"/>
  </r>
  <r>
    <d v="2025-02-13T00:00:00"/>
    <s v="A-7068-17"/>
    <x v="1"/>
    <s v="Allen"/>
    <x v="0"/>
    <s v="PFF"/>
    <n v="11"/>
    <n v="24"/>
    <n v="264"/>
    <s v="Gift card"/>
    <n v="6.8639999999999999"/>
  </r>
  <r>
    <d v="2025-02-13T00:00:00"/>
    <s v="C-9712-17"/>
    <x v="0"/>
    <s v="Plano"/>
    <x v="1"/>
    <s v="JKA"/>
    <n v="49"/>
    <n v="53"/>
    <n v="2597"/>
    <s v="Credit card"/>
    <n v="54.536999999999999"/>
  </r>
  <r>
    <d v="2025-02-13T00:00:00"/>
    <s v="C-8033-17"/>
    <x v="7"/>
    <s v="Plano"/>
    <x v="0"/>
    <s v="AKJ"/>
    <n v="10"/>
    <n v="36"/>
    <n v="360"/>
    <s v="Credit card"/>
    <n v="8.64"/>
  </r>
  <r>
    <d v="2025-02-13T00:00:00"/>
    <s v="G-6105-17"/>
    <x v="1"/>
    <s v="Richardson"/>
    <x v="4"/>
    <s v="KQR"/>
    <n v="17"/>
    <n v="20"/>
    <n v="340"/>
    <s v="Cash"/>
    <n v="7.14"/>
  </r>
  <r>
    <d v="2025-02-13T00:00:00"/>
    <s v="A-7270-17"/>
    <x v="7"/>
    <s v="Plano"/>
    <x v="6"/>
    <s v="SMH"/>
    <n v="54"/>
    <n v="59"/>
    <n v="3186"/>
    <s v="Cash"/>
    <n v="63.72"/>
  </r>
  <r>
    <d v="2025-02-13T00:00:00"/>
    <s v="A-1186-17"/>
    <x v="3"/>
    <s v="Coppell"/>
    <x v="4"/>
    <s v="KQR"/>
    <n v="44"/>
    <n v="25"/>
    <n v="1100"/>
    <s v="Credit card"/>
    <n v="33"/>
  </r>
  <r>
    <d v="2025-02-13T00:00:00"/>
    <s v="E-5052-17"/>
    <x v="5"/>
    <s v="McKinney"/>
    <x v="0"/>
    <s v="KQR"/>
    <n v="49"/>
    <n v="32"/>
    <n v="1568"/>
    <s v="Check"/>
    <n v="45.472000000000001"/>
  </r>
  <r>
    <d v="2025-02-13T00:00:00"/>
    <s v="D-4144-17"/>
    <x v="4"/>
    <s v="Plano"/>
    <x v="3"/>
    <s v="ZAA"/>
    <n v="12"/>
    <n v="27"/>
    <n v="324"/>
    <s v="Credit card"/>
    <n v="9.3960000000000008"/>
  </r>
  <r>
    <d v="2025-02-14T00:00:00"/>
    <s v="A-1408-18"/>
    <x v="3"/>
    <s v="Plano"/>
    <x v="5"/>
    <s v="ZAA"/>
    <n v="52"/>
    <n v="25"/>
    <n v="1300"/>
    <s v="Gift card"/>
    <n v="35.1"/>
  </r>
  <r>
    <d v="2025-02-14T00:00:00"/>
    <s v="A-9692-18"/>
    <x v="3"/>
    <s v="Plano"/>
    <x v="2"/>
    <s v="TSQ"/>
    <n v="19"/>
    <n v="46"/>
    <n v="874"/>
    <s v="Credit card"/>
    <n v="18.353999999999999"/>
  </r>
  <r>
    <d v="2025-02-14T00:00:00"/>
    <s v="G-6900-18"/>
    <x v="4"/>
    <s v="Allen"/>
    <x v="4"/>
    <s v="ZAA"/>
    <n v="37"/>
    <n v="24"/>
    <n v="888"/>
    <s v="Cash"/>
    <n v="23.088000000000001"/>
  </r>
  <r>
    <d v="2025-02-14T00:00:00"/>
    <s v="E-8231-18"/>
    <x v="4"/>
    <s v="Dallas"/>
    <x v="6"/>
    <s v="AKJ"/>
    <n v="13"/>
    <n v="21"/>
    <n v="273"/>
    <s v="Cash"/>
    <n v="7.9169999999999998"/>
  </r>
  <r>
    <d v="2025-02-14T00:00:00"/>
    <s v="G-7632-18"/>
    <x v="6"/>
    <s v="Dallas"/>
    <x v="0"/>
    <s v="TAP"/>
    <n v="56"/>
    <n v="25"/>
    <n v="1400"/>
    <s v="Credit card"/>
    <n v="42"/>
  </r>
  <r>
    <d v="2025-02-14T00:00:00"/>
    <s v="E-4301-18"/>
    <x v="8"/>
    <s v="Richardson"/>
    <x v="1"/>
    <s v="HNP"/>
    <n v="20"/>
    <n v="24"/>
    <n v="480"/>
    <s v="Credit card"/>
    <n v="13.92"/>
  </r>
  <r>
    <d v="2025-02-14T00:00:00"/>
    <s v="F-5358-18"/>
    <x v="2"/>
    <s v="Frisco"/>
    <x v="0"/>
    <s v="TAP"/>
    <n v="21"/>
    <n v="41"/>
    <n v="861"/>
    <s v="Credit card"/>
    <n v="23.247"/>
  </r>
  <r>
    <d v="2025-02-14T00:00:00"/>
    <s v="B-9647-18"/>
    <x v="1"/>
    <s v="Coppell"/>
    <x v="2"/>
    <s v="KQR"/>
    <n v="17"/>
    <n v="21"/>
    <n v="357"/>
    <s v="Credit card"/>
    <n v="9.282"/>
  </r>
  <r>
    <d v="2025-02-14T00:00:00"/>
    <s v="C-3304-18"/>
    <x v="7"/>
    <s v="Frisco"/>
    <x v="6"/>
    <s v="ZAA"/>
    <n v="48"/>
    <n v="49"/>
    <n v="2352"/>
    <s v="Credit card"/>
    <n v="68.207999999999998"/>
  </r>
  <r>
    <d v="2025-02-14T00:00:00"/>
    <s v="D-1859-18"/>
    <x v="2"/>
    <s v="Dallas"/>
    <x v="4"/>
    <s v="SMH"/>
    <n v="51"/>
    <n v="47"/>
    <n v="2397"/>
    <s v="Cash"/>
    <n v="59.924999999999997"/>
  </r>
  <r>
    <d v="2025-02-14T00:00:00"/>
    <s v="H-3933-18"/>
    <x v="4"/>
    <s v="Plano"/>
    <x v="2"/>
    <s v="JKA"/>
    <n v="17"/>
    <n v="31"/>
    <n v="527"/>
    <s v="Credit card"/>
    <n v="13.175000000000001"/>
  </r>
  <r>
    <d v="2025-02-15T00:00:00"/>
    <s v="B-1197-19"/>
    <x v="8"/>
    <s v="Coppell"/>
    <x v="0"/>
    <s v="KQR"/>
    <n v="45"/>
    <n v="56"/>
    <n v="2520"/>
    <s v="Credit card"/>
    <n v="60.48"/>
  </r>
  <r>
    <d v="2025-02-15T00:00:00"/>
    <s v="D-9676-19"/>
    <x v="1"/>
    <s v="Allen"/>
    <x v="5"/>
    <s v="TSQ"/>
    <n v="18"/>
    <n v="41"/>
    <n v="738"/>
    <s v="Gift card"/>
    <n v="15.497999999999999"/>
  </r>
  <r>
    <d v="2025-02-15T00:00:00"/>
    <s v="H-5613-19"/>
    <x v="4"/>
    <s v="Frisco"/>
    <x v="6"/>
    <s v="SAT"/>
    <n v="42"/>
    <n v="54"/>
    <n v="2268"/>
    <s v="Credit card"/>
    <n v="68.040000000000006"/>
  </r>
  <r>
    <d v="2025-02-15T00:00:00"/>
    <s v="D-3727-19"/>
    <x v="0"/>
    <s v="Frisco"/>
    <x v="1"/>
    <s v="KQR"/>
    <n v="32"/>
    <n v="33"/>
    <n v="1056"/>
    <s v="Cash"/>
    <n v="26.4"/>
  </r>
  <r>
    <d v="2025-02-15T00:00:00"/>
    <s v="H-6020-19"/>
    <x v="6"/>
    <s v="Plano"/>
    <x v="3"/>
    <s v="TSA"/>
    <n v="17"/>
    <n v="22"/>
    <n v="374"/>
    <s v="Credit card"/>
    <n v="9.35"/>
  </r>
  <r>
    <d v="2025-02-15T00:00:00"/>
    <s v="D-4109-19"/>
    <x v="6"/>
    <s v="Dallas"/>
    <x v="3"/>
    <s v="SAT"/>
    <n v="16"/>
    <n v="24"/>
    <n v="384"/>
    <s v="Cash"/>
    <n v="9.2159999999999993"/>
  </r>
  <r>
    <d v="2025-02-15T00:00:00"/>
    <s v="E-1149-19"/>
    <x v="3"/>
    <s v="Plano"/>
    <x v="6"/>
    <s v="JKA"/>
    <n v="48"/>
    <n v="58"/>
    <n v="2784"/>
    <s v="Cash"/>
    <n v="75.168000000000006"/>
  </r>
  <r>
    <d v="2025-02-15T00:00:00"/>
    <s v="C-7175-19"/>
    <x v="1"/>
    <s v="Allen"/>
    <x v="0"/>
    <s v="PFF"/>
    <n v="27"/>
    <n v="28"/>
    <n v="756"/>
    <s v="Credit card"/>
    <n v="17.388000000000002"/>
  </r>
  <r>
    <d v="2025-02-15T00:00:00"/>
    <s v="B-6343-19"/>
    <x v="4"/>
    <s v="Coppell"/>
    <x v="1"/>
    <s v="HNP"/>
    <n v="48"/>
    <n v="47"/>
    <n v="2256"/>
    <s v="Check"/>
    <n v="56.4"/>
  </r>
  <r>
    <d v="2025-02-15T00:00:00"/>
    <s v="B-4389-19"/>
    <x v="7"/>
    <s v="Richardson"/>
    <x v="0"/>
    <s v="PFF"/>
    <n v="38"/>
    <n v="46"/>
    <n v="1748"/>
    <s v="Credit card"/>
    <n v="50.692"/>
  </r>
  <r>
    <d v="2025-02-15T00:00:00"/>
    <s v="A-3527-19"/>
    <x v="2"/>
    <s v="Plano"/>
    <x v="3"/>
    <s v="TSQ"/>
    <n v="46"/>
    <n v="53"/>
    <n v="2438"/>
    <s v="Cash"/>
    <n v="51.198"/>
  </r>
  <r>
    <d v="2025-02-15T00:00:00"/>
    <s v="B-4281-19"/>
    <x v="4"/>
    <s v="McKinney"/>
    <x v="0"/>
    <s v="TSQ"/>
    <n v="49"/>
    <n v="48"/>
    <n v="2352"/>
    <s v="Credit card"/>
    <n v="47.04"/>
  </r>
  <r>
    <d v="2025-02-15T00:00:00"/>
    <s v="A-3608-19"/>
    <x v="5"/>
    <s v="Frisco"/>
    <x v="2"/>
    <s v="TAP"/>
    <n v="51"/>
    <n v="53"/>
    <n v="2703"/>
    <s v="Credit card"/>
    <n v="70.278000000000006"/>
  </r>
  <r>
    <d v="2025-02-15T00:00:00"/>
    <s v="D-4317-19"/>
    <x v="6"/>
    <s v="Frisco"/>
    <x v="6"/>
    <s v="PKH"/>
    <n v="55"/>
    <n v="39"/>
    <n v="2145"/>
    <s v="Check"/>
    <n v="47.19"/>
  </r>
  <r>
    <d v="2025-02-15T00:00:00"/>
    <s v="H-5888-19"/>
    <x v="1"/>
    <s v="Dallas"/>
    <x v="0"/>
    <s v="TSQ"/>
    <n v="53"/>
    <n v="42"/>
    <n v="2226"/>
    <s v="Credit card"/>
    <n v="48.972000000000001"/>
  </r>
  <r>
    <d v="2025-02-15T00:00:00"/>
    <s v="G-8931-19"/>
    <x v="6"/>
    <s v="Coppell"/>
    <x v="0"/>
    <s v="JKA"/>
    <n v="17"/>
    <n v="50"/>
    <n v="850"/>
    <s v="Gift card"/>
    <n v="23.8"/>
  </r>
  <r>
    <d v="2025-02-15T00:00:00"/>
    <s v="A-6255-19"/>
    <x v="3"/>
    <s v="McKinney"/>
    <x v="6"/>
    <s v="TSA"/>
    <n v="36"/>
    <n v="52"/>
    <n v="1872"/>
    <s v="Credit card"/>
    <n v="56.16"/>
  </r>
  <r>
    <d v="2025-02-15T00:00:00"/>
    <s v="C-1957-19"/>
    <x v="5"/>
    <s v="Dallas"/>
    <x v="2"/>
    <s v="TAP"/>
    <n v="45"/>
    <n v="33"/>
    <n v="1485"/>
    <s v="Gift card"/>
    <n v="31.184999999999999"/>
  </r>
  <r>
    <d v="2025-02-15T00:00:00"/>
    <s v="G-8726-19"/>
    <x v="0"/>
    <s v="McKinney"/>
    <x v="1"/>
    <s v="HNP"/>
    <n v="14"/>
    <n v="26"/>
    <n v="364"/>
    <s v="Credit card"/>
    <n v="9.4640000000000004"/>
  </r>
  <r>
    <d v="2025-02-15T00:00:00"/>
    <s v="C-4832-19"/>
    <x v="0"/>
    <s v="Dallas"/>
    <x v="1"/>
    <s v="PKH"/>
    <n v="35"/>
    <n v="41"/>
    <n v="1435"/>
    <s v="Gift card"/>
    <n v="34.44"/>
  </r>
  <r>
    <d v="2025-02-15T00:00:00"/>
    <s v="G-3812-19"/>
    <x v="3"/>
    <s v="Allen"/>
    <x v="2"/>
    <s v="TSQ"/>
    <n v="28"/>
    <n v="26"/>
    <n v="728"/>
    <s v="Cash"/>
    <n v="14.56"/>
  </r>
  <r>
    <d v="2025-02-15T00:00:00"/>
    <s v="C-7746-19"/>
    <x v="4"/>
    <s v="Richardson"/>
    <x v="1"/>
    <s v="HNP"/>
    <n v="58"/>
    <n v="25"/>
    <n v="1450"/>
    <s v="Cash"/>
    <n v="39.15"/>
  </r>
  <r>
    <d v="2025-02-15T00:00:00"/>
    <s v="E-4472-19"/>
    <x v="7"/>
    <s v="Richardson"/>
    <x v="2"/>
    <s v="ZAA"/>
    <n v="34"/>
    <n v="45"/>
    <n v="1530"/>
    <s v="Credit card"/>
    <n v="39.78"/>
  </r>
  <r>
    <d v="2025-02-15T00:00:00"/>
    <s v="F-2017-19"/>
    <x v="6"/>
    <s v="McKinney"/>
    <x v="2"/>
    <s v="TSA"/>
    <n v="15"/>
    <n v="28"/>
    <n v="420"/>
    <s v="Credit card"/>
    <n v="8.82"/>
  </r>
  <r>
    <d v="2025-02-15T00:00:00"/>
    <s v="A-6209-19"/>
    <x v="3"/>
    <s v="Dallas"/>
    <x v="2"/>
    <s v="PKH"/>
    <n v="27"/>
    <n v="54"/>
    <n v="1458"/>
    <s v="Gift card"/>
    <n v="40.823999999999998"/>
  </r>
  <r>
    <d v="2025-02-15T00:00:00"/>
    <s v="E-8566-19"/>
    <x v="4"/>
    <s v="Allen"/>
    <x v="1"/>
    <s v="SMH"/>
    <n v="27"/>
    <n v="33"/>
    <n v="891"/>
    <s v="Cash"/>
    <n v="19.602"/>
  </r>
  <r>
    <d v="2025-02-15T00:00:00"/>
    <s v="H-1743-19"/>
    <x v="4"/>
    <s v="Plano"/>
    <x v="3"/>
    <s v="PKH"/>
    <n v="31"/>
    <n v="31"/>
    <n v="961"/>
    <s v="Credit card"/>
    <n v="26.908000000000001"/>
  </r>
  <r>
    <d v="2025-02-15T00:00:00"/>
    <s v="A-4076-19"/>
    <x v="5"/>
    <s v="McKinney"/>
    <x v="4"/>
    <s v="HTE"/>
    <n v="56"/>
    <n v="35"/>
    <n v="1960"/>
    <s v="Cash"/>
    <n v="43.12"/>
  </r>
  <r>
    <d v="2025-02-15T00:00:00"/>
    <s v="G-6384-19"/>
    <x v="0"/>
    <s v="McKinney"/>
    <x v="0"/>
    <s v="JKA"/>
    <n v="17"/>
    <n v="57"/>
    <n v="969"/>
    <s v="Credit card"/>
    <n v="23.256"/>
  </r>
  <r>
    <d v="2025-02-15T00:00:00"/>
    <s v="B-2330-19"/>
    <x v="6"/>
    <s v="McKinney"/>
    <x v="4"/>
    <s v="ARP"/>
    <n v="38"/>
    <n v="31"/>
    <n v="1178"/>
    <s v="Credit card"/>
    <n v="32.984000000000002"/>
  </r>
  <r>
    <d v="2025-02-16T00:00:00"/>
    <s v="E-9343-20"/>
    <x v="4"/>
    <s v="Coppell"/>
    <x v="4"/>
    <s v="TSQ"/>
    <n v="60"/>
    <n v="35"/>
    <n v="2100"/>
    <s v="Cash"/>
    <n v="63"/>
  </r>
  <r>
    <d v="2025-02-16T00:00:00"/>
    <s v="G-1427-20"/>
    <x v="4"/>
    <s v="Allen"/>
    <x v="3"/>
    <s v="HTE"/>
    <n v="31"/>
    <n v="25"/>
    <n v="775"/>
    <s v="Cash"/>
    <n v="20.925000000000001"/>
  </r>
  <r>
    <d v="2025-02-16T00:00:00"/>
    <s v="A-5939-20"/>
    <x v="4"/>
    <s v="Frisco"/>
    <x v="1"/>
    <s v="SMH"/>
    <n v="35"/>
    <n v="51"/>
    <n v="1785"/>
    <s v="Cash"/>
    <n v="49.98"/>
  </r>
  <r>
    <d v="2025-02-16T00:00:00"/>
    <s v="B-1746-20"/>
    <x v="6"/>
    <s v="Coppell"/>
    <x v="0"/>
    <s v="TSA"/>
    <n v="28"/>
    <n v="28"/>
    <n v="784"/>
    <s v="Gift card"/>
    <n v="18.032"/>
  </r>
  <r>
    <d v="2025-02-16T00:00:00"/>
    <s v="G-2090-20"/>
    <x v="3"/>
    <s v="Plano"/>
    <x v="6"/>
    <s v="APS"/>
    <n v="13"/>
    <n v="38"/>
    <n v="494"/>
    <s v="Credit card"/>
    <n v="12.35"/>
  </r>
  <r>
    <d v="2025-02-17T00:00:00"/>
    <s v="F-5040-21"/>
    <x v="4"/>
    <s v="Allen"/>
    <x v="5"/>
    <s v="TSQ"/>
    <n v="26"/>
    <n v="41"/>
    <n v="1066"/>
    <s v="Credit card"/>
    <n v="27.716000000000001"/>
  </r>
  <r>
    <d v="2025-02-17T00:00:00"/>
    <s v="D-2433-21"/>
    <x v="2"/>
    <s v="Dallas"/>
    <x v="1"/>
    <s v="SMH"/>
    <n v="10"/>
    <n v="38"/>
    <n v="380"/>
    <s v="Credit card"/>
    <n v="9.1199999999999992"/>
  </r>
  <r>
    <d v="2025-02-17T00:00:00"/>
    <s v="F-5565-21"/>
    <x v="3"/>
    <s v="Plano"/>
    <x v="4"/>
    <s v="JKA"/>
    <n v="41"/>
    <n v="56"/>
    <n v="2296"/>
    <s v="Gift card"/>
    <n v="59.695999999999998"/>
  </r>
  <r>
    <d v="2025-02-18T00:00:00"/>
    <s v="G-8452-22"/>
    <x v="7"/>
    <s v="Coppell"/>
    <x v="1"/>
    <s v="HNP"/>
    <n v="34"/>
    <n v="30"/>
    <n v="1020"/>
    <s v="Credit card"/>
    <n v="30.6"/>
  </r>
  <r>
    <d v="2025-02-18T00:00:00"/>
    <s v="H-1770-22"/>
    <x v="7"/>
    <s v="Plano"/>
    <x v="6"/>
    <s v="SMH"/>
    <n v="10"/>
    <n v="57"/>
    <n v="570"/>
    <s v="Check"/>
    <n v="14.82"/>
  </r>
  <r>
    <d v="2025-02-18T00:00:00"/>
    <s v="H-7960-22"/>
    <x v="7"/>
    <s v="Plano"/>
    <x v="2"/>
    <s v="PFF"/>
    <n v="59"/>
    <n v="26"/>
    <n v="1534"/>
    <s v="Credit card"/>
    <n v="39.884"/>
  </r>
  <r>
    <d v="2025-02-18T00:00:00"/>
    <s v="E-9287-22"/>
    <x v="5"/>
    <s v="Plano"/>
    <x v="1"/>
    <s v="TSA"/>
    <n v="25"/>
    <n v="36"/>
    <n v="900"/>
    <s v="Credit card"/>
    <n v="21.6"/>
  </r>
  <r>
    <d v="2025-02-18T00:00:00"/>
    <s v="B-8593-22"/>
    <x v="5"/>
    <s v="Dallas"/>
    <x v="3"/>
    <s v="PKH"/>
    <n v="41"/>
    <n v="43"/>
    <n v="1763"/>
    <s v="Cash"/>
    <n v="35.26"/>
  </r>
  <r>
    <d v="2025-02-18T00:00:00"/>
    <s v="F-7774-22"/>
    <x v="5"/>
    <s v="Dallas"/>
    <x v="2"/>
    <s v="TAP"/>
    <n v="50"/>
    <n v="33"/>
    <n v="1650"/>
    <s v="Cash"/>
    <n v="47.85"/>
  </r>
  <r>
    <d v="2025-02-18T00:00:00"/>
    <s v="C-6544-22"/>
    <x v="2"/>
    <s v="Richardson"/>
    <x v="4"/>
    <s v="ARP"/>
    <n v="26"/>
    <n v="53"/>
    <n v="1378"/>
    <s v="Check"/>
    <n v="34.450000000000003"/>
  </r>
  <r>
    <d v="2025-02-18T00:00:00"/>
    <s v="B-7883-22"/>
    <x v="1"/>
    <s v="Plano"/>
    <x v="4"/>
    <s v="APS"/>
    <n v="17"/>
    <n v="23"/>
    <n v="391"/>
    <s v="Gift card"/>
    <n v="7.82"/>
  </r>
  <r>
    <d v="2025-02-18T00:00:00"/>
    <s v="H-5508-22"/>
    <x v="5"/>
    <s v="Dallas"/>
    <x v="2"/>
    <s v="PFF"/>
    <n v="37"/>
    <n v="24"/>
    <n v="888"/>
    <s v="Credit card"/>
    <n v="22.2"/>
  </r>
  <r>
    <d v="2025-02-18T00:00:00"/>
    <s v="E-4175-22"/>
    <x v="0"/>
    <s v="Plano"/>
    <x v="3"/>
    <s v="TSA"/>
    <n v="54"/>
    <n v="29"/>
    <n v="1566"/>
    <s v="Gift card"/>
    <n v="34.451999999999998"/>
  </r>
  <r>
    <d v="2025-02-18T00:00:00"/>
    <s v="E-1179-22"/>
    <x v="5"/>
    <s v="Frisco"/>
    <x v="2"/>
    <s v="TAP"/>
    <n v="43"/>
    <n v="44"/>
    <n v="1892"/>
    <s v="Gift card"/>
    <n v="37.840000000000003"/>
  </r>
  <r>
    <d v="2025-02-18T00:00:00"/>
    <s v="G-3511-22"/>
    <x v="3"/>
    <s v="Frisco"/>
    <x v="2"/>
    <s v="SMH"/>
    <n v="51"/>
    <n v="30"/>
    <n v="1530"/>
    <s v="Gift card"/>
    <n v="44.37"/>
  </r>
  <r>
    <d v="2025-02-18T00:00:00"/>
    <s v="D-6333-22"/>
    <x v="3"/>
    <s v="McKinney"/>
    <x v="6"/>
    <s v="ARP"/>
    <n v="42"/>
    <n v="57"/>
    <n v="2394"/>
    <s v="Credit card"/>
    <n v="52.667999999999999"/>
  </r>
  <r>
    <d v="2025-02-18T00:00:00"/>
    <s v="E-6109-22"/>
    <x v="2"/>
    <s v="Dallas"/>
    <x v="3"/>
    <s v="HNP"/>
    <n v="59"/>
    <n v="55"/>
    <n v="3245"/>
    <s v="Gift card"/>
    <n v="71.39"/>
  </r>
  <r>
    <d v="2025-02-18T00:00:00"/>
    <s v="E-6379-22"/>
    <x v="1"/>
    <s v="Coppell"/>
    <x v="1"/>
    <s v="TSQ"/>
    <n v="16"/>
    <n v="48"/>
    <n v="768"/>
    <s v="Gift card"/>
    <n v="23.04"/>
  </r>
  <r>
    <d v="2025-02-18T00:00:00"/>
    <s v="E-5867-22"/>
    <x v="7"/>
    <s v="Richardson"/>
    <x v="3"/>
    <s v="PFF"/>
    <n v="56"/>
    <n v="59"/>
    <n v="3304"/>
    <s v="Check"/>
    <n v="69.384"/>
  </r>
  <r>
    <d v="2025-02-18T00:00:00"/>
    <s v="H-6413-22"/>
    <x v="4"/>
    <s v="Dallas"/>
    <x v="0"/>
    <s v="SMH"/>
    <n v="42"/>
    <n v="59"/>
    <n v="2478"/>
    <s v="Gift card"/>
    <n v="49.56"/>
  </r>
  <r>
    <d v="2025-02-19T00:00:00"/>
    <s v="D-5009-23"/>
    <x v="6"/>
    <s v="Plano"/>
    <x v="0"/>
    <s v="TSQ"/>
    <n v="42"/>
    <n v="42"/>
    <n v="1764"/>
    <s v="Credit card"/>
    <n v="44.1"/>
  </r>
  <r>
    <d v="2025-02-19T00:00:00"/>
    <s v="B-1724-23"/>
    <x v="0"/>
    <s v="Dallas"/>
    <x v="2"/>
    <s v="PFF"/>
    <n v="37"/>
    <n v="32"/>
    <n v="1184"/>
    <s v="Gift card"/>
    <n v="34.335999999999999"/>
  </r>
  <r>
    <d v="2025-02-19T00:00:00"/>
    <s v="G-3297-23"/>
    <x v="1"/>
    <s v="Allen"/>
    <x v="2"/>
    <s v="SAT"/>
    <n v="47"/>
    <n v="49"/>
    <n v="2303"/>
    <s v="Credit card"/>
    <n v="62.180999999999997"/>
  </r>
  <r>
    <d v="2025-02-19T00:00:00"/>
    <s v="D-6705-23"/>
    <x v="7"/>
    <s v="Frisco"/>
    <x v="3"/>
    <s v="ATP"/>
    <n v="28"/>
    <n v="52"/>
    <n v="1456"/>
    <s v="Cash"/>
    <n v="30.576000000000001"/>
  </r>
  <r>
    <d v="2025-02-19T00:00:00"/>
    <s v="A-7035-23"/>
    <x v="4"/>
    <s v="Plano"/>
    <x v="0"/>
    <s v="HNP"/>
    <n v="36"/>
    <n v="37"/>
    <n v="1332"/>
    <s v="Gift card"/>
    <n v="26.64"/>
  </r>
  <r>
    <d v="2025-02-19T00:00:00"/>
    <s v="F-4295-23"/>
    <x v="2"/>
    <s v="Richardson"/>
    <x v="4"/>
    <s v="TSQ"/>
    <n v="57"/>
    <n v="40"/>
    <n v="2280"/>
    <s v="Gift card"/>
    <n v="57"/>
  </r>
  <r>
    <d v="2025-02-19T00:00:00"/>
    <s v="A-9240-23"/>
    <x v="5"/>
    <s v="Plano"/>
    <x v="3"/>
    <s v="SAT"/>
    <n v="10"/>
    <n v="20"/>
    <n v="200"/>
    <s v="Credit card"/>
    <n v="4.4000000000000004"/>
  </r>
  <r>
    <d v="2025-02-19T00:00:00"/>
    <s v="B-2154-23"/>
    <x v="4"/>
    <s v="Coppell"/>
    <x v="3"/>
    <s v="PKH"/>
    <n v="28"/>
    <n v="52"/>
    <n v="1456"/>
    <s v="Credit card"/>
    <n v="29.12"/>
  </r>
  <r>
    <d v="2025-02-20T00:00:00"/>
    <s v="E-8673-24"/>
    <x v="7"/>
    <s v="Plano"/>
    <x v="4"/>
    <s v="ATP"/>
    <n v="16"/>
    <n v="21"/>
    <n v="336"/>
    <s v="Gift card"/>
    <n v="9.4079999999999995"/>
  </r>
  <r>
    <d v="2025-02-20T00:00:00"/>
    <s v="C-8752-24"/>
    <x v="4"/>
    <s v="Richardson"/>
    <x v="2"/>
    <s v="MSP"/>
    <n v="33"/>
    <n v="45"/>
    <n v="1485"/>
    <s v="Gift card"/>
    <n v="31.184999999999999"/>
  </r>
  <r>
    <d v="2025-02-20T00:00:00"/>
    <s v="G-7622-24"/>
    <x v="7"/>
    <s v="McKinney"/>
    <x v="0"/>
    <s v="TSQ"/>
    <n v="27"/>
    <n v="37"/>
    <n v="999"/>
    <s v="Credit card"/>
    <n v="25.974"/>
  </r>
  <r>
    <d v="2025-02-20T00:00:00"/>
    <s v="E-7834-24"/>
    <x v="1"/>
    <s v="Allen"/>
    <x v="1"/>
    <s v="JKA"/>
    <n v="42"/>
    <n v="58"/>
    <n v="2436"/>
    <s v="Credit card"/>
    <n v="56.027999999999999"/>
  </r>
  <r>
    <d v="2025-02-20T00:00:00"/>
    <s v="C-6376-24"/>
    <x v="0"/>
    <s v="Plano"/>
    <x v="6"/>
    <s v="PFF"/>
    <n v="59"/>
    <n v="53"/>
    <n v="3127"/>
    <s v="Check"/>
    <n v="90.683000000000007"/>
  </r>
  <r>
    <d v="2025-02-21T00:00:00"/>
    <s v="F-1642-25"/>
    <x v="3"/>
    <s v="McKinney"/>
    <x v="2"/>
    <s v="ARP"/>
    <n v="35"/>
    <n v="34"/>
    <n v="1190"/>
    <s v="Credit card"/>
    <n v="32.130000000000003"/>
  </r>
  <r>
    <d v="2025-02-21T00:00:00"/>
    <s v="D-3856-25"/>
    <x v="7"/>
    <s v="Frisco"/>
    <x v="0"/>
    <s v="KQR"/>
    <n v="57"/>
    <n v="29"/>
    <n v="1653"/>
    <s v="Credit card"/>
    <n v="49.59"/>
  </r>
  <r>
    <d v="2025-02-21T00:00:00"/>
    <s v="E-2216-25"/>
    <x v="2"/>
    <s v="Dallas"/>
    <x v="2"/>
    <s v="ARP"/>
    <n v="16"/>
    <n v="59"/>
    <n v="944"/>
    <s v="Credit card"/>
    <n v="24.544"/>
  </r>
  <r>
    <d v="2025-02-21T00:00:00"/>
    <s v="B-8654-25"/>
    <x v="3"/>
    <s v="Richardson"/>
    <x v="4"/>
    <s v="SAT"/>
    <n v="12"/>
    <n v="37"/>
    <n v="444"/>
    <s v="Credit card"/>
    <n v="11.988"/>
  </r>
  <r>
    <d v="2025-02-21T00:00:00"/>
    <s v="D-4338-25"/>
    <x v="5"/>
    <s v="Plano"/>
    <x v="2"/>
    <s v="ARP"/>
    <n v="59"/>
    <n v="57"/>
    <n v="3363"/>
    <s v="Credit card"/>
    <n v="97.527000000000001"/>
  </r>
  <r>
    <d v="2025-02-21T00:00:00"/>
    <s v="D-9981-25"/>
    <x v="6"/>
    <s v="Plano"/>
    <x v="3"/>
    <s v="ATP"/>
    <n v="29"/>
    <n v="23"/>
    <n v="667"/>
    <s v="Credit card"/>
    <n v="16.007999999999999"/>
  </r>
  <r>
    <d v="2025-02-22T00:00:00"/>
    <s v="B-6202-26"/>
    <x v="7"/>
    <s v="Richardson"/>
    <x v="1"/>
    <s v="ATP"/>
    <n v="49"/>
    <n v="25"/>
    <n v="1225"/>
    <s v="Credit card"/>
    <n v="36.75"/>
  </r>
  <r>
    <d v="2025-02-23T00:00:00"/>
    <s v="G-2655-27"/>
    <x v="7"/>
    <s v="Frisco"/>
    <x v="6"/>
    <s v="TAP"/>
    <n v="17"/>
    <n v="35"/>
    <n v="595"/>
    <s v="Gift card"/>
    <n v="16.065000000000001"/>
  </r>
  <r>
    <d v="2025-02-23T00:00:00"/>
    <s v="H-8670-27"/>
    <x v="0"/>
    <s v="Plano"/>
    <x v="1"/>
    <s v="TSA"/>
    <n v="14"/>
    <n v="57"/>
    <n v="798"/>
    <s v="Credit card"/>
    <n v="18.353999999999999"/>
  </r>
  <r>
    <d v="2025-02-23T00:00:00"/>
    <s v="H-7698-27"/>
    <x v="3"/>
    <s v="Richardson"/>
    <x v="5"/>
    <s v="HTE"/>
    <n v="12"/>
    <n v="34"/>
    <n v="408"/>
    <s v="Gift card"/>
    <n v="10.608000000000001"/>
  </r>
  <r>
    <d v="2025-02-23T00:00:00"/>
    <s v="F-7648-27"/>
    <x v="2"/>
    <s v="Dallas"/>
    <x v="2"/>
    <s v="TSA"/>
    <n v="30"/>
    <n v="37"/>
    <n v="1110"/>
    <s v="Cash"/>
    <n v="25.53"/>
  </r>
  <r>
    <d v="2025-02-23T00:00:00"/>
    <s v="F-9881-27"/>
    <x v="7"/>
    <s v="Plano"/>
    <x v="5"/>
    <s v="TAP"/>
    <n v="45"/>
    <n v="42"/>
    <n v="1890"/>
    <s v="Gift card"/>
    <n v="39.69"/>
  </r>
  <r>
    <d v="2025-02-23T00:00:00"/>
    <s v="H-2797-27"/>
    <x v="7"/>
    <s v="Dallas"/>
    <x v="0"/>
    <s v="ATP"/>
    <n v="59"/>
    <n v="29"/>
    <n v="1711"/>
    <s v="Gift card"/>
    <n v="46.197000000000003"/>
  </r>
  <r>
    <d v="2025-02-23T00:00:00"/>
    <s v="B-9202-27"/>
    <x v="4"/>
    <s v="Coppell"/>
    <x v="0"/>
    <s v="JKA"/>
    <n v="27"/>
    <n v="50"/>
    <n v="1350"/>
    <s v="Credit card"/>
    <n v="31.05"/>
  </r>
  <r>
    <d v="2025-02-24T00:00:00"/>
    <s v="D-2496-28"/>
    <x v="3"/>
    <s v="Dallas"/>
    <x v="0"/>
    <s v="AKJ"/>
    <n v="54"/>
    <n v="51"/>
    <n v="2754"/>
    <s v="Cash"/>
    <n v="74.358000000000004"/>
  </r>
  <r>
    <d v="2025-02-24T00:00:00"/>
    <s v="F-7474-28"/>
    <x v="1"/>
    <s v="Richardson"/>
    <x v="3"/>
    <s v="AKJ"/>
    <n v="39"/>
    <n v="46"/>
    <n v="1794"/>
    <s v="Cash"/>
    <n v="37.673999999999999"/>
  </r>
  <r>
    <d v="2025-02-24T00:00:00"/>
    <s v="A-3363-28"/>
    <x v="5"/>
    <s v="Coppell"/>
    <x v="5"/>
    <s v="AKJ"/>
    <n v="26"/>
    <n v="53"/>
    <n v="1378"/>
    <s v="Gift card"/>
    <n v="39.962000000000003"/>
  </r>
  <r>
    <d v="2025-02-25T00:00:00"/>
    <s v="E-8248-29"/>
    <x v="6"/>
    <s v="Plano"/>
    <x v="4"/>
    <s v="HTE"/>
    <n v="55"/>
    <n v="33"/>
    <n v="1815"/>
    <s v="Cash"/>
    <n v="49.005000000000003"/>
  </r>
  <r>
    <d v="2025-02-25T00:00:00"/>
    <s v="D-8959-29"/>
    <x v="4"/>
    <s v="McKinney"/>
    <x v="4"/>
    <s v="APS"/>
    <n v="17"/>
    <n v="49"/>
    <n v="833"/>
    <s v="Credit card"/>
    <n v="23.324000000000002"/>
  </r>
  <r>
    <d v="2025-02-25T00:00:00"/>
    <s v="B-6034-29"/>
    <x v="7"/>
    <s v="Coppell"/>
    <x v="2"/>
    <s v="ARP"/>
    <n v="37"/>
    <n v="49"/>
    <n v="1813"/>
    <s v="Credit card"/>
    <n v="50.764000000000003"/>
  </r>
  <r>
    <d v="2025-02-25T00:00:00"/>
    <s v="G-4019-29"/>
    <x v="3"/>
    <s v="Dallas"/>
    <x v="3"/>
    <s v="SMH"/>
    <n v="25"/>
    <n v="32"/>
    <n v="800"/>
    <s v="Credit card"/>
    <n v="20"/>
  </r>
  <r>
    <d v="2025-02-25T00:00:00"/>
    <s v="G-5529-29"/>
    <x v="7"/>
    <s v="McKinney"/>
    <x v="0"/>
    <s v="SAT"/>
    <n v="52"/>
    <n v="34"/>
    <n v="1768"/>
    <s v="Cash"/>
    <n v="44.2"/>
  </r>
  <r>
    <d v="2025-02-25T00:00:00"/>
    <s v="B-3029-29"/>
    <x v="5"/>
    <s v="Allen"/>
    <x v="1"/>
    <s v="ARP"/>
    <n v="49"/>
    <n v="48"/>
    <n v="2352"/>
    <s v="Gift card"/>
    <n v="58.8"/>
  </r>
  <r>
    <d v="2025-02-25T00:00:00"/>
    <s v="H-4212-29"/>
    <x v="0"/>
    <s v="McKinney"/>
    <x v="3"/>
    <s v="HNP"/>
    <n v="54"/>
    <n v="59"/>
    <n v="3186"/>
    <s v="Credit card"/>
    <n v="79.650000000000006"/>
  </r>
  <r>
    <d v="2025-02-25T00:00:00"/>
    <s v="A-2136-29"/>
    <x v="5"/>
    <s v="Dallas"/>
    <x v="5"/>
    <s v="APS"/>
    <n v="39"/>
    <n v="58"/>
    <n v="2262"/>
    <s v="Credit card"/>
    <n v="67.86"/>
  </r>
  <r>
    <d v="2025-02-25T00:00:00"/>
    <s v="H-2878-29"/>
    <x v="7"/>
    <s v="Plano"/>
    <x v="4"/>
    <s v="PKH"/>
    <n v="24"/>
    <n v="29"/>
    <n v="696"/>
    <s v="Gift card"/>
    <n v="15.311999999999999"/>
  </r>
  <r>
    <d v="2025-02-25T00:00:00"/>
    <s v="B-1985-29"/>
    <x v="2"/>
    <s v="Coppell"/>
    <x v="4"/>
    <s v="HTE"/>
    <n v="30"/>
    <n v="59"/>
    <n v="1770"/>
    <s v="Gift card"/>
    <n v="53.1"/>
  </r>
  <r>
    <d v="2025-02-25T00:00:00"/>
    <s v="H-4722-29"/>
    <x v="4"/>
    <s v="Frisco"/>
    <x v="0"/>
    <s v="MSP"/>
    <n v="37"/>
    <n v="39"/>
    <n v="1443"/>
    <s v="Gift card"/>
    <n v="37.518000000000001"/>
  </r>
  <r>
    <d v="2025-02-25T00:00:00"/>
    <s v="D-8203-29"/>
    <x v="8"/>
    <s v="Allen"/>
    <x v="0"/>
    <s v="MSP"/>
    <n v="49"/>
    <n v="22"/>
    <n v="1078"/>
    <s v="Cash"/>
    <n v="22.638000000000002"/>
  </r>
  <r>
    <d v="2025-02-25T00:00:00"/>
    <s v="E-7333-29"/>
    <x v="4"/>
    <s v="Allen"/>
    <x v="3"/>
    <s v="ATP"/>
    <n v="34"/>
    <n v="55"/>
    <n v="1870"/>
    <s v="Cash"/>
    <n v="56.1"/>
  </r>
  <r>
    <d v="2025-02-25T00:00:00"/>
    <s v="A-4255-29"/>
    <x v="6"/>
    <s v="Dallas"/>
    <x v="3"/>
    <s v="SAT"/>
    <n v="53"/>
    <n v="29"/>
    <n v="1537"/>
    <s v="Gift card"/>
    <n v="44.573"/>
  </r>
  <r>
    <d v="2025-02-25T00:00:00"/>
    <s v="H-8844-29"/>
    <x v="8"/>
    <s v="McKinney"/>
    <x v="3"/>
    <s v="TAP"/>
    <n v="31"/>
    <n v="45"/>
    <n v="1395"/>
    <s v="Cash"/>
    <n v="37.664999999999999"/>
  </r>
  <r>
    <d v="2025-02-25T00:00:00"/>
    <s v="C-9214-29"/>
    <x v="5"/>
    <s v="McKinney"/>
    <x v="1"/>
    <s v="TAP"/>
    <n v="20"/>
    <n v="38"/>
    <n v="760"/>
    <s v="Cash"/>
    <n v="21.28"/>
  </r>
  <r>
    <d v="2025-02-25T00:00:00"/>
    <s v="C-6866-29"/>
    <x v="2"/>
    <s v="Richardson"/>
    <x v="4"/>
    <s v="MSP"/>
    <n v="29"/>
    <n v="55"/>
    <n v="1595"/>
    <s v="Credit card"/>
    <n v="33.494999999999997"/>
  </r>
  <r>
    <d v="2025-02-25T00:00:00"/>
    <s v="C-8083-29"/>
    <x v="4"/>
    <s v="Coppell"/>
    <x v="1"/>
    <s v="PKH"/>
    <n v="55"/>
    <n v="31"/>
    <n v="1705"/>
    <s v="Credit card"/>
    <n v="49.445"/>
  </r>
  <r>
    <d v="2025-02-25T00:00:00"/>
    <s v="H-2535-29"/>
    <x v="6"/>
    <s v="Plano"/>
    <x v="6"/>
    <s v="PFF"/>
    <n v="29"/>
    <n v="51"/>
    <n v="1479"/>
    <s v="Credit card"/>
    <n v="35.496000000000002"/>
  </r>
  <r>
    <d v="2025-02-26T00:00:00"/>
    <s v="B-9705-30"/>
    <x v="8"/>
    <s v="Coppell"/>
    <x v="4"/>
    <s v="MSP"/>
    <n v="41"/>
    <n v="36"/>
    <n v="1476"/>
    <s v="Credit card"/>
    <n v="36.9"/>
  </r>
  <r>
    <d v="2025-02-26T00:00:00"/>
    <s v="G-6283-30"/>
    <x v="6"/>
    <s v="Allen"/>
    <x v="0"/>
    <s v="AKJ"/>
    <n v="59"/>
    <n v="58"/>
    <n v="3422"/>
    <s v="Cash"/>
    <n v="95.816000000000003"/>
  </r>
  <r>
    <d v="2025-02-26T00:00:00"/>
    <s v="D-8715-30"/>
    <x v="4"/>
    <s v="Dallas"/>
    <x v="6"/>
    <s v="KQR"/>
    <n v="21"/>
    <n v="53"/>
    <n v="1113"/>
    <s v="Check"/>
    <n v="31.164000000000001"/>
  </r>
  <r>
    <d v="2025-02-26T00:00:00"/>
    <s v="B-4453-30"/>
    <x v="5"/>
    <s v="Coppell"/>
    <x v="6"/>
    <s v="JKA"/>
    <n v="46"/>
    <n v="24"/>
    <n v="1104"/>
    <s v="Credit card"/>
    <n v="27.6"/>
  </r>
  <r>
    <d v="2025-02-26T00:00:00"/>
    <s v="E-7931-30"/>
    <x v="7"/>
    <s v="McKinney"/>
    <x v="4"/>
    <s v="APS"/>
    <n v="47"/>
    <n v="29"/>
    <n v="1363"/>
    <s v="Gift card"/>
    <n v="36.801000000000002"/>
  </r>
  <r>
    <d v="2025-02-26T00:00:00"/>
    <s v="A-1457-30"/>
    <x v="1"/>
    <s v="Dallas"/>
    <x v="5"/>
    <s v="SMH"/>
    <n v="19"/>
    <n v="20"/>
    <n v="380"/>
    <s v="Check"/>
    <n v="7.98"/>
  </r>
  <r>
    <d v="2025-02-26T00:00:00"/>
    <s v="H-7901-30"/>
    <x v="7"/>
    <s v="Coppell"/>
    <x v="6"/>
    <s v="TSA"/>
    <n v="41"/>
    <n v="56"/>
    <n v="2296"/>
    <s v="Credit card"/>
    <n v="48.216000000000001"/>
  </r>
  <r>
    <d v="2025-02-26T00:00:00"/>
    <s v="A-4190-30"/>
    <x v="4"/>
    <s v="Richardson"/>
    <x v="2"/>
    <s v="TSA"/>
    <n v="38"/>
    <n v="26"/>
    <n v="988"/>
    <s v="Cash"/>
    <n v="21.736000000000001"/>
  </r>
  <r>
    <d v="2025-02-27T00:00:00"/>
    <s v="C-6925-31"/>
    <x v="8"/>
    <s v="Frisco"/>
    <x v="0"/>
    <s v="APS"/>
    <n v="38"/>
    <n v="60"/>
    <n v="2280"/>
    <s v="Credit card"/>
    <n v="50.16"/>
  </r>
  <r>
    <d v="2025-02-27T00:00:00"/>
    <s v="D-3939-31"/>
    <x v="8"/>
    <s v="McKinney"/>
    <x v="4"/>
    <s v="SMH"/>
    <n v="43"/>
    <n v="55"/>
    <n v="2365"/>
    <s v="Cash"/>
    <n v="61.49"/>
  </r>
  <r>
    <d v="2025-02-27T00:00:00"/>
    <s v="D-4477-31"/>
    <x v="4"/>
    <s v="McKinney"/>
    <x v="0"/>
    <s v="HTE"/>
    <n v="54"/>
    <n v="31"/>
    <n v="1674"/>
    <s v="Gift card"/>
    <n v="43.524000000000001"/>
  </r>
  <r>
    <d v="2025-02-27T00:00:00"/>
    <s v="B-9616-31"/>
    <x v="7"/>
    <s v="Dallas"/>
    <x v="3"/>
    <s v="ATP"/>
    <n v="38"/>
    <n v="41"/>
    <n v="1558"/>
    <s v="Cash"/>
    <n v="43.624000000000002"/>
  </r>
  <r>
    <d v="2025-02-27T00:00:00"/>
    <s v="H-4342-31"/>
    <x v="7"/>
    <s v="Plano"/>
    <x v="2"/>
    <s v="ZAA"/>
    <n v="36"/>
    <n v="44"/>
    <n v="1584"/>
    <s v="Credit card"/>
    <n v="39.6"/>
  </r>
  <r>
    <d v="2025-02-27T00:00:00"/>
    <s v="A-5138-31"/>
    <x v="4"/>
    <s v="Plano"/>
    <x v="6"/>
    <s v="AKJ"/>
    <n v="28"/>
    <n v="28"/>
    <n v="784"/>
    <s v="Credit card"/>
    <n v="18.815999999999999"/>
  </r>
  <r>
    <d v="2025-02-27T00:00:00"/>
    <s v="B-7817-31"/>
    <x v="4"/>
    <s v="Frisco"/>
    <x v="4"/>
    <s v="ARP"/>
    <n v="11"/>
    <n v="53"/>
    <n v="583"/>
    <s v="Cash"/>
    <n v="15.741"/>
  </r>
  <r>
    <d v="2025-02-27T00:00:00"/>
    <s v="D-5105-31"/>
    <x v="3"/>
    <s v="Coppell"/>
    <x v="2"/>
    <s v="APS"/>
    <n v="39"/>
    <n v="45"/>
    <n v="1755"/>
    <s v="Credit card"/>
    <n v="35.1"/>
  </r>
  <r>
    <d v="2025-02-27T00:00:00"/>
    <s v="C-5231-31"/>
    <x v="7"/>
    <s v="Frisco"/>
    <x v="3"/>
    <s v="ZAA"/>
    <n v="59"/>
    <n v="41"/>
    <n v="2419"/>
    <s v="Cash"/>
    <n v="55.637"/>
  </r>
  <r>
    <d v="2025-02-27T00:00:00"/>
    <s v="A-3721-31"/>
    <x v="5"/>
    <s v="Coppell"/>
    <x v="1"/>
    <s v="JKA"/>
    <n v="57"/>
    <n v="39"/>
    <n v="2223"/>
    <s v="Gift card"/>
    <n v="62.244"/>
  </r>
  <r>
    <d v="2025-02-27T00:00:00"/>
    <s v="G-2551-31"/>
    <x v="8"/>
    <s v="McKinney"/>
    <x v="2"/>
    <s v="ATP"/>
    <n v="42"/>
    <n v="50"/>
    <n v="2100"/>
    <s v="Gift card"/>
    <n v="58.8"/>
  </r>
  <r>
    <d v="2025-02-27T00:00:00"/>
    <s v="F-2250-31"/>
    <x v="8"/>
    <s v="Plano"/>
    <x v="3"/>
    <s v="HTE"/>
    <n v="52"/>
    <n v="22"/>
    <n v="1144"/>
    <s v="Credit card"/>
    <n v="29.744"/>
  </r>
  <r>
    <d v="2025-02-27T00:00:00"/>
    <s v="E-3226-31"/>
    <x v="2"/>
    <s v="Dallas"/>
    <x v="0"/>
    <s v="TSQ"/>
    <n v="22"/>
    <n v="29"/>
    <n v="638"/>
    <s v="Cash"/>
    <n v="19.14"/>
  </r>
  <r>
    <d v="2025-02-27T00:00:00"/>
    <s v="G-1609-31"/>
    <x v="7"/>
    <s v="Coppell"/>
    <x v="6"/>
    <s v="AKJ"/>
    <n v="40"/>
    <n v="44"/>
    <n v="1760"/>
    <s v="Credit card"/>
    <n v="42.24"/>
  </r>
  <r>
    <d v="2025-02-27T00:00:00"/>
    <s v="C-4964-31"/>
    <x v="2"/>
    <s v="Coppell"/>
    <x v="1"/>
    <s v="TSA"/>
    <n v="41"/>
    <n v="27"/>
    <n v="1107"/>
    <s v="Gift card"/>
    <n v="23.247"/>
  </r>
  <r>
    <d v="2025-02-27T00:00:00"/>
    <s v="F-9020-31"/>
    <x v="7"/>
    <s v="Allen"/>
    <x v="5"/>
    <s v="SMH"/>
    <n v="16"/>
    <n v="42"/>
    <n v="672"/>
    <s v="Credit card"/>
    <n v="20.16"/>
  </r>
  <r>
    <d v="2025-02-27T00:00:00"/>
    <s v="F-8851-31"/>
    <x v="5"/>
    <s v="Richardson"/>
    <x v="3"/>
    <s v="PFF"/>
    <n v="37"/>
    <n v="38"/>
    <n v="1406"/>
    <s v="Gift card"/>
    <n v="39.368000000000002"/>
  </r>
  <r>
    <d v="2025-02-27T00:00:00"/>
    <s v="F-1458-31"/>
    <x v="0"/>
    <s v="Allen"/>
    <x v="2"/>
    <s v="SAT"/>
    <n v="29"/>
    <n v="37"/>
    <n v="1073"/>
    <s v="Gift card"/>
    <n v="28.971"/>
  </r>
  <r>
    <d v="2025-02-27T00:00:00"/>
    <s v="A-4152-31"/>
    <x v="2"/>
    <s v="Frisco"/>
    <x v="4"/>
    <s v="ARP"/>
    <n v="53"/>
    <n v="29"/>
    <n v="1537"/>
    <s v="Credit card"/>
    <n v="38.424999999999997"/>
  </r>
  <r>
    <d v="2025-02-27T00:00:00"/>
    <s v="A-9901-31"/>
    <x v="6"/>
    <s v="Plano"/>
    <x v="5"/>
    <s v="TSA"/>
    <n v="48"/>
    <n v="59"/>
    <n v="2832"/>
    <s v="Cash"/>
    <n v="79.296000000000006"/>
  </r>
  <r>
    <d v="2025-02-27T00:00:00"/>
    <s v="C-4489-31"/>
    <x v="0"/>
    <s v="Dallas"/>
    <x v="6"/>
    <s v="SAT"/>
    <n v="43"/>
    <n v="56"/>
    <n v="2408"/>
    <s v="Cash"/>
    <n v="50.567999999999998"/>
  </r>
  <r>
    <d v="2025-02-27T00:00:00"/>
    <s v="A-1525-31"/>
    <x v="3"/>
    <s v="Allen"/>
    <x v="2"/>
    <s v="SAT"/>
    <n v="13"/>
    <n v="36"/>
    <n v="468"/>
    <s v="Credit card"/>
    <n v="13.571999999999999"/>
  </r>
  <r>
    <d v="2025-02-27T00:00:00"/>
    <s v="E-6773-31"/>
    <x v="7"/>
    <s v="Coppell"/>
    <x v="3"/>
    <s v="KQR"/>
    <n v="21"/>
    <n v="47"/>
    <n v="987"/>
    <s v="Cash"/>
    <n v="20.727"/>
  </r>
  <r>
    <d v="2025-02-27T00:00:00"/>
    <s v="G-1387-31"/>
    <x v="8"/>
    <s v="Plano"/>
    <x v="4"/>
    <s v="TSA"/>
    <n v="30"/>
    <n v="30"/>
    <n v="900"/>
    <s v="Cash"/>
    <n v="18"/>
  </r>
  <r>
    <d v="2025-02-27T00:00:00"/>
    <s v="A-9642-31"/>
    <x v="6"/>
    <s v="Coppell"/>
    <x v="4"/>
    <s v="TAP"/>
    <n v="35"/>
    <n v="56"/>
    <n v="1960"/>
    <s v="Credit card"/>
    <n v="43.12"/>
  </r>
  <r>
    <d v="2025-02-27T00:00:00"/>
    <s v="F-7338-31"/>
    <x v="7"/>
    <s v="Plano"/>
    <x v="3"/>
    <s v="PKH"/>
    <n v="34"/>
    <n v="51"/>
    <n v="1734"/>
    <s v="Cash"/>
    <n v="50.286000000000001"/>
  </r>
  <r>
    <d v="2025-02-27T00:00:00"/>
    <s v="D-1116-31"/>
    <x v="4"/>
    <s v="Allen"/>
    <x v="6"/>
    <s v="HNP"/>
    <n v="38"/>
    <n v="26"/>
    <n v="988"/>
    <s v="Cash"/>
    <n v="21.736000000000001"/>
  </r>
  <r>
    <d v="2025-02-27T00:00:00"/>
    <s v="D-3753-31"/>
    <x v="2"/>
    <s v="Coppell"/>
    <x v="2"/>
    <s v="ATP"/>
    <n v="32"/>
    <n v="29"/>
    <n v="928"/>
    <s v="Credit card"/>
    <n v="22.271999999999998"/>
  </r>
  <r>
    <d v="2025-02-28T00:00:00"/>
    <s v="AK-4698-1"/>
    <x v="7"/>
    <s v="Dallas"/>
    <x v="1"/>
    <s v="JKA"/>
    <n v="55"/>
    <n v="46"/>
    <n v="2530"/>
    <s v="Cash"/>
    <n v="58.19"/>
  </r>
  <r>
    <d v="2025-02-28T00:00:00"/>
    <s v="GK-4980-1"/>
    <x v="0"/>
    <s v="Dallas"/>
    <x v="3"/>
    <s v="HTE"/>
    <n v="48"/>
    <n v="38"/>
    <n v="1824"/>
    <s v="Credit card"/>
    <n v="51.072000000000003"/>
  </r>
  <r>
    <d v="2025-02-28T00:00:00"/>
    <s v="HK-7415-1"/>
    <x v="6"/>
    <s v="Plano"/>
    <x v="1"/>
    <s v="APS"/>
    <n v="21"/>
    <n v="54"/>
    <n v="1134"/>
    <s v="Credit card"/>
    <n v="23.814"/>
  </r>
  <r>
    <d v="2025-02-28T00:00:00"/>
    <s v="CK-2358-1"/>
    <x v="1"/>
    <s v="Dallas"/>
    <x v="2"/>
    <s v="TAP"/>
    <n v="22"/>
    <n v="25"/>
    <n v="550"/>
    <s v="Credit card"/>
    <n v="12.1"/>
  </r>
  <r>
    <d v="2025-02-28T00:00:00"/>
    <s v="AK-7983-1"/>
    <x v="5"/>
    <s v="Dallas"/>
    <x v="0"/>
    <s v="JKA"/>
    <n v="24"/>
    <n v="42"/>
    <n v="1008"/>
    <s v="Credit card"/>
    <n v="23.184000000000001"/>
  </r>
  <r>
    <d v="2025-02-28T00:00:00"/>
    <s v="AK-6925-1"/>
    <x v="0"/>
    <s v="Plano"/>
    <x v="0"/>
    <s v="TSQ"/>
    <n v="48"/>
    <n v="56"/>
    <n v="2688"/>
    <s v="Check"/>
    <n v="72.575999999999993"/>
  </r>
  <r>
    <d v="2025-02-28T00:00:00"/>
    <s v="AK-1456-1"/>
    <x v="7"/>
    <s v="Dallas"/>
    <x v="5"/>
    <s v="PKH"/>
    <n v="19"/>
    <n v="32"/>
    <n v="608"/>
    <s v="Credit card"/>
    <n v="15.2"/>
  </r>
  <r>
    <d v="2025-02-28T00:00:00"/>
    <s v="DK-6113-1"/>
    <x v="1"/>
    <s v="Richardson"/>
    <x v="1"/>
    <s v="PFF"/>
    <n v="36"/>
    <n v="21"/>
    <n v="756"/>
    <s v="Check"/>
    <n v="21.167999999999999"/>
  </r>
  <r>
    <d v="2025-02-28T00:00:00"/>
    <s v="FK-7924-1"/>
    <x v="7"/>
    <s v="Frisco"/>
    <x v="5"/>
    <s v="TSQ"/>
    <n v="29"/>
    <n v="55"/>
    <n v="1595"/>
    <s v="Check"/>
    <n v="44.66"/>
  </r>
  <r>
    <d v="2025-03-01T00:00:00"/>
    <s v="GK-6114-2"/>
    <x v="4"/>
    <s v="Frisco"/>
    <x v="2"/>
    <s v="HTE"/>
    <n v="32"/>
    <n v="46"/>
    <n v="1472"/>
    <s v="Credit card"/>
    <n v="29.44"/>
  </r>
  <r>
    <d v="2025-03-01T00:00:00"/>
    <s v="AK-5346-2"/>
    <x v="3"/>
    <s v="Richardson"/>
    <x v="3"/>
    <s v="PFF"/>
    <n v="54"/>
    <n v="28"/>
    <n v="1512"/>
    <s v="Cash"/>
    <n v="42.335999999999999"/>
  </r>
  <r>
    <d v="2025-03-01T00:00:00"/>
    <s v="DK-4701-2"/>
    <x v="1"/>
    <s v="Allen"/>
    <x v="1"/>
    <s v="ARP"/>
    <n v="41"/>
    <n v="20"/>
    <n v="820"/>
    <s v="Gift card"/>
    <n v="17.22"/>
  </r>
  <r>
    <d v="2025-03-01T00:00:00"/>
    <s v="BK-3403-2"/>
    <x v="4"/>
    <s v="Coppell"/>
    <x v="2"/>
    <s v="ZAA"/>
    <n v="23"/>
    <n v="24"/>
    <n v="552"/>
    <s v="Credit card"/>
    <n v="13.247999999999999"/>
  </r>
  <r>
    <d v="2025-03-01T00:00:00"/>
    <s v="BK-1761-2"/>
    <x v="7"/>
    <s v="Dallas"/>
    <x v="1"/>
    <s v="ATP"/>
    <n v="36"/>
    <n v="42"/>
    <n v="1512"/>
    <s v="Credit card"/>
    <n v="30.24"/>
  </r>
  <r>
    <d v="2025-03-01T00:00:00"/>
    <s v="EK-6591-2"/>
    <x v="0"/>
    <s v="Plano"/>
    <x v="4"/>
    <s v="JKA"/>
    <n v="55"/>
    <n v="26"/>
    <n v="1430"/>
    <s v="Cash"/>
    <n v="32.89"/>
  </r>
  <r>
    <d v="2025-03-01T00:00:00"/>
    <s v="GK-9231-2"/>
    <x v="6"/>
    <s v="McKinney"/>
    <x v="3"/>
    <s v="KQR"/>
    <n v="12"/>
    <n v="54"/>
    <n v="648"/>
    <s v="Credit card"/>
    <n v="12.96"/>
  </r>
  <r>
    <d v="2025-03-01T00:00:00"/>
    <s v="HK-2787-2"/>
    <x v="4"/>
    <s v="McKinney"/>
    <x v="1"/>
    <s v="HNP"/>
    <n v="23"/>
    <n v="23"/>
    <n v="529"/>
    <s v="Gift card"/>
    <n v="11.638"/>
  </r>
  <r>
    <d v="2025-03-01T00:00:00"/>
    <s v="GK-7484-2"/>
    <x v="3"/>
    <s v="Frisco"/>
    <x v="6"/>
    <s v="ZAA"/>
    <n v="10"/>
    <n v="36"/>
    <n v="360"/>
    <s v="Gift card"/>
    <n v="9"/>
  </r>
  <r>
    <d v="2025-03-01T00:00:00"/>
    <s v="HK-1887-2"/>
    <x v="6"/>
    <s v="Richardson"/>
    <x v="4"/>
    <s v="MSP"/>
    <n v="15"/>
    <n v="34"/>
    <n v="510"/>
    <s v="Gift card"/>
    <n v="15.3"/>
  </r>
  <r>
    <d v="2025-03-01T00:00:00"/>
    <s v="CK-9325-2"/>
    <x v="1"/>
    <s v="Dallas"/>
    <x v="1"/>
    <s v="TSQ"/>
    <n v="30"/>
    <n v="30"/>
    <n v="900"/>
    <s v="Credit card"/>
    <n v="19.8"/>
  </r>
  <r>
    <d v="2025-03-01T00:00:00"/>
    <s v="HK-4797-2"/>
    <x v="4"/>
    <s v="Frisco"/>
    <x v="3"/>
    <s v="APS"/>
    <n v="14"/>
    <n v="54"/>
    <n v="756"/>
    <s v="Cash"/>
    <n v="15.875999999999999"/>
  </r>
  <r>
    <d v="2025-03-01T00:00:00"/>
    <s v="FK-4028-2"/>
    <x v="0"/>
    <s v="Richardson"/>
    <x v="0"/>
    <s v="HNP"/>
    <n v="45"/>
    <n v="25"/>
    <n v="1125"/>
    <s v="Gift card"/>
    <n v="32.625"/>
  </r>
  <r>
    <d v="2025-03-02T00:00:00"/>
    <s v="EK-9345-3"/>
    <x v="5"/>
    <s v="Dallas"/>
    <x v="0"/>
    <s v="KQR"/>
    <n v="47"/>
    <n v="58"/>
    <n v="2726"/>
    <s v="Credit card"/>
    <n v="59.972000000000001"/>
  </r>
  <r>
    <d v="2025-03-02T00:00:00"/>
    <s v="AK-4260-3"/>
    <x v="3"/>
    <s v="Dallas"/>
    <x v="2"/>
    <s v="SAT"/>
    <n v="43"/>
    <n v="50"/>
    <n v="2150"/>
    <s v="Cash"/>
    <n v="62.35"/>
  </r>
  <r>
    <d v="2025-03-02T00:00:00"/>
    <s v="DK-8880-3"/>
    <x v="7"/>
    <s v="Richardson"/>
    <x v="1"/>
    <s v="TSA"/>
    <n v="17"/>
    <n v="43"/>
    <n v="731"/>
    <s v="Cash"/>
    <n v="16.812999999999999"/>
  </r>
  <r>
    <d v="2025-03-02T00:00:00"/>
    <s v="FK-3748-3"/>
    <x v="8"/>
    <s v="Dallas"/>
    <x v="0"/>
    <s v="SAT"/>
    <n v="53"/>
    <n v="25"/>
    <n v="1325"/>
    <s v="Cash"/>
    <n v="31.8"/>
  </r>
  <r>
    <d v="2025-03-02T00:00:00"/>
    <s v="AK-2314-3"/>
    <x v="8"/>
    <s v="Coppell"/>
    <x v="2"/>
    <s v="ARP"/>
    <n v="27"/>
    <n v="43"/>
    <n v="1161"/>
    <s v="Credit card"/>
    <n v="27.864000000000001"/>
  </r>
  <r>
    <d v="2025-03-02T00:00:00"/>
    <s v="AK-7426-3"/>
    <x v="0"/>
    <s v="Plano"/>
    <x v="3"/>
    <s v="APS"/>
    <n v="26"/>
    <n v="34"/>
    <n v="884"/>
    <s v="Cash"/>
    <n v="22.1"/>
  </r>
  <r>
    <d v="2025-03-02T00:00:00"/>
    <s v="DK-6575-3"/>
    <x v="8"/>
    <s v="Coppell"/>
    <x v="1"/>
    <s v="PFF"/>
    <n v="30"/>
    <n v="50"/>
    <n v="1500"/>
    <s v="Cash"/>
    <n v="33"/>
  </r>
  <r>
    <d v="2025-03-03T00:00:00"/>
    <s v="BK-2553-4"/>
    <x v="6"/>
    <s v="Richardson"/>
    <x v="4"/>
    <s v="TSQ"/>
    <n v="11"/>
    <n v="53"/>
    <n v="583"/>
    <s v="Credit card"/>
    <n v="14.574999999999999"/>
  </r>
  <r>
    <d v="2025-03-03T00:00:00"/>
    <s v="FK-8584-4"/>
    <x v="8"/>
    <s v="Coppell"/>
    <x v="2"/>
    <s v="ATP"/>
    <n v="40"/>
    <n v="55"/>
    <n v="2200"/>
    <s v="Credit card"/>
    <n v="63.8"/>
  </r>
  <r>
    <d v="2025-03-03T00:00:00"/>
    <s v="EK-3125-4"/>
    <x v="0"/>
    <s v="Plano"/>
    <x v="2"/>
    <s v="SAT"/>
    <n v="14"/>
    <n v="58"/>
    <n v="812"/>
    <s v="Cash"/>
    <n v="22.736000000000001"/>
  </r>
  <r>
    <d v="2025-03-03T00:00:00"/>
    <s v="DK-2834-4"/>
    <x v="3"/>
    <s v="Plano"/>
    <x v="3"/>
    <s v="ARP"/>
    <n v="58"/>
    <n v="35"/>
    <n v="2030"/>
    <s v="Check"/>
    <n v="58.87"/>
  </r>
  <r>
    <d v="2025-03-03T00:00:00"/>
    <s v="AK-2645-4"/>
    <x v="0"/>
    <s v="Plano"/>
    <x v="0"/>
    <s v="SMH"/>
    <n v="59"/>
    <n v="55"/>
    <n v="3245"/>
    <s v="Check"/>
    <n v="64.900000000000006"/>
  </r>
  <r>
    <d v="2025-03-03T00:00:00"/>
    <s v="HK-3926-4"/>
    <x v="6"/>
    <s v="Plano"/>
    <x v="0"/>
    <s v="ATP"/>
    <n v="21"/>
    <n v="34"/>
    <n v="714"/>
    <s v="Credit card"/>
    <n v="14.994"/>
  </r>
  <r>
    <d v="2025-03-03T00:00:00"/>
    <s v="EK-4065-4"/>
    <x v="0"/>
    <s v="Allen"/>
    <x v="2"/>
    <s v="APS"/>
    <n v="33"/>
    <n v="56"/>
    <n v="1848"/>
    <s v="Credit card"/>
    <n v="49.896000000000001"/>
  </r>
  <r>
    <d v="2025-03-03T00:00:00"/>
    <s v="FK-9034-4"/>
    <x v="1"/>
    <s v="Richardson"/>
    <x v="2"/>
    <s v="TSQ"/>
    <n v="17"/>
    <n v="59"/>
    <n v="1003"/>
    <s v="Cash"/>
    <n v="30.09"/>
  </r>
  <r>
    <d v="2025-03-03T00:00:00"/>
    <s v="BK-6780-4"/>
    <x v="4"/>
    <s v="Frisco"/>
    <x v="3"/>
    <s v="PFF"/>
    <n v="36"/>
    <n v="53"/>
    <n v="1908"/>
    <s v="Credit card"/>
    <n v="55.332000000000001"/>
  </r>
  <r>
    <d v="2025-03-03T00:00:00"/>
    <s v="CK-4662-4"/>
    <x v="5"/>
    <s v="Dallas"/>
    <x v="4"/>
    <s v="ATP"/>
    <n v="18"/>
    <n v="43"/>
    <n v="774"/>
    <s v="Cash"/>
    <n v="17.027999999999999"/>
  </r>
  <r>
    <d v="2025-03-03T00:00:00"/>
    <s v="DK-9020-4"/>
    <x v="1"/>
    <s v="Allen"/>
    <x v="4"/>
    <s v="APS"/>
    <n v="10"/>
    <n v="39"/>
    <n v="390"/>
    <s v="Cash"/>
    <n v="10.53"/>
  </r>
  <r>
    <d v="2025-03-03T00:00:00"/>
    <s v="GK-9752-4"/>
    <x v="8"/>
    <s v="Dallas"/>
    <x v="4"/>
    <s v="APS"/>
    <n v="29"/>
    <n v="44"/>
    <n v="1276"/>
    <s v="Credit card"/>
    <n v="35.728000000000002"/>
  </r>
  <r>
    <d v="2025-03-03T00:00:00"/>
    <s v="GK-3832-4"/>
    <x v="3"/>
    <s v="Dallas"/>
    <x v="3"/>
    <s v="PKH"/>
    <n v="55"/>
    <n v="46"/>
    <n v="2530"/>
    <s v="Credit card"/>
    <n v="68.31"/>
  </r>
  <r>
    <d v="2025-03-03T00:00:00"/>
    <s v="BK-7087-4"/>
    <x v="1"/>
    <s v="Plano"/>
    <x v="3"/>
    <s v="SMH"/>
    <n v="12"/>
    <n v="53"/>
    <n v="636"/>
    <s v="Cash"/>
    <n v="13.356"/>
  </r>
  <r>
    <d v="2025-03-03T00:00:00"/>
    <s v="AK-3222-4"/>
    <x v="1"/>
    <s v="Plano"/>
    <x v="0"/>
    <s v="JKA"/>
    <n v="28"/>
    <n v="42"/>
    <n v="1176"/>
    <s v="Gift card"/>
    <n v="30.576000000000001"/>
  </r>
  <r>
    <d v="2025-03-03T00:00:00"/>
    <s v="EK-8285-4"/>
    <x v="6"/>
    <s v="Allen"/>
    <x v="3"/>
    <s v="AKJ"/>
    <n v="32"/>
    <n v="39"/>
    <n v="1248"/>
    <s v="Credit card"/>
    <n v="36.192"/>
  </r>
  <r>
    <d v="2025-03-03T00:00:00"/>
    <s v="BK-8859-4"/>
    <x v="7"/>
    <s v="Dallas"/>
    <x v="0"/>
    <s v="TAP"/>
    <n v="53"/>
    <n v="23"/>
    <n v="1219"/>
    <s v="Credit card"/>
    <n v="34.131999999999998"/>
  </r>
  <r>
    <d v="2025-03-03T00:00:00"/>
    <s v="DK-5249-4"/>
    <x v="6"/>
    <s v="Plano"/>
    <x v="1"/>
    <s v="TAP"/>
    <n v="17"/>
    <n v="44"/>
    <n v="748"/>
    <s v="Credit card"/>
    <n v="14.96"/>
  </r>
  <r>
    <d v="2025-03-04T00:00:00"/>
    <s v="EK-5510-5"/>
    <x v="5"/>
    <s v="Frisco"/>
    <x v="0"/>
    <s v="APS"/>
    <n v="10"/>
    <n v="25"/>
    <n v="250"/>
    <s v="Credit card"/>
    <n v="7.5"/>
  </r>
  <r>
    <d v="2025-03-04T00:00:00"/>
    <s v="DK-1589-5"/>
    <x v="8"/>
    <s v="Coppell"/>
    <x v="3"/>
    <s v="APS"/>
    <n v="21"/>
    <n v="48"/>
    <n v="1008"/>
    <s v="Cash"/>
    <n v="20.16"/>
  </r>
  <r>
    <d v="2025-03-05T00:00:00"/>
    <s v="DK-8736-6"/>
    <x v="4"/>
    <s v="Dallas"/>
    <x v="4"/>
    <s v="JKA"/>
    <n v="27"/>
    <n v="36"/>
    <n v="972"/>
    <s v="Gift card"/>
    <n v="19.440000000000001"/>
  </r>
  <r>
    <d v="2025-03-05T00:00:00"/>
    <s v="AK-2642-6"/>
    <x v="8"/>
    <s v="Plano"/>
    <x v="5"/>
    <s v="ARP"/>
    <n v="56"/>
    <n v="57"/>
    <n v="3192"/>
    <s v="Credit card"/>
    <n v="89.376000000000005"/>
  </r>
  <r>
    <d v="2025-03-05T00:00:00"/>
    <s v="FK-1274-6"/>
    <x v="4"/>
    <s v="Richardson"/>
    <x v="2"/>
    <s v="TAP"/>
    <n v="20"/>
    <n v="59"/>
    <n v="1180"/>
    <s v="Credit card"/>
    <n v="35.4"/>
  </r>
  <r>
    <d v="2025-03-05T00:00:00"/>
    <s v="AK-3358-6"/>
    <x v="6"/>
    <s v="Frisco"/>
    <x v="5"/>
    <s v="ZAA"/>
    <n v="13"/>
    <n v="36"/>
    <n v="468"/>
    <s v="Credit card"/>
    <n v="11.231999999999999"/>
  </r>
  <r>
    <d v="2025-03-05T00:00:00"/>
    <s v="DK-8038-6"/>
    <x v="5"/>
    <s v="Dallas"/>
    <x v="2"/>
    <s v="ARP"/>
    <n v="31"/>
    <n v="51"/>
    <n v="1581"/>
    <s v="Credit card"/>
    <n v="45.848999999999997"/>
  </r>
  <r>
    <d v="2025-03-05T00:00:00"/>
    <s v="DK-9735-6"/>
    <x v="5"/>
    <s v="Frisco"/>
    <x v="3"/>
    <s v="APS"/>
    <n v="30"/>
    <n v="55"/>
    <n v="1650"/>
    <s v="Credit card"/>
    <n v="42.9"/>
  </r>
  <r>
    <d v="2025-03-05T00:00:00"/>
    <s v="CK-8273-6"/>
    <x v="5"/>
    <s v="Plano"/>
    <x v="4"/>
    <s v="TAP"/>
    <n v="17"/>
    <n v="32"/>
    <n v="544"/>
    <s v="Check"/>
    <n v="11.968"/>
  </r>
  <r>
    <d v="2025-03-05T00:00:00"/>
    <s v="HK-4139-6"/>
    <x v="1"/>
    <s v="Plano"/>
    <x v="3"/>
    <s v="ARP"/>
    <n v="60"/>
    <n v="52"/>
    <n v="3120"/>
    <s v="Cash"/>
    <n v="90.48"/>
  </r>
  <r>
    <d v="2025-03-05T00:00:00"/>
    <s v="FK-8467-6"/>
    <x v="2"/>
    <s v="Allen"/>
    <x v="0"/>
    <s v="TSA"/>
    <n v="38"/>
    <n v="54"/>
    <n v="2052"/>
    <s v="Cash"/>
    <n v="51.3"/>
  </r>
  <r>
    <d v="2025-03-06T00:00:00"/>
    <s v="CK-8500-7"/>
    <x v="7"/>
    <s v="Dallas"/>
    <x v="1"/>
    <s v="APS"/>
    <n v="25"/>
    <n v="40"/>
    <n v="1000"/>
    <s v="Credit card"/>
    <n v="30"/>
  </r>
  <r>
    <d v="2025-03-06T00:00:00"/>
    <s v="CK-5161-7"/>
    <x v="4"/>
    <s v="Dallas"/>
    <x v="3"/>
    <s v="TSA"/>
    <n v="24"/>
    <n v="33"/>
    <n v="792"/>
    <s v="Cash"/>
    <n v="19.007999999999999"/>
  </r>
  <r>
    <d v="2025-03-06T00:00:00"/>
    <s v="GK-9838-7"/>
    <x v="8"/>
    <s v="Richardson"/>
    <x v="1"/>
    <s v="APS"/>
    <n v="56"/>
    <n v="23"/>
    <n v="1288"/>
    <s v="Check"/>
    <n v="34.776000000000003"/>
  </r>
  <r>
    <d v="2025-03-06T00:00:00"/>
    <s v="HK-9940-7"/>
    <x v="6"/>
    <s v="Frisco"/>
    <x v="4"/>
    <s v="AKJ"/>
    <n v="20"/>
    <n v="25"/>
    <n v="500"/>
    <s v="Credit card"/>
    <n v="13.5"/>
  </r>
  <r>
    <d v="2025-03-07T00:00:00"/>
    <s v="DK-5485-8"/>
    <x v="6"/>
    <s v="Coppell"/>
    <x v="3"/>
    <s v="JKA"/>
    <n v="48"/>
    <n v="33"/>
    <n v="1584"/>
    <s v="Cash"/>
    <n v="47.52"/>
  </r>
  <r>
    <d v="2025-03-07T00:00:00"/>
    <s v="BK-1943-8"/>
    <x v="8"/>
    <s v="Richardson"/>
    <x v="3"/>
    <s v="TSA"/>
    <n v="57"/>
    <n v="48"/>
    <n v="2736"/>
    <s v="Credit card"/>
    <n v="54.72"/>
  </r>
  <r>
    <d v="2025-03-08T00:00:00"/>
    <s v="FK-1913-9"/>
    <x v="0"/>
    <s v="Plano"/>
    <x v="3"/>
    <s v="PFF"/>
    <n v="41"/>
    <n v="56"/>
    <n v="2296"/>
    <s v="Gift card"/>
    <n v="64.287999999999997"/>
  </r>
  <r>
    <d v="2025-03-08T00:00:00"/>
    <s v="CK-5314-9"/>
    <x v="7"/>
    <s v="Dallas"/>
    <x v="1"/>
    <s v="MSP"/>
    <n v="56"/>
    <n v="57"/>
    <n v="3192"/>
    <s v="Credit card"/>
    <n v="92.567999999999998"/>
  </r>
  <r>
    <d v="2025-03-08T00:00:00"/>
    <s v="FK-9193-9"/>
    <x v="7"/>
    <s v="Allen"/>
    <x v="0"/>
    <s v="PFF"/>
    <n v="41"/>
    <n v="41"/>
    <n v="1681"/>
    <s v="Gift card"/>
    <n v="42.024999999999999"/>
  </r>
  <r>
    <d v="2025-03-09T00:00:00"/>
    <s v="D-4113-10"/>
    <x v="4"/>
    <s v="McKinney"/>
    <x v="3"/>
    <s v="ATP"/>
    <n v="33"/>
    <n v="43"/>
    <n v="1419"/>
    <s v="Gift card"/>
    <n v="34.055999999999997"/>
  </r>
  <r>
    <d v="2025-03-09T00:00:00"/>
    <s v="H-3150-10"/>
    <x v="1"/>
    <s v="Frisco"/>
    <x v="3"/>
    <s v="TSQ"/>
    <n v="17"/>
    <n v="21"/>
    <n v="357"/>
    <s v="Check"/>
    <n v="8.9250000000000007"/>
  </r>
  <r>
    <d v="2025-03-09T00:00:00"/>
    <s v="H-3838-10"/>
    <x v="0"/>
    <s v="Allen"/>
    <x v="0"/>
    <s v="SMH"/>
    <n v="14"/>
    <n v="30"/>
    <n v="420"/>
    <s v="Credit card"/>
    <n v="8.82"/>
  </r>
  <r>
    <d v="2025-03-09T00:00:00"/>
    <s v="E-6984-10"/>
    <x v="2"/>
    <s v="Allen"/>
    <x v="4"/>
    <s v="ATP"/>
    <n v="33"/>
    <n v="21"/>
    <n v="693"/>
    <s v="Gift card"/>
    <n v="20.79"/>
  </r>
  <r>
    <d v="2025-03-09T00:00:00"/>
    <s v="E-7674-10"/>
    <x v="2"/>
    <s v="Plano"/>
    <x v="3"/>
    <s v="APS"/>
    <n v="45"/>
    <n v="20"/>
    <n v="900"/>
    <s v="Check"/>
    <n v="21.6"/>
  </r>
  <r>
    <d v="2025-03-09T00:00:00"/>
    <s v="H-5815-10"/>
    <x v="4"/>
    <s v="Plano"/>
    <x v="4"/>
    <s v="APS"/>
    <n v="46"/>
    <n v="52"/>
    <n v="2392"/>
    <s v="Cash"/>
    <n v="52.624000000000002"/>
  </r>
  <r>
    <d v="2025-03-09T00:00:00"/>
    <s v="F-2430-10"/>
    <x v="1"/>
    <s v="Plano"/>
    <x v="6"/>
    <s v="TSQ"/>
    <n v="51"/>
    <n v="43"/>
    <n v="2193"/>
    <s v="Gift card"/>
    <n v="61.404000000000003"/>
  </r>
  <r>
    <d v="2025-03-09T00:00:00"/>
    <s v="A-3008-10"/>
    <x v="1"/>
    <s v="McKinney"/>
    <x v="4"/>
    <s v="HTE"/>
    <n v="23"/>
    <n v="30"/>
    <n v="690"/>
    <s v="Gift card"/>
    <n v="20.010000000000002"/>
  </r>
  <r>
    <d v="2025-03-10T00:00:00"/>
    <s v="E-1832-11"/>
    <x v="3"/>
    <s v="Richardson"/>
    <x v="0"/>
    <s v="TSA"/>
    <n v="28"/>
    <n v="41"/>
    <n v="1148"/>
    <s v="Credit card"/>
    <n v="29.847999999999999"/>
  </r>
  <r>
    <d v="2025-03-10T00:00:00"/>
    <s v="D-1985-11"/>
    <x v="7"/>
    <s v="Plano"/>
    <x v="4"/>
    <s v="AKJ"/>
    <n v="18"/>
    <n v="38"/>
    <n v="684"/>
    <s v="Gift card"/>
    <n v="20.52"/>
  </r>
  <r>
    <d v="2025-03-10T00:00:00"/>
    <s v="B-7827-11"/>
    <x v="7"/>
    <s v="Plano"/>
    <x v="3"/>
    <s v="PFF"/>
    <n v="55"/>
    <n v="44"/>
    <n v="2420"/>
    <s v="Credit card"/>
    <n v="58.08"/>
  </r>
  <r>
    <d v="2025-03-10T00:00:00"/>
    <s v="E-6718-11"/>
    <x v="4"/>
    <s v="Richardson"/>
    <x v="0"/>
    <s v="KQR"/>
    <n v="27"/>
    <n v="42"/>
    <n v="1134"/>
    <s v="Credit card"/>
    <n v="23.814"/>
  </r>
  <r>
    <d v="2025-03-10T00:00:00"/>
    <s v="C-9578-11"/>
    <x v="7"/>
    <s v="Dallas"/>
    <x v="0"/>
    <s v="ARP"/>
    <n v="35"/>
    <n v="45"/>
    <n v="1575"/>
    <s v="Credit card"/>
    <n v="42.524999999999999"/>
  </r>
  <r>
    <d v="2025-03-10T00:00:00"/>
    <s v="B-2578-11"/>
    <x v="7"/>
    <s v="Coppell"/>
    <x v="3"/>
    <s v="TSA"/>
    <n v="30"/>
    <n v="47"/>
    <n v="1410"/>
    <s v="Cash"/>
    <n v="40.89"/>
  </r>
  <r>
    <d v="2025-03-11T00:00:00"/>
    <s v="B-9997-12"/>
    <x v="5"/>
    <s v="Dallas"/>
    <x v="6"/>
    <s v="TSQ"/>
    <n v="42"/>
    <n v="44"/>
    <n v="1848"/>
    <s v="Cash"/>
    <n v="42.503999999999998"/>
  </r>
  <r>
    <d v="2025-03-11T00:00:00"/>
    <s v="C-8084-12"/>
    <x v="0"/>
    <s v="Coppell"/>
    <x v="1"/>
    <s v="KQR"/>
    <n v="31"/>
    <n v="41"/>
    <n v="1271"/>
    <s v="Cash"/>
    <n v="30.504000000000001"/>
  </r>
  <r>
    <d v="2025-03-11T00:00:00"/>
    <s v="E-8033-12"/>
    <x v="5"/>
    <s v="Plano"/>
    <x v="4"/>
    <s v="ARP"/>
    <n v="15"/>
    <n v="35"/>
    <n v="525"/>
    <s v="Cash"/>
    <n v="13.65"/>
  </r>
  <r>
    <d v="2025-03-11T00:00:00"/>
    <s v="E-9750-12"/>
    <x v="6"/>
    <s v="McKinney"/>
    <x v="6"/>
    <s v="ARP"/>
    <n v="11"/>
    <n v="46"/>
    <n v="506"/>
    <s v="Check"/>
    <n v="12.144"/>
  </r>
  <r>
    <d v="2025-03-11T00:00:00"/>
    <s v="C-8912-12"/>
    <x v="0"/>
    <s v="Dallas"/>
    <x v="0"/>
    <s v="TSQ"/>
    <n v="25"/>
    <n v="21"/>
    <n v="525"/>
    <s v="Credit card"/>
    <n v="12.6"/>
  </r>
  <r>
    <d v="2025-03-11T00:00:00"/>
    <s v="A-7550-12"/>
    <x v="8"/>
    <s v="Allen"/>
    <x v="2"/>
    <s v="HNP"/>
    <n v="44"/>
    <n v="42"/>
    <n v="1848"/>
    <s v="Cash"/>
    <n v="48.048000000000002"/>
  </r>
  <r>
    <d v="2025-03-11T00:00:00"/>
    <s v="H-9725-12"/>
    <x v="8"/>
    <s v="Richardson"/>
    <x v="1"/>
    <s v="SAT"/>
    <n v="53"/>
    <n v="30"/>
    <n v="1590"/>
    <s v="Credit card"/>
    <n v="36.57"/>
  </r>
  <r>
    <d v="2025-03-11T00:00:00"/>
    <s v="A-2897-12"/>
    <x v="1"/>
    <s v="McKinney"/>
    <x v="4"/>
    <s v="PKH"/>
    <n v="53"/>
    <n v="36"/>
    <n v="1908"/>
    <s v="Gift card"/>
    <n v="40.067999999999998"/>
  </r>
  <r>
    <d v="2025-03-11T00:00:00"/>
    <s v="B-9820-12"/>
    <x v="0"/>
    <s v="Allen"/>
    <x v="0"/>
    <s v="SAT"/>
    <n v="41"/>
    <n v="30"/>
    <n v="1230"/>
    <s v="Cash"/>
    <n v="35.67"/>
  </r>
  <r>
    <d v="2025-03-11T00:00:00"/>
    <s v="A-8882-12"/>
    <x v="0"/>
    <s v="Coppell"/>
    <x v="0"/>
    <s v="APS"/>
    <n v="51"/>
    <n v="21"/>
    <n v="1071"/>
    <s v="Gift card"/>
    <n v="25.704000000000001"/>
  </r>
  <r>
    <d v="2025-03-11T00:00:00"/>
    <s v="G-3259-12"/>
    <x v="1"/>
    <s v="Plano"/>
    <x v="3"/>
    <s v="HTE"/>
    <n v="52"/>
    <n v="45"/>
    <n v="2340"/>
    <s v="Credit card"/>
    <n v="46.8"/>
  </r>
  <r>
    <d v="2025-03-11T00:00:00"/>
    <s v="G-6868-12"/>
    <x v="4"/>
    <s v="Plano"/>
    <x v="3"/>
    <s v="SAT"/>
    <n v="19"/>
    <n v="60"/>
    <n v="1140"/>
    <s v="Gift card"/>
    <n v="28.5"/>
  </r>
  <r>
    <d v="2025-03-11T00:00:00"/>
    <s v="B-2204-12"/>
    <x v="2"/>
    <s v="Richardson"/>
    <x v="1"/>
    <s v="SAT"/>
    <n v="14"/>
    <n v="32"/>
    <n v="448"/>
    <s v="Gift card"/>
    <n v="9.4079999999999995"/>
  </r>
  <r>
    <d v="2025-03-11T00:00:00"/>
    <s v="B-6171-12"/>
    <x v="1"/>
    <s v="Dallas"/>
    <x v="0"/>
    <s v="PFF"/>
    <n v="51"/>
    <n v="42"/>
    <n v="2142"/>
    <s v="Cash"/>
    <n v="55.692"/>
  </r>
  <r>
    <d v="2025-03-11T00:00:00"/>
    <s v="G-5977-12"/>
    <x v="4"/>
    <s v="McKinney"/>
    <x v="0"/>
    <s v="PKH"/>
    <n v="50"/>
    <n v="37"/>
    <n v="1850"/>
    <s v="Cash"/>
    <n v="48.1"/>
  </r>
  <r>
    <d v="2025-03-11T00:00:00"/>
    <s v="G-7237-12"/>
    <x v="8"/>
    <s v="Plano"/>
    <x v="4"/>
    <s v="SMH"/>
    <n v="34"/>
    <n v="54"/>
    <n v="1836"/>
    <s v="Credit card"/>
    <n v="36.72"/>
  </r>
  <r>
    <d v="2025-03-11T00:00:00"/>
    <s v="F-3702-12"/>
    <x v="6"/>
    <s v="Dallas"/>
    <x v="3"/>
    <s v="SAT"/>
    <n v="40"/>
    <n v="47"/>
    <n v="1880"/>
    <s v="Credit card"/>
    <n v="47"/>
  </r>
  <r>
    <d v="2025-03-11T00:00:00"/>
    <s v="C-7678-12"/>
    <x v="6"/>
    <s v="Plano"/>
    <x v="6"/>
    <s v="ATP"/>
    <n v="47"/>
    <n v="39"/>
    <n v="1833"/>
    <s v="Credit card"/>
    <n v="38.493000000000002"/>
  </r>
  <r>
    <d v="2025-03-11T00:00:00"/>
    <s v="F-4204-12"/>
    <x v="1"/>
    <s v="Plano"/>
    <x v="4"/>
    <s v="HNP"/>
    <n v="28"/>
    <n v="28"/>
    <n v="784"/>
    <s v="Credit card"/>
    <n v="16.463999999999999"/>
  </r>
  <r>
    <d v="2025-03-11T00:00:00"/>
    <s v="D-4658-12"/>
    <x v="2"/>
    <s v="Dallas"/>
    <x v="2"/>
    <s v="HNP"/>
    <n v="25"/>
    <n v="50"/>
    <n v="1250"/>
    <s v="Cash"/>
    <n v="26.25"/>
  </r>
  <r>
    <d v="2025-03-11T00:00:00"/>
    <s v="E-5459-12"/>
    <x v="7"/>
    <s v="Plano"/>
    <x v="1"/>
    <s v="KQR"/>
    <n v="40"/>
    <n v="48"/>
    <n v="1920"/>
    <s v="Cash"/>
    <n v="38.4"/>
  </r>
  <r>
    <d v="2025-03-11T00:00:00"/>
    <s v="D-4452-12"/>
    <x v="8"/>
    <s v="Allen"/>
    <x v="4"/>
    <s v="TAP"/>
    <n v="41"/>
    <n v="57"/>
    <n v="2337"/>
    <s v="Credit card"/>
    <n v="58.424999999999997"/>
  </r>
  <r>
    <d v="2025-03-11T00:00:00"/>
    <s v="F-8906-12"/>
    <x v="0"/>
    <s v="Dallas"/>
    <x v="3"/>
    <s v="TSA"/>
    <n v="41"/>
    <n v="53"/>
    <n v="2173"/>
    <s v="Check"/>
    <n v="58.670999999999999"/>
  </r>
  <r>
    <d v="2025-03-12T00:00:00"/>
    <s v="F-7832-13"/>
    <x v="7"/>
    <s v="Dallas"/>
    <x v="4"/>
    <s v="ATP"/>
    <n v="41"/>
    <n v="24"/>
    <n v="984"/>
    <s v="Gift card"/>
    <n v="22.632000000000001"/>
  </r>
  <r>
    <d v="2025-03-13T00:00:00"/>
    <s v="D-3657-14"/>
    <x v="0"/>
    <s v="Plano"/>
    <x v="1"/>
    <s v="PFF"/>
    <n v="16"/>
    <n v="22"/>
    <n v="352"/>
    <s v="Credit card"/>
    <n v="9.5039999999999996"/>
  </r>
  <r>
    <d v="2025-03-13T00:00:00"/>
    <s v="F-7772-14"/>
    <x v="8"/>
    <s v="Dallas"/>
    <x v="1"/>
    <s v="KQR"/>
    <n v="35"/>
    <n v="22"/>
    <n v="770"/>
    <s v="Credit card"/>
    <n v="21.56"/>
  </r>
  <r>
    <d v="2025-03-13T00:00:00"/>
    <s v="H-2557-14"/>
    <x v="7"/>
    <s v="Coppell"/>
    <x v="3"/>
    <s v="TSQ"/>
    <n v="28"/>
    <n v="46"/>
    <n v="1288"/>
    <s v="Credit card"/>
    <n v="37.351999999999997"/>
  </r>
  <r>
    <d v="2025-03-13T00:00:00"/>
    <s v="G-7704-14"/>
    <x v="6"/>
    <s v="Frisco"/>
    <x v="2"/>
    <s v="SAT"/>
    <n v="25"/>
    <n v="31"/>
    <n v="775"/>
    <s v="Credit card"/>
    <n v="18.600000000000001"/>
  </r>
  <r>
    <d v="2025-03-13T00:00:00"/>
    <s v="D-6952-14"/>
    <x v="7"/>
    <s v="Plano"/>
    <x v="1"/>
    <s v="SAT"/>
    <n v="25"/>
    <n v="29"/>
    <n v="725"/>
    <s v="Credit card"/>
    <n v="20.3"/>
  </r>
  <r>
    <d v="2025-03-13T00:00:00"/>
    <s v="D-3851-14"/>
    <x v="7"/>
    <s v="Plano"/>
    <x v="0"/>
    <s v="ATP"/>
    <n v="38"/>
    <n v="58"/>
    <n v="2204"/>
    <s v="Credit card"/>
    <n v="44.08"/>
  </r>
  <r>
    <d v="2025-03-13T00:00:00"/>
    <s v="G-6459-14"/>
    <x v="1"/>
    <s v="Frisco"/>
    <x v="1"/>
    <s v="KQR"/>
    <n v="47"/>
    <n v="25"/>
    <n v="1175"/>
    <s v="Cash"/>
    <n v="23.5"/>
  </r>
  <r>
    <d v="2025-03-13T00:00:00"/>
    <s v="D-5181-14"/>
    <x v="5"/>
    <s v="Allen"/>
    <x v="6"/>
    <s v="JKA"/>
    <n v="19"/>
    <n v="37"/>
    <n v="703"/>
    <s v="Gift card"/>
    <n v="21.09"/>
  </r>
  <r>
    <d v="2025-03-13T00:00:00"/>
    <s v="E-5770-14"/>
    <x v="3"/>
    <s v="Allen"/>
    <x v="0"/>
    <s v="PKH"/>
    <n v="27"/>
    <n v="34"/>
    <n v="918"/>
    <s v="Check"/>
    <n v="18.36"/>
  </r>
  <r>
    <d v="2025-03-13T00:00:00"/>
    <s v="B-7556-14"/>
    <x v="6"/>
    <s v="McKinney"/>
    <x v="2"/>
    <s v="KQR"/>
    <n v="35"/>
    <n v="59"/>
    <n v="2065"/>
    <s v="Cash"/>
    <n v="43.365000000000002"/>
  </r>
  <r>
    <d v="2025-03-13T00:00:00"/>
    <s v="D-1111-14"/>
    <x v="8"/>
    <s v="Richardson"/>
    <x v="2"/>
    <s v="SMH"/>
    <n v="34"/>
    <n v="25"/>
    <n v="850"/>
    <s v="Check"/>
    <n v="19.55"/>
  </r>
  <r>
    <d v="2025-03-13T00:00:00"/>
    <s v="E-6075-14"/>
    <x v="1"/>
    <s v="Dallas"/>
    <x v="6"/>
    <s v="KQR"/>
    <n v="35"/>
    <n v="43"/>
    <n v="1505"/>
    <s v="Credit card"/>
    <n v="43.645000000000003"/>
  </r>
  <r>
    <d v="2025-03-13T00:00:00"/>
    <s v="A-3791-14"/>
    <x v="7"/>
    <s v="Frisco"/>
    <x v="4"/>
    <s v="APS"/>
    <n v="55"/>
    <n v="39"/>
    <n v="2145"/>
    <s v="Credit card"/>
    <n v="57.914999999999999"/>
  </r>
  <r>
    <d v="2025-03-13T00:00:00"/>
    <s v="C-5844-14"/>
    <x v="3"/>
    <s v="Dallas"/>
    <x v="2"/>
    <s v="JKA"/>
    <n v="49"/>
    <n v="48"/>
    <n v="2352"/>
    <s v="Credit card"/>
    <n v="58.8"/>
  </r>
  <r>
    <d v="2025-03-13T00:00:00"/>
    <s v="E-9314-14"/>
    <x v="3"/>
    <s v="Plano"/>
    <x v="2"/>
    <s v="HTE"/>
    <n v="26"/>
    <n v="37"/>
    <n v="962"/>
    <s v="Credit card"/>
    <n v="25.974"/>
  </r>
  <r>
    <d v="2025-03-13T00:00:00"/>
    <s v="F-3227-14"/>
    <x v="6"/>
    <s v="Plano"/>
    <x v="2"/>
    <s v="HNP"/>
    <n v="32"/>
    <n v="46"/>
    <n v="1472"/>
    <s v="Check"/>
    <n v="33.856000000000002"/>
  </r>
  <r>
    <d v="2025-03-13T00:00:00"/>
    <s v="F-4802-14"/>
    <x v="7"/>
    <s v="Plano"/>
    <x v="2"/>
    <s v="HNP"/>
    <n v="40"/>
    <n v="48"/>
    <n v="1920"/>
    <s v="Check"/>
    <n v="40.32"/>
  </r>
  <r>
    <d v="2025-03-13T00:00:00"/>
    <s v="G-4120-14"/>
    <x v="6"/>
    <s v="Plano"/>
    <x v="3"/>
    <s v="ARP"/>
    <n v="55"/>
    <n v="45"/>
    <n v="2475"/>
    <s v="Gift card"/>
    <n v="61.875"/>
  </r>
  <r>
    <d v="2025-03-13T00:00:00"/>
    <s v="F-3050-14"/>
    <x v="4"/>
    <s v="Dallas"/>
    <x v="6"/>
    <s v="SAT"/>
    <n v="16"/>
    <n v="35"/>
    <n v="560"/>
    <s v="Credit card"/>
    <n v="13.44"/>
  </r>
  <r>
    <d v="2025-03-13T00:00:00"/>
    <s v="D-7916-14"/>
    <x v="0"/>
    <s v="Coppell"/>
    <x v="2"/>
    <s v="HNP"/>
    <n v="55"/>
    <n v="48"/>
    <n v="2640"/>
    <s v="Credit card"/>
    <n v="60.72"/>
  </r>
  <r>
    <d v="2025-03-13T00:00:00"/>
    <s v="G-5535-14"/>
    <x v="7"/>
    <s v="Allen"/>
    <x v="6"/>
    <s v="ARP"/>
    <n v="31"/>
    <n v="26"/>
    <n v="806"/>
    <s v="Check"/>
    <n v="17.731999999999999"/>
  </r>
  <r>
    <d v="2025-03-13T00:00:00"/>
    <s v="C-6367-14"/>
    <x v="4"/>
    <s v="Richardson"/>
    <x v="4"/>
    <s v="SAT"/>
    <n v="15"/>
    <n v="58"/>
    <n v="870"/>
    <s v="Cash"/>
    <n v="26.1"/>
  </r>
  <r>
    <d v="2025-03-13T00:00:00"/>
    <s v="A-1691-14"/>
    <x v="3"/>
    <s v="Frisco"/>
    <x v="3"/>
    <s v="TSA"/>
    <n v="15"/>
    <n v="34"/>
    <n v="510"/>
    <s v="Cash"/>
    <n v="14.28"/>
  </r>
  <r>
    <d v="2025-03-13T00:00:00"/>
    <s v="F-4884-14"/>
    <x v="5"/>
    <s v="Coppell"/>
    <x v="0"/>
    <s v="APS"/>
    <n v="21"/>
    <n v="37"/>
    <n v="777"/>
    <s v="Credit card"/>
    <n v="19.425000000000001"/>
  </r>
  <r>
    <d v="2025-03-13T00:00:00"/>
    <s v="A-3045-14"/>
    <x v="7"/>
    <s v="Dallas"/>
    <x v="1"/>
    <s v="JKA"/>
    <n v="30"/>
    <n v="25"/>
    <n v="750"/>
    <s v="Credit card"/>
    <n v="21"/>
  </r>
  <r>
    <d v="2025-03-13T00:00:00"/>
    <s v="F-9510-14"/>
    <x v="3"/>
    <s v="McKinney"/>
    <x v="4"/>
    <s v="APS"/>
    <n v="49"/>
    <n v="50"/>
    <n v="2450"/>
    <s v="Cash"/>
    <n v="53.9"/>
  </r>
  <r>
    <d v="2025-03-13T00:00:00"/>
    <s v="F-7232-14"/>
    <x v="2"/>
    <s v="Plano"/>
    <x v="2"/>
    <s v="SMH"/>
    <n v="14"/>
    <n v="59"/>
    <n v="826"/>
    <s v="Credit card"/>
    <n v="21.475999999999999"/>
  </r>
  <r>
    <d v="2025-03-13T00:00:00"/>
    <s v="C-2713-14"/>
    <x v="5"/>
    <s v="McKinney"/>
    <x v="1"/>
    <s v="HTE"/>
    <n v="52"/>
    <n v="50"/>
    <n v="2600"/>
    <s v="Cash"/>
    <n v="59.8"/>
  </r>
  <r>
    <d v="2025-03-13T00:00:00"/>
    <s v="B-6768-14"/>
    <x v="0"/>
    <s v="Dallas"/>
    <x v="0"/>
    <s v="TSA"/>
    <n v="14"/>
    <n v="29"/>
    <n v="406"/>
    <s v="Cash"/>
    <n v="10.555999999999999"/>
  </r>
  <r>
    <d v="2025-03-13T00:00:00"/>
    <s v="B-6687-14"/>
    <x v="4"/>
    <s v="Allen"/>
    <x v="1"/>
    <s v="ARP"/>
    <n v="40"/>
    <n v="49"/>
    <n v="1960"/>
    <s v="Credit card"/>
    <n v="56.84"/>
  </r>
  <r>
    <d v="2025-03-13T00:00:00"/>
    <s v="D-6805-14"/>
    <x v="6"/>
    <s v="Allen"/>
    <x v="2"/>
    <s v="AKJ"/>
    <n v="44"/>
    <n v="57"/>
    <n v="2508"/>
    <s v="Check"/>
    <n v="75.239999999999995"/>
  </r>
  <r>
    <d v="2025-03-13T00:00:00"/>
    <s v="F-3446-14"/>
    <x v="4"/>
    <s v="Plano"/>
    <x v="2"/>
    <s v="APS"/>
    <n v="45"/>
    <n v="28"/>
    <n v="1260"/>
    <s v="Cash"/>
    <n v="31.5"/>
  </r>
  <r>
    <d v="2025-03-13T00:00:00"/>
    <s v="H-2413-14"/>
    <x v="0"/>
    <s v="Plano"/>
    <x v="6"/>
    <s v="PFF"/>
    <n v="56"/>
    <n v="28"/>
    <n v="1568"/>
    <s v="Credit card"/>
    <n v="47.04"/>
  </r>
  <r>
    <d v="2025-03-13T00:00:00"/>
    <s v="E-9491-14"/>
    <x v="6"/>
    <s v="Allen"/>
    <x v="0"/>
    <s v="MSP"/>
    <n v="60"/>
    <n v="48"/>
    <n v="2880"/>
    <s v="Cash"/>
    <n v="8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D7BFE8-1D53-4A56-9486-BDD1CFEC39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2:R14" firstHeaderRow="1" firstDataRow="3" firstDataCol="1"/>
  <pivotFields count="11">
    <pivotField numFmtId="14" showAll="0"/>
    <pivotField showAll="0"/>
    <pivotField axis="axisRow" showAll="0">
      <items count="10">
        <item x="6"/>
        <item x="1"/>
        <item x="8"/>
        <item x="7"/>
        <item x="0"/>
        <item x="2"/>
        <item x="3"/>
        <item x="5"/>
        <item x="4"/>
        <item t="default"/>
      </items>
    </pivotField>
    <pivotField showAll="0"/>
    <pivotField axis="axisCol" showAll="0">
      <items count="8">
        <item h="1" x="5"/>
        <item h="1" x="4"/>
        <item h="1" x="3"/>
        <item x="0"/>
        <item h="1" x="6"/>
        <item h="1" x="2"/>
        <item h="1" x="1"/>
        <item t="default"/>
      </items>
    </pivotField>
    <pivotField showAll="0"/>
    <pivotField dataField="1" showAll="0"/>
    <pivotField numFmtId="165" showAll="0"/>
    <pivotField dataField="1" numFmtId="165" showAll="0"/>
    <pivotField showAll="0"/>
    <pivotField numFmtId="165" showAll="0"/>
  </pivotFields>
  <rowFields count="1">
    <field x="2"/>
  </rowFields>
  <rowItems count="10">
    <i>
      <x/>
    </i>
    <i>
      <x v="1"/>
    </i>
    <i>
      <x v="2"/>
    </i>
    <i>
      <x v="3"/>
    </i>
    <i>
      <x v="4"/>
    </i>
    <i>
      <x v="5"/>
    </i>
    <i>
      <x v="6"/>
    </i>
    <i>
      <x v="7"/>
    </i>
    <i>
      <x v="8"/>
    </i>
    <i t="grand">
      <x/>
    </i>
  </rowItems>
  <colFields count="2">
    <field x="4"/>
    <field x="-2"/>
  </colFields>
  <colItems count="4">
    <i>
      <x v="3"/>
      <x/>
    </i>
    <i r="1" i="1">
      <x v="1"/>
    </i>
    <i t="grand">
      <x/>
    </i>
    <i t="grand" i="1">
      <x/>
    </i>
  </colItems>
  <dataFields count="2">
    <dataField name="Sum of Units" fld="6" baseField="0" baseItem="0"/>
    <dataField name="Sum of Total Sales" fld="8" baseField="0" baseItem="0" numFmtId="165"/>
  </dataFields>
  <chartFormats count="17">
    <chartFormat chart="0" format="7" series="1">
      <pivotArea type="data" outline="0" fieldPosition="0">
        <references count="1">
          <reference field="4" count="1" selected="0">
            <x v="1"/>
          </reference>
        </references>
      </pivotArea>
    </chartFormat>
    <chartFormat chart="0" format="8" series="1">
      <pivotArea type="data" outline="0" fieldPosition="0">
        <references count="1">
          <reference field="4" count="1" selected="0">
            <x v="2"/>
          </reference>
        </references>
      </pivotArea>
    </chartFormat>
    <chartFormat chart="0" format="9" series="1">
      <pivotArea type="data" outline="0" fieldPosition="0">
        <references count="1">
          <reference field="4" count="1" selected="0">
            <x v="3"/>
          </reference>
        </references>
      </pivotArea>
    </chartFormat>
    <chartFormat chart="0" format="10" series="1">
      <pivotArea type="data" outline="0" fieldPosition="0">
        <references count="1">
          <reference field="4" count="1" selected="0">
            <x v="4"/>
          </reference>
        </references>
      </pivotArea>
    </chartFormat>
    <chartFormat chart="0" format="11" series="1">
      <pivotArea type="data" outline="0" fieldPosition="0">
        <references count="1">
          <reference field="4" count="1" selected="0">
            <x v="5"/>
          </reference>
        </references>
      </pivotArea>
    </chartFormat>
    <chartFormat chart="0" format="12" series="1">
      <pivotArea type="data" outline="0" fieldPosition="0">
        <references count="1">
          <reference field="4" count="1" selected="0">
            <x v="6"/>
          </reference>
        </references>
      </pivotArea>
    </chartFormat>
    <chartFormat chart="0" format="13" series="1">
      <pivotArea type="data" outline="0" fieldPosition="0">
        <references count="1">
          <reference field="4" count="1" selected="0">
            <x v="0"/>
          </reference>
        </references>
      </pivotArea>
    </chartFormat>
    <chartFormat chart="0" format="15" series="1">
      <pivotArea type="data" outline="0" fieldPosition="0">
        <references count="2">
          <reference field="4294967294" count="1" selected="0">
            <x v="0"/>
          </reference>
          <reference field="4" count="1" selected="0">
            <x v="4"/>
          </reference>
        </references>
      </pivotArea>
    </chartFormat>
    <chartFormat chart="0" format="17" series="1">
      <pivotArea type="data" outline="0" fieldPosition="0">
        <references count="2">
          <reference field="4294967294" count="1" selected="0">
            <x v="0"/>
          </reference>
          <reference field="4" count="1" selected="0">
            <x v="5"/>
          </reference>
        </references>
      </pivotArea>
    </chartFormat>
    <chartFormat chart="0" format="19" series="1">
      <pivotArea type="data" outline="0" fieldPosition="0">
        <references count="2">
          <reference field="4294967294" count="1" selected="0">
            <x v="0"/>
          </reference>
          <reference field="4" count="1" selected="0">
            <x v="6"/>
          </reference>
        </references>
      </pivotArea>
    </chartFormat>
    <chartFormat chart="0" format="21" series="1">
      <pivotArea type="data" outline="0" fieldPosition="0">
        <references count="2">
          <reference field="4294967294" count="1" selected="0">
            <x v="1"/>
          </reference>
          <reference field="4" count="1" selected="0">
            <x v="4"/>
          </reference>
        </references>
      </pivotArea>
    </chartFormat>
    <chartFormat chart="0" format="22" series="1">
      <pivotArea type="data" outline="0" fieldPosition="0">
        <references count="2">
          <reference field="4294967294" count="1" selected="0">
            <x v="1"/>
          </reference>
          <reference field="4" count="1" selected="0">
            <x v="5"/>
          </reference>
        </references>
      </pivotArea>
    </chartFormat>
    <chartFormat chart="0" format="23" series="1">
      <pivotArea type="data" outline="0" fieldPosition="0">
        <references count="2">
          <reference field="4294967294" count="1" selected="0">
            <x v="1"/>
          </reference>
          <reference field="4" count="1" selected="0">
            <x v="6"/>
          </reference>
        </references>
      </pivotArea>
    </chartFormat>
    <chartFormat chart="0" format="24" series="1">
      <pivotArea type="data" outline="0" fieldPosition="0">
        <references count="2">
          <reference field="4294967294" count="1" selected="0">
            <x v="0"/>
          </reference>
          <reference field="4" count="1" selected="0">
            <x v="3"/>
          </reference>
        </references>
      </pivotArea>
    </chartFormat>
    <chartFormat chart="0" format="25" series="1">
      <pivotArea type="data" outline="0" fieldPosition="0">
        <references count="2">
          <reference field="4294967294" count="1" selected="0">
            <x v="1"/>
          </reference>
          <reference field="4" count="1" selected="0">
            <x v="3"/>
          </reference>
        </references>
      </pivotArea>
    </chartFormat>
    <chartFormat chart="2" format="26" series="1">
      <pivotArea type="data" outline="0" fieldPosition="0">
        <references count="2">
          <reference field="4294967294" count="1" selected="0">
            <x v="0"/>
          </reference>
          <reference field="4" count="1" selected="0">
            <x v="3"/>
          </reference>
        </references>
      </pivotArea>
    </chartFormat>
    <chartFormat chart="2" format="27" series="1">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1048E8A8-F050-404D-9378-159B51A292BC}" sourceName="Product">
  <pivotTables>
    <pivotTable tabId="10" name="PivotTable1"/>
  </pivotTables>
  <data>
    <tabular pivotCacheId="12816401">
      <items count="9">
        <i x="6" s="1"/>
        <i x="1" s="1"/>
        <i x="8" s="1"/>
        <i x="7" s="1"/>
        <i x="0" s="1"/>
        <i x="2" s="1"/>
        <i x="3"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1" xr10:uid="{06CCEAA8-7E34-40B5-B7BE-297D5A62722D}" sourceName="Employee">
  <pivotTables>
    <pivotTable tabId="10" name="PivotTable1"/>
  </pivotTables>
  <data>
    <tabular pivotCacheId="12816401">
      <items count="7">
        <i x="5"/>
        <i x="4"/>
        <i x="3"/>
        <i x="0" s="1"/>
        <i x="6"/>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8F1FC0A-DC24-47ED-B20E-E932F5E6AF6D}" sourceName="Product">
  <extLst>
    <x:ext xmlns:x15="http://schemas.microsoft.com/office/spreadsheetml/2010/11/main" uri="{2F2917AC-EB37-4324-AD4E-5DD8C200BD13}">
      <x15:tableSlicerCache tableId="1"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23D80D-4B71-4BC5-8942-EF73D5E31DEB}" sourceName="Region">
  <extLst>
    <x:ext xmlns:x15="http://schemas.microsoft.com/office/spreadsheetml/2010/11/main" uri="{2F2917AC-EB37-4324-AD4E-5DD8C200BD13}">
      <x15:tableSlicerCache tableId="1"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99BE64A7-F0CB-44E7-B629-78EC9039F1D7}" sourceName="Employee">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A2B2547-6B39-43A1-8BFD-30B174A6BF9E}" cache="Slicer_Product" caption="Product" rowHeight="262466"/>
  <slicer name="Region" xr10:uid="{91576BC0-4FE8-4323-93E5-49F8075F99FF}" cache="Slicer_Region" caption="Region" rowHeight="262466"/>
  <slicer name="Employee" xr10:uid="{A7E6F422-B1CF-4323-B28F-4F4245CA0AA0}" cache="Slicer_Employee" caption="Employe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BBC54748-9A65-4B25-ABA8-AF0171635FAA}" cache="Slicer_Product1" caption="Product" rowHeight="262466"/>
  <slicer name="Employee 1" xr10:uid="{C90FF68D-3ABE-459D-A459-459511E5A271}" cache="Slicer_Employee1" caption="Employe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8F9FDF-ADBD-4608-BF67-4D8337CE43C9}" name="Table1" displayName="Table1" ref="A1:H52" totalsRowCount="1" headerRowDxfId="34" dataDxfId="33" tableBorderDxfId="32">
  <autoFilter ref="A1:H51" xr:uid="{51C6C7E8-67AE-4819-A407-F88A4020EBAB}"/>
  <tableColumns count="8">
    <tableColumn id="1" xr3:uid="{BD8CDB67-9A75-49F6-BD47-E51A8D78ED77}" name="Product" totalsRowLabel="Total" dataDxfId="30" totalsRowDxfId="31"/>
    <tableColumn id="2" xr3:uid="{19D82581-D53C-42EB-9039-EB1C172A2DBC}" name="Region" dataDxfId="28" totalsRowDxfId="29"/>
    <tableColumn id="3" xr3:uid="{6D3AADAB-05DD-4574-AD2C-20FFAAC74F2F}" name="Employee" dataDxfId="26" totalsRowDxfId="27"/>
    <tableColumn id="4" xr3:uid="{8950653F-A6D1-49A0-83DA-304688692526}" name="Customer" dataDxfId="24" totalsRowDxfId="25"/>
    <tableColumn id="5" xr3:uid="{B522498C-E22B-4F80-9BDC-0CE86D913F88}" name="Units" dataDxfId="22" totalsRowDxfId="23"/>
    <tableColumn id="6" xr3:uid="{F5178CD6-51FA-41D9-B1D7-89F5667713C6}" name="Price" totalsRowFunction="average" dataDxfId="20" totalsRowDxfId="21"/>
    <tableColumn id="7" xr3:uid="{6984C565-9A14-45BA-BA42-C9017D2F4DDA}" name="Amount" totalsRowFunction="sum" dataDxfId="18" totalsRowDxfId="19">
      <calculatedColumnFormula>Table1[[#This Row],[Price]]*Table1[[#This Row],[Units]]</calculatedColumnFormula>
    </tableColumn>
    <tableColumn id="8" xr3:uid="{A4F2ACFE-30A7-4807-86A9-DAA4EF49D627}" name="Comission" dataDxfId="16" totalsRowDxfId="17">
      <calculatedColumnFormula>0.05*Table1[[#This Row],[Amount]]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E70C05-5A67-4402-9FFA-1BF243B35C41}" name="Table13" displayName="Table13" ref="B1:L1227" totalsRowShown="0" headerRowDxfId="15" headerRowBorderDxfId="13" tableBorderDxfId="14">
  <autoFilter ref="B1:L1227" xr:uid="{4B867769-05DC-411D-A6AD-4B790803627B}"/>
  <tableColumns count="11">
    <tableColumn id="1" xr3:uid="{1A885CB4-725B-4CB3-9D37-7C5F9F13A630}" name="Invoice" dataDxfId="12"/>
    <tableColumn id="2" xr3:uid="{092227FB-C224-4F40-A1A2-B100559023C2}" name="Product" dataDxfId="11"/>
    <tableColumn id="3" xr3:uid="{B1C1A8EC-8178-492F-B1D5-1187A062A9CF}" name="City" dataDxfId="10"/>
    <tableColumn id="4" xr3:uid="{556B51CB-37BD-4EF0-A640-800D293FBF11}" name="Employee" dataDxfId="9"/>
    <tableColumn id="5" xr3:uid="{9BE02AAB-3402-4D54-84A0-08F8FBDF010D}" name="Customer" dataDxfId="8"/>
    <tableColumn id="6" xr3:uid="{12DB1707-E367-4EDA-9C84-69DBB6F2374B}" name="Units" dataDxfId="7"/>
    <tableColumn id="7" xr3:uid="{2CB6A78C-5F6F-46A5-9629-7779EC70D454}" name="Price" dataDxfId="6"/>
    <tableColumn id="8" xr3:uid="{91EA20EB-5386-498D-B8B6-B40FA0164F80}" name="Total Sales" dataDxfId="5">
      <calculatedColumnFormula>G2*H2</calculatedColumnFormula>
    </tableColumn>
    <tableColumn id="9" xr3:uid="{8885D6C5-8FE7-4A7C-AD6D-3BAC889A8CF2}" name="Method" dataDxfId="4"/>
    <tableColumn id="10" xr3:uid="{868099D2-4EC6-41EF-8F0B-57FA77B8B0DC}" name="Commission" dataDxfId="3"/>
    <tableColumn id="11" xr3:uid="{C5E4D1B8-2F14-4B67-BC92-A066914997EC}" name="Column1" dataDxfId="2">
      <calculatedColumnFormula>Table13[[#This Row],[Price]]*Table13[[#This Row],[Units]]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4.xml"/><Relationship Id="rId4" Type="http://schemas.openxmlformats.org/officeDocument/2006/relationships/ctrlProp" Target="../ctrlProps/ctrlProp2.xml"/></Relationships>
</file>

<file path=xl/worksheets/_rels/sheet13.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7C1FE-3B94-4F0E-8171-0C22F4811AE3}">
  <sheetPr codeName="Sheet1"/>
  <dimension ref="A2:O97"/>
  <sheetViews>
    <sheetView tabSelected="1" topLeftCell="A6" workbookViewId="0">
      <selection activeCell="K15" sqref="K15"/>
    </sheetView>
  </sheetViews>
  <sheetFormatPr defaultColWidth="9" defaultRowHeight="15.5" x14ac:dyDescent="0.35"/>
  <cols>
    <col min="1" max="2" width="12.1640625" style="2" customWidth="1"/>
    <col min="3" max="3" width="7.6640625" style="2" customWidth="1"/>
    <col min="4" max="7" width="7.5" style="2" customWidth="1"/>
    <col min="8" max="8" width="9" style="16"/>
    <col min="9" max="9" width="6.08203125" style="17" customWidth="1"/>
    <col min="10" max="10" width="9" style="2"/>
    <col min="11" max="11" width="54" style="2" bestFit="1" customWidth="1"/>
    <col min="12" max="12" width="12.5" style="2" customWidth="1"/>
    <col min="13" max="13" width="9" style="2"/>
    <col min="14" max="14" width="20" style="2" bestFit="1" customWidth="1"/>
    <col min="15" max="15" width="6" style="2" customWidth="1"/>
    <col min="16" max="16384" width="9" style="2"/>
  </cols>
  <sheetData>
    <row r="2" spans="1:15" x14ac:dyDescent="0.35">
      <c r="A2" s="1" t="s">
        <v>0</v>
      </c>
      <c r="B2" s="1" t="s">
        <v>1</v>
      </c>
      <c r="C2" s="1" t="s">
        <v>2</v>
      </c>
      <c r="D2" s="1" t="s">
        <v>3</v>
      </c>
      <c r="E2" s="1" t="s">
        <v>4</v>
      </c>
      <c r="F2" s="1" t="s">
        <v>5</v>
      </c>
      <c r="G2" s="1" t="s">
        <v>6</v>
      </c>
      <c r="H2" s="1" t="s">
        <v>7</v>
      </c>
      <c r="I2" s="1" t="s">
        <v>8</v>
      </c>
      <c r="K2" s="2" t="s">
        <v>9</v>
      </c>
    </row>
    <row r="3" spans="1:15" x14ac:dyDescent="0.35">
      <c r="A3" s="3" t="s">
        <v>10</v>
      </c>
      <c r="B3" s="3" t="s">
        <v>11</v>
      </c>
      <c r="C3" s="4" t="s">
        <v>12</v>
      </c>
      <c r="D3" s="5">
        <v>97</v>
      </c>
      <c r="E3" s="5">
        <v>90</v>
      </c>
      <c r="F3" s="5">
        <v>68</v>
      </c>
      <c r="G3" s="5">
        <v>93</v>
      </c>
      <c r="H3" s="6">
        <f>AVERAGE(D3:G3)</f>
        <v>87</v>
      </c>
      <c r="I3" s="7" t="str">
        <f>INDEX($O$11:$O$15,MATCH(H3,$N$11:$N$15,1))</f>
        <v>B</v>
      </c>
    </row>
    <row r="4" spans="1:15" x14ac:dyDescent="0.35">
      <c r="A4" s="3" t="s">
        <v>13</v>
      </c>
      <c r="B4" s="3" t="s">
        <v>14</v>
      </c>
      <c r="C4" s="4" t="s">
        <v>15</v>
      </c>
      <c r="D4" s="5">
        <v>88</v>
      </c>
      <c r="E4" s="5">
        <v>96</v>
      </c>
      <c r="F4" s="5">
        <v>70</v>
      </c>
      <c r="G4" s="5">
        <v>79</v>
      </c>
      <c r="H4" s="6">
        <f t="shared" ref="H4:H67" si="0">AVERAGE(D4:G4)</f>
        <v>83.25</v>
      </c>
      <c r="I4" s="7" t="str">
        <f t="shared" ref="I4:I67" si="1">INDEX($O$11:$O$15,MATCH(H4,$N$11:$N$15,1))</f>
        <v>B</v>
      </c>
      <c r="K4" s="2" t="s">
        <v>16</v>
      </c>
    </row>
    <row r="5" spans="1:15" x14ac:dyDescent="0.35">
      <c r="A5" s="4" t="s">
        <v>17</v>
      </c>
      <c r="B5" s="3" t="s">
        <v>18</v>
      </c>
      <c r="C5" s="4" t="s">
        <v>19</v>
      </c>
      <c r="D5" s="5">
        <v>92</v>
      </c>
      <c r="E5" s="5">
        <v>87</v>
      </c>
      <c r="F5" s="5">
        <v>53</v>
      </c>
      <c r="G5" s="5">
        <v>90</v>
      </c>
      <c r="H5" s="6">
        <f t="shared" si="0"/>
        <v>80.5</v>
      </c>
      <c r="I5" s="7" t="str">
        <f t="shared" si="1"/>
        <v>B</v>
      </c>
      <c r="K5" s="2" t="s">
        <v>20</v>
      </c>
    </row>
    <row r="6" spans="1:15" x14ac:dyDescent="0.35">
      <c r="A6" s="4" t="s">
        <v>21</v>
      </c>
      <c r="B6" s="3" t="s">
        <v>22</v>
      </c>
      <c r="C6" s="4" t="s">
        <v>23</v>
      </c>
      <c r="D6" s="5">
        <v>92</v>
      </c>
      <c r="E6" s="5">
        <v>90</v>
      </c>
      <c r="F6" s="5">
        <v>45</v>
      </c>
      <c r="G6" s="5">
        <v>91</v>
      </c>
      <c r="H6" s="6">
        <f t="shared" si="0"/>
        <v>79.5</v>
      </c>
      <c r="I6" s="7" t="str">
        <f t="shared" si="1"/>
        <v>C</v>
      </c>
      <c r="K6" s="2" t="s">
        <v>24</v>
      </c>
    </row>
    <row r="7" spans="1:15" x14ac:dyDescent="0.35">
      <c r="A7" s="4" t="s">
        <v>25</v>
      </c>
      <c r="B7" s="3" t="s">
        <v>26</v>
      </c>
      <c r="C7" s="4" t="s">
        <v>27</v>
      </c>
      <c r="D7" s="5">
        <v>92</v>
      </c>
      <c r="E7" s="5">
        <v>88</v>
      </c>
      <c r="F7" s="5">
        <v>46</v>
      </c>
      <c r="G7" s="5">
        <v>90</v>
      </c>
      <c r="H7" s="6">
        <f t="shared" si="0"/>
        <v>79</v>
      </c>
      <c r="I7" s="7" t="str">
        <f t="shared" si="1"/>
        <v>C</v>
      </c>
    </row>
    <row r="8" spans="1:15" x14ac:dyDescent="0.35">
      <c r="A8" s="4" t="s">
        <v>28</v>
      </c>
      <c r="B8" s="3" t="s">
        <v>29</v>
      </c>
      <c r="C8" s="4" t="s">
        <v>30</v>
      </c>
      <c r="D8" s="5">
        <v>91</v>
      </c>
      <c r="E8" s="5">
        <v>93</v>
      </c>
      <c r="F8" s="5">
        <v>54</v>
      </c>
      <c r="G8" s="5">
        <v>94</v>
      </c>
      <c r="H8" s="6">
        <f t="shared" si="0"/>
        <v>83</v>
      </c>
      <c r="I8" s="7" t="str">
        <f t="shared" si="1"/>
        <v>B</v>
      </c>
    </row>
    <row r="9" spans="1:15" ht="16" thickBot="1" x14ac:dyDescent="0.4">
      <c r="A9" s="3" t="s">
        <v>31</v>
      </c>
      <c r="B9" s="3" t="s">
        <v>32</v>
      </c>
      <c r="C9" s="4" t="s">
        <v>33</v>
      </c>
      <c r="D9" s="5">
        <v>94</v>
      </c>
      <c r="E9" s="5">
        <v>89</v>
      </c>
      <c r="F9" s="5">
        <v>44</v>
      </c>
      <c r="G9" s="5">
        <v>72</v>
      </c>
      <c r="H9" s="6">
        <f t="shared" si="0"/>
        <v>74.75</v>
      </c>
      <c r="I9" s="7" t="str">
        <f t="shared" si="1"/>
        <v>C</v>
      </c>
    </row>
    <row r="10" spans="1:15" x14ac:dyDescent="0.35">
      <c r="A10" s="4" t="s">
        <v>34</v>
      </c>
      <c r="B10" s="3" t="s">
        <v>35</v>
      </c>
      <c r="C10" s="4" t="s">
        <v>36</v>
      </c>
      <c r="D10" s="5">
        <v>92</v>
      </c>
      <c r="E10" s="5">
        <v>90</v>
      </c>
      <c r="F10" s="5">
        <v>74</v>
      </c>
      <c r="G10" s="5">
        <v>68</v>
      </c>
      <c r="H10" s="6">
        <f t="shared" si="0"/>
        <v>81</v>
      </c>
      <c r="I10" s="7" t="str">
        <f t="shared" si="1"/>
        <v>B</v>
      </c>
      <c r="N10" s="8" t="s">
        <v>37</v>
      </c>
      <c r="O10" s="9"/>
    </row>
    <row r="11" spans="1:15" x14ac:dyDescent="0.35">
      <c r="A11" s="4" t="s">
        <v>38</v>
      </c>
      <c r="B11" s="3" t="s">
        <v>39</v>
      </c>
      <c r="C11" s="4" t="s">
        <v>40</v>
      </c>
      <c r="D11" s="5">
        <v>80</v>
      </c>
      <c r="E11" s="5">
        <v>90</v>
      </c>
      <c r="F11" s="5">
        <v>65</v>
      </c>
      <c r="G11" s="5">
        <v>91</v>
      </c>
      <c r="H11" s="6">
        <f t="shared" si="0"/>
        <v>81.5</v>
      </c>
      <c r="I11" s="7" t="str">
        <f t="shared" si="1"/>
        <v>B</v>
      </c>
      <c r="N11" s="10">
        <v>0</v>
      </c>
      <c r="O11" s="11" t="s">
        <v>41</v>
      </c>
    </row>
    <row r="12" spans="1:15" x14ac:dyDescent="0.35">
      <c r="A12" s="4" t="s">
        <v>42</v>
      </c>
      <c r="B12" s="3" t="s">
        <v>43</v>
      </c>
      <c r="C12" s="4" t="s">
        <v>44</v>
      </c>
      <c r="D12" s="5">
        <v>96</v>
      </c>
      <c r="E12" s="5">
        <v>82</v>
      </c>
      <c r="F12" s="5">
        <v>40</v>
      </c>
      <c r="G12" s="5">
        <v>78</v>
      </c>
      <c r="H12" s="6">
        <f t="shared" si="0"/>
        <v>74</v>
      </c>
      <c r="I12" s="7" t="str">
        <f t="shared" si="1"/>
        <v>C</v>
      </c>
      <c r="N12" s="10">
        <v>60</v>
      </c>
      <c r="O12" s="11" t="s">
        <v>45</v>
      </c>
    </row>
    <row r="13" spans="1:15" ht="16" thickBot="1" x14ac:dyDescent="0.4">
      <c r="A13" s="4" t="s">
        <v>46</v>
      </c>
      <c r="B13" s="3" t="s">
        <v>47</v>
      </c>
      <c r="C13" s="4" t="s">
        <v>48</v>
      </c>
      <c r="D13" s="5">
        <v>91</v>
      </c>
      <c r="E13" s="5">
        <v>88</v>
      </c>
      <c r="F13" s="5">
        <v>90</v>
      </c>
      <c r="G13" s="5">
        <v>77</v>
      </c>
      <c r="H13" s="6">
        <f t="shared" si="0"/>
        <v>86.5</v>
      </c>
      <c r="I13" s="7" t="str">
        <f t="shared" si="1"/>
        <v>B</v>
      </c>
      <c r="N13" s="10">
        <v>70</v>
      </c>
      <c r="O13" s="11" t="s">
        <v>49</v>
      </c>
    </row>
    <row r="14" spans="1:15" ht="16" thickBot="1" x14ac:dyDescent="0.4">
      <c r="A14" s="4" t="s">
        <v>50</v>
      </c>
      <c r="B14" s="3" t="s">
        <v>51</v>
      </c>
      <c r="C14" s="4" t="s">
        <v>52</v>
      </c>
      <c r="D14" s="5">
        <v>91</v>
      </c>
      <c r="E14" s="5">
        <v>77</v>
      </c>
      <c r="F14" s="5">
        <v>72</v>
      </c>
      <c r="G14" s="5">
        <v>85</v>
      </c>
      <c r="H14" s="6">
        <f t="shared" si="0"/>
        <v>81.25</v>
      </c>
      <c r="I14" s="7" t="str">
        <f t="shared" si="1"/>
        <v>B</v>
      </c>
      <c r="K14" s="381" t="s">
        <v>2578</v>
      </c>
      <c r="N14" s="10">
        <v>80</v>
      </c>
      <c r="O14" s="11" t="s">
        <v>53</v>
      </c>
    </row>
    <row r="15" spans="1:15" ht="16" thickBot="1" x14ac:dyDescent="0.4">
      <c r="A15" s="4" t="s">
        <v>54</v>
      </c>
      <c r="B15" s="3" t="s">
        <v>55</v>
      </c>
      <c r="C15" s="4" t="s">
        <v>56</v>
      </c>
      <c r="D15" s="5">
        <v>86</v>
      </c>
      <c r="E15" s="5">
        <v>79</v>
      </c>
      <c r="F15" s="5">
        <v>47</v>
      </c>
      <c r="G15" s="5">
        <v>88</v>
      </c>
      <c r="H15" s="6">
        <f t="shared" si="0"/>
        <v>75</v>
      </c>
      <c r="I15" s="7" t="str">
        <f t="shared" si="1"/>
        <v>C</v>
      </c>
      <c r="N15" s="12">
        <v>90</v>
      </c>
      <c r="O15" s="13" t="s">
        <v>57</v>
      </c>
    </row>
    <row r="16" spans="1:15" x14ac:dyDescent="0.35">
      <c r="A16" s="4" t="s">
        <v>58</v>
      </c>
      <c r="B16" s="3" t="s">
        <v>59</v>
      </c>
      <c r="C16" s="4" t="s">
        <v>60</v>
      </c>
      <c r="D16" s="5">
        <v>85</v>
      </c>
      <c r="E16" s="5">
        <v>93</v>
      </c>
      <c r="F16" s="5">
        <v>46</v>
      </c>
      <c r="G16" s="5">
        <v>82</v>
      </c>
      <c r="H16" s="6">
        <f t="shared" si="0"/>
        <v>76.5</v>
      </c>
      <c r="I16" s="7" t="str">
        <f t="shared" si="1"/>
        <v>C</v>
      </c>
    </row>
    <row r="17" spans="1:12" x14ac:dyDescent="0.35">
      <c r="A17" s="3" t="s">
        <v>61</v>
      </c>
      <c r="B17" s="3" t="s">
        <v>62</v>
      </c>
      <c r="C17" s="4" t="s">
        <v>63</v>
      </c>
      <c r="D17" s="5">
        <v>89</v>
      </c>
      <c r="E17" s="5">
        <v>68</v>
      </c>
      <c r="F17" s="5">
        <v>45</v>
      </c>
      <c r="G17" s="5">
        <v>88</v>
      </c>
      <c r="H17" s="6">
        <f t="shared" si="0"/>
        <v>72.5</v>
      </c>
      <c r="I17" s="7" t="str">
        <f t="shared" si="1"/>
        <v>C</v>
      </c>
      <c r="K17" s="2" t="s">
        <v>64</v>
      </c>
    </row>
    <row r="18" spans="1:12" x14ac:dyDescent="0.35">
      <c r="A18" s="3" t="s">
        <v>65</v>
      </c>
      <c r="B18" s="3" t="s">
        <v>66</v>
      </c>
      <c r="C18" s="4" t="s">
        <v>67</v>
      </c>
      <c r="D18" s="5">
        <v>95</v>
      </c>
      <c r="E18" s="5">
        <v>73</v>
      </c>
      <c r="F18" s="5">
        <v>51</v>
      </c>
      <c r="G18" s="5">
        <v>66</v>
      </c>
      <c r="H18" s="6">
        <f t="shared" si="0"/>
        <v>71.25</v>
      </c>
      <c r="I18" s="7" t="str">
        <f t="shared" si="1"/>
        <v>C</v>
      </c>
      <c r="K18" s="4" t="s">
        <v>68</v>
      </c>
      <c r="L18" s="14" t="s">
        <v>7</v>
      </c>
    </row>
    <row r="19" spans="1:12" x14ac:dyDescent="0.35">
      <c r="A19" s="4" t="s">
        <v>69</v>
      </c>
      <c r="B19" s="3" t="s">
        <v>70</v>
      </c>
      <c r="C19" s="4" t="s">
        <v>71</v>
      </c>
      <c r="D19" s="5">
        <v>89</v>
      </c>
      <c r="E19" s="5">
        <v>78</v>
      </c>
      <c r="F19" s="5">
        <v>72</v>
      </c>
      <c r="G19" s="5">
        <v>71</v>
      </c>
      <c r="H19" s="6">
        <f t="shared" si="0"/>
        <v>77.5</v>
      </c>
      <c r="I19" s="7" t="str">
        <f t="shared" si="1"/>
        <v>C</v>
      </c>
      <c r="K19" s="14" t="s">
        <v>12</v>
      </c>
      <c r="L19" s="4">
        <f>INDEX(A3:I97,MATCH(K19,C3:C97,0),MATCH(L18,A2:I2,0))</f>
        <v>87</v>
      </c>
    </row>
    <row r="20" spans="1:12" x14ac:dyDescent="0.35">
      <c r="A20" s="4" t="s">
        <v>72</v>
      </c>
      <c r="B20" s="3" t="s">
        <v>73</v>
      </c>
      <c r="C20" s="4" t="s">
        <v>74</v>
      </c>
      <c r="D20" s="5">
        <v>83</v>
      </c>
      <c r="E20" s="5">
        <v>78</v>
      </c>
      <c r="F20" s="5">
        <v>87</v>
      </c>
      <c r="G20" s="5">
        <v>81</v>
      </c>
      <c r="H20" s="6">
        <f t="shared" si="0"/>
        <v>82.25</v>
      </c>
      <c r="I20" s="7" t="str">
        <f t="shared" si="1"/>
        <v>B</v>
      </c>
    </row>
    <row r="21" spans="1:12" x14ac:dyDescent="0.35">
      <c r="A21" s="4" t="s">
        <v>75</v>
      </c>
      <c r="B21" s="3" t="s">
        <v>76</v>
      </c>
      <c r="C21" s="4" t="s">
        <v>77</v>
      </c>
      <c r="D21" s="5">
        <v>87</v>
      </c>
      <c r="E21" s="5">
        <v>79</v>
      </c>
      <c r="F21" s="5">
        <v>56</v>
      </c>
      <c r="G21" s="5">
        <v>73</v>
      </c>
      <c r="H21" s="6">
        <f t="shared" si="0"/>
        <v>73.75</v>
      </c>
      <c r="I21" s="7" t="str">
        <f t="shared" si="1"/>
        <v>C</v>
      </c>
    </row>
    <row r="22" spans="1:12" x14ac:dyDescent="0.35">
      <c r="A22" s="4" t="s">
        <v>78</v>
      </c>
      <c r="B22" s="3" t="s">
        <v>79</v>
      </c>
      <c r="C22" s="4" t="s">
        <v>80</v>
      </c>
      <c r="D22" s="5">
        <v>89</v>
      </c>
      <c r="E22" s="5">
        <v>79</v>
      </c>
      <c r="F22" s="5">
        <v>58</v>
      </c>
      <c r="G22" s="5">
        <v>83</v>
      </c>
      <c r="H22" s="6">
        <f t="shared" si="0"/>
        <v>77.25</v>
      </c>
      <c r="I22" s="7" t="str">
        <f t="shared" si="1"/>
        <v>C</v>
      </c>
      <c r="K22" s="2" t="s">
        <v>81</v>
      </c>
    </row>
    <row r="23" spans="1:12" x14ac:dyDescent="0.35">
      <c r="A23" s="4" t="s">
        <v>82</v>
      </c>
      <c r="B23" s="3" t="s">
        <v>83</v>
      </c>
      <c r="C23" s="4" t="s">
        <v>84</v>
      </c>
      <c r="D23" s="5">
        <v>85</v>
      </c>
      <c r="E23" s="5">
        <v>86</v>
      </c>
      <c r="F23" s="5">
        <v>100</v>
      </c>
      <c r="G23" s="5">
        <v>70</v>
      </c>
      <c r="H23" s="6">
        <f t="shared" si="0"/>
        <v>85.25</v>
      </c>
      <c r="I23" s="7" t="str">
        <f t="shared" si="1"/>
        <v>B</v>
      </c>
      <c r="K23" s="14" t="s">
        <v>3</v>
      </c>
      <c r="L23" s="4">
        <f>MAX(INDEX(D3:H97,,MATCH(K23,D2:H2,0)))</f>
        <v>97</v>
      </c>
    </row>
    <row r="24" spans="1:12" x14ac:dyDescent="0.35">
      <c r="A24" s="3" t="s">
        <v>85</v>
      </c>
      <c r="B24" s="3" t="s">
        <v>86</v>
      </c>
      <c r="C24" s="4" t="s">
        <v>87</v>
      </c>
      <c r="D24" s="5">
        <v>88</v>
      </c>
      <c r="E24" s="5">
        <v>80</v>
      </c>
      <c r="F24" s="5">
        <v>53</v>
      </c>
      <c r="G24" s="5">
        <v>85</v>
      </c>
      <c r="H24" s="6">
        <f t="shared" si="0"/>
        <v>76.5</v>
      </c>
      <c r="I24" s="7" t="str">
        <f t="shared" si="1"/>
        <v>C</v>
      </c>
    </row>
    <row r="25" spans="1:12" x14ac:dyDescent="0.35">
      <c r="A25" s="4" t="s">
        <v>88</v>
      </c>
      <c r="B25" s="3" t="s">
        <v>89</v>
      </c>
      <c r="C25" s="4" t="s">
        <v>90</v>
      </c>
      <c r="D25" s="5">
        <v>89</v>
      </c>
      <c r="E25" s="5">
        <v>80</v>
      </c>
      <c r="F25" s="5">
        <v>49</v>
      </c>
      <c r="G25" s="5">
        <v>62</v>
      </c>
      <c r="H25" s="6">
        <f t="shared" si="0"/>
        <v>70</v>
      </c>
      <c r="I25" s="7" t="str">
        <f t="shared" si="1"/>
        <v>C</v>
      </c>
    </row>
    <row r="26" spans="1:12" x14ac:dyDescent="0.35">
      <c r="A26" s="4" t="s">
        <v>91</v>
      </c>
      <c r="B26" s="3" t="s">
        <v>92</v>
      </c>
      <c r="C26" s="4" t="s">
        <v>93</v>
      </c>
      <c r="D26" s="5">
        <v>84</v>
      </c>
      <c r="E26" s="5">
        <v>81</v>
      </c>
      <c r="F26" s="5">
        <v>71</v>
      </c>
      <c r="G26" s="5">
        <v>83</v>
      </c>
      <c r="H26" s="6">
        <f t="shared" si="0"/>
        <v>79.75</v>
      </c>
      <c r="I26" s="7" t="str">
        <f t="shared" si="1"/>
        <v>C</v>
      </c>
      <c r="K26" s="2" t="s">
        <v>94</v>
      </c>
    </row>
    <row r="27" spans="1:12" x14ac:dyDescent="0.35">
      <c r="A27" s="3" t="s">
        <v>95</v>
      </c>
      <c r="B27" s="3" t="s">
        <v>96</v>
      </c>
      <c r="C27" s="4" t="s">
        <v>97</v>
      </c>
      <c r="D27" s="5">
        <v>81</v>
      </c>
      <c r="E27" s="5">
        <v>83</v>
      </c>
      <c r="F27" s="5">
        <v>81</v>
      </c>
      <c r="G27" s="5">
        <v>73</v>
      </c>
      <c r="H27" s="6">
        <f t="shared" si="0"/>
        <v>79.5</v>
      </c>
      <c r="I27" s="7" t="str">
        <f t="shared" si="1"/>
        <v>C</v>
      </c>
      <c r="K27" s="15" t="str" cm="1">
        <f t="array" aca="1" ref="K27" ca="1">INDEX($C$3:$C$97,RANDBETWEEN(1,94))</f>
        <v>PVB370</v>
      </c>
    </row>
    <row r="28" spans="1:12" x14ac:dyDescent="0.35">
      <c r="A28" s="4" t="s">
        <v>98</v>
      </c>
      <c r="B28" s="3" t="s">
        <v>99</v>
      </c>
      <c r="C28" s="4" t="s">
        <v>100</v>
      </c>
      <c r="D28" s="5">
        <v>86</v>
      </c>
      <c r="E28" s="5">
        <v>84</v>
      </c>
      <c r="F28" s="5">
        <v>72</v>
      </c>
      <c r="G28" s="5">
        <v>69</v>
      </c>
      <c r="H28" s="6">
        <f t="shared" si="0"/>
        <v>77.75</v>
      </c>
      <c r="I28" s="7" t="str">
        <f t="shared" si="1"/>
        <v>C</v>
      </c>
      <c r="K28" s="15" t="str" cm="1">
        <f t="array" aca="1" ref="K28" ca="1">INDEX($C$3:$C$97,RANDBETWEEN(1,94))</f>
        <v>PTD394</v>
      </c>
    </row>
    <row r="29" spans="1:12" x14ac:dyDescent="0.35">
      <c r="A29" s="3" t="s">
        <v>101</v>
      </c>
      <c r="B29" s="3" t="s">
        <v>102</v>
      </c>
      <c r="C29" s="4" t="s">
        <v>103</v>
      </c>
      <c r="D29" s="5">
        <v>87</v>
      </c>
      <c r="E29" s="5">
        <v>85</v>
      </c>
      <c r="F29" s="5">
        <v>45</v>
      </c>
      <c r="G29" s="5">
        <v>72</v>
      </c>
      <c r="H29" s="6">
        <f t="shared" si="0"/>
        <v>72.25</v>
      </c>
      <c r="I29" s="7" t="str">
        <f t="shared" si="1"/>
        <v>C</v>
      </c>
      <c r="K29" s="15" t="str" cm="1">
        <f t="array" aca="1" ref="K29" ca="1">INDEX($C$3:$C$97,RANDBETWEEN(1,94))</f>
        <v>KXB306</v>
      </c>
    </row>
    <row r="30" spans="1:12" x14ac:dyDescent="0.35">
      <c r="A30" s="4" t="s">
        <v>104</v>
      </c>
      <c r="B30" s="3" t="s">
        <v>105</v>
      </c>
      <c r="C30" s="4" t="s">
        <v>106</v>
      </c>
      <c r="D30" s="5">
        <v>88</v>
      </c>
      <c r="E30" s="5">
        <v>85</v>
      </c>
      <c r="F30" s="5">
        <v>82</v>
      </c>
      <c r="G30" s="5">
        <v>75</v>
      </c>
      <c r="H30" s="6">
        <f t="shared" si="0"/>
        <v>82.5</v>
      </c>
      <c r="I30" s="7" t="str">
        <f t="shared" si="1"/>
        <v>B</v>
      </c>
      <c r="K30" s="15" t="str" cm="1">
        <f t="array" aca="1" ref="K30" ca="1">INDEX($C$3:$C$97,RANDBETWEEN(1,94))</f>
        <v>AAJ534</v>
      </c>
    </row>
    <row r="31" spans="1:12" x14ac:dyDescent="0.35">
      <c r="A31" s="4" t="s">
        <v>107</v>
      </c>
      <c r="B31" s="3" t="s">
        <v>108</v>
      </c>
      <c r="C31" s="4" t="s">
        <v>109</v>
      </c>
      <c r="D31" s="5">
        <v>90</v>
      </c>
      <c r="E31" s="5">
        <v>86</v>
      </c>
      <c r="F31" s="5">
        <v>41</v>
      </c>
      <c r="G31" s="5">
        <v>66</v>
      </c>
      <c r="H31" s="6">
        <f t="shared" si="0"/>
        <v>70.75</v>
      </c>
      <c r="I31" s="7" t="str">
        <f t="shared" si="1"/>
        <v>C</v>
      </c>
      <c r="K31" s="15" t="str" cm="1">
        <f t="array" aca="1" ref="K31" ca="1">INDEX($C$3:$C$97,RANDBETWEEN(1,94))</f>
        <v>SXS383</v>
      </c>
    </row>
    <row r="32" spans="1:12" x14ac:dyDescent="0.35">
      <c r="A32" s="4" t="s">
        <v>110</v>
      </c>
      <c r="B32" s="3" t="s">
        <v>111</v>
      </c>
      <c r="C32" s="4" t="s">
        <v>112</v>
      </c>
      <c r="D32" s="5">
        <v>86</v>
      </c>
      <c r="E32" s="5">
        <v>86</v>
      </c>
      <c r="F32" s="5">
        <v>45</v>
      </c>
      <c r="G32" s="5">
        <v>54</v>
      </c>
      <c r="H32" s="6">
        <f t="shared" si="0"/>
        <v>67.75</v>
      </c>
      <c r="I32" s="7" t="str">
        <f t="shared" si="1"/>
        <v>D</v>
      </c>
      <c r="K32" s="15" t="str" cm="1">
        <f t="array" aca="1" ref="K32" ca="1">INDEX($C$3:$C$97,RANDBETWEEN(1,94))</f>
        <v>AAJ534</v>
      </c>
    </row>
    <row r="33" spans="1:11" x14ac:dyDescent="0.35">
      <c r="A33" s="4" t="s">
        <v>113</v>
      </c>
      <c r="B33" s="3" t="s">
        <v>114</v>
      </c>
      <c r="C33" s="4" t="s">
        <v>115</v>
      </c>
      <c r="D33" s="5">
        <v>76</v>
      </c>
      <c r="E33" s="5">
        <v>86</v>
      </c>
      <c r="F33" s="5">
        <v>46</v>
      </c>
      <c r="G33" s="5">
        <v>56</v>
      </c>
      <c r="H33" s="6">
        <f t="shared" si="0"/>
        <v>66</v>
      </c>
      <c r="I33" s="7" t="str">
        <f t="shared" si="1"/>
        <v>D</v>
      </c>
      <c r="K33" s="15" t="str" cm="1">
        <f t="array" aca="1" ref="K33" ca="1">INDEX($C$3:$C$97,RANDBETWEEN(1,94))</f>
        <v>CRE281</v>
      </c>
    </row>
    <row r="34" spans="1:11" x14ac:dyDescent="0.35">
      <c r="A34" s="4" t="s">
        <v>116</v>
      </c>
      <c r="B34" s="3" t="s">
        <v>117</v>
      </c>
      <c r="C34" s="4" t="s">
        <v>118</v>
      </c>
      <c r="D34" s="5">
        <v>94</v>
      </c>
      <c r="E34" s="5">
        <v>49</v>
      </c>
      <c r="F34" s="5">
        <v>91</v>
      </c>
      <c r="G34" s="5">
        <v>90</v>
      </c>
      <c r="H34" s="6">
        <f t="shared" si="0"/>
        <v>81</v>
      </c>
      <c r="I34" s="7" t="str">
        <f t="shared" si="1"/>
        <v>B</v>
      </c>
      <c r="K34" s="15" t="str" cm="1">
        <f t="array" aca="1" ref="K34" ca="1">INDEX($C$3:$C$97,RANDBETWEEN(1,94))</f>
        <v>SJP626</v>
      </c>
    </row>
    <row r="35" spans="1:11" x14ac:dyDescent="0.35">
      <c r="A35" s="4" t="s">
        <v>119</v>
      </c>
      <c r="B35" s="3" t="s">
        <v>120</v>
      </c>
      <c r="C35" s="4" t="s">
        <v>121</v>
      </c>
      <c r="D35" s="5">
        <v>82</v>
      </c>
      <c r="E35" s="5">
        <v>87</v>
      </c>
      <c r="F35" s="5">
        <v>67</v>
      </c>
      <c r="G35" s="5">
        <v>71</v>
      </c>
      <c r="H35" s="6">
        <f t="shared" si="0"/>
        <v>76.75</v>
      </c>
      <c r="I35" s="7" t="str">
        <f t="shared" si="1"/>
        <v>C</v>
      </c>
    </row>
    <row r="36" spans="1:11" x14ac:dyDescent="0.35">
      <c r="A36" s="4" t="s">
        <v>122</v>
      </c>
      <c r="B36" s="3" t="s">
        <v>123</v>
      </c>
      <c r="C36" s="4" t="s">
        <v>124</v>
      </c>
      <c r="D36" s="5">
        <v>81</v>
      </c>
      <c r="E36" s="5">
        <v>87</v>
      </c>
      <c r="F36" s="5">
        <v>64</v>
      </c>
      <c r="G36" s="5">
        <v>63</v>
      </c>
      <c r="H36" s="6">
        <f t="shared" si="0"/>
        <v>73.75</v>
      </c>
      <c r="I36" s="7" t="str">
        <f t="shared" si="1"/>
        <v>C</v>
      </c>
    </row>
    <row r="37" spans="1:11" x14ac:dyDescent="0.35">
      <c r="A37" s="4" t="s">
        <v>125</v>
      </c>
      <c r="B37" s="3" t="s">
        <v>126</v>
      </c>
      <c r="C37" s="4" t="s">
        <v>127</v>
      </c>
      <c r="D37" s="5">
        <v>79</v>
      </c>
      <c r="E37" s="5">
        <v>92</v>
      </c>
      <c r="F37" s="5">
        <v>40</v>
      </c>
      <c r="G37" s="5">
        <v>72</v>
      </c>
      <c r="H37" s="6">
        <f t="shared" si="0"/>
        <v>70.75</v>
      </c>
      <c r="I37" s="7" t="str">
        <f t="shared" si="1"/>
        <v>C</v>
      </c>
    </row>
    <row r="38" spans="1:11" x14ac:dyDescent="0.35">
      <c r="A38" s="4" t="s">
        <v>128</v>
      </c>
      <c r="B38" s="3" t="s">
        <v>129</v>
      </c>
      <c r="C38" s="4" t="s">
        <v>130</v>
      </c>
      <c r="D38" s="5">
        <v>76</v>
      </c>
      <c r="E38" s="5">
        <v>75</v>
      </c>
      <c r="F38" s="5">
        <v>51</v>
      </c>
      <c r="G38" s="5">
        <v>64</v>
      </c>
      <c r="H38" s="6">
        <f t="shared" si="0"/>
        <v>66.5</v>
      </c>
      <c r="I38" s="7" t="str">
        <f t="shared" si="1"/>
        <v>D</v>
      </c>
    </row>
    <row r="39" spans="1:11" x14ac:dyDescent="0.35">
      <c r="A39" s="3" t="s">
        <v>131</v>
      </c>
      <c r="B39" s="3" t="s">
        <v>132</v>
      </c>
      <c r="C39" s="4" t="s">
        <v>133</v>
      </c>
      <c r="D39" s="5">
        <v>74</v>
      </c>
      <c r="E39" s="5">
        <v>65</v>
      </c>
      <c r="F39" s="5">
        <v>65</v>
      </c>
      <c r="G39" s="5">
        <v>75</v>
      </c>
      <c r="H39" s="6">
        <f t="shared" si="0"/>
        <v>69.75</v>
      </c>
      <c r="I39" s="7" t="str">
        <f t="shared" si="1"/>
        <v>D</v>
      </c>
    </row>
    <row r="40" spans="1:11" x14ac:dyDescent="0.35">
      <c r="A40" s="4" t="s">
        <v>134</v>
      </c>
      <c r="B40" s="3" t="s">
        <v>135</v>
      </c>
      <c r="C40" s="4" t="s">
        <v>136</v>
      </c>
      <c r="D40" s="5">
        <v>60</v>
      </c>
      <c r="E40" s="5">
        <v>80</v>
      </c>
      <c r="F40" s="5">
        <v>89</v>
      </c>
      <c r="G40" s="5">
        <v>66</v>
      </c>
      <c r="H40" s="6">
        <f t="shared" si="0"/>
        <v>73.75</v>
      </c>
      <c r="I40" s="7" t="str">
        <f t="shared" si="1"/>
        <v>C</v>
      </c>
    </row>
    <row r="41" spans="1:11" x14ac:dyDescent="0.35">
      <c r="A41" s="4" t="s">
        <v>137</v>
      </c>
      <c r="B41" s="3" t="s">
        <v>138</v>
      </c>
      <c r="C41" s="4" t="s">
        <v>139</v>
      </c>
      <c r="D41" s="5">
        <v>76</v>
      </c>
      <c r="E41" s="5">
        <v>73</v>
      </c>
      <c r="F41" s="5">
        <v>64</v>
      </c>
      <c r="G41" s="5">
        <v>48</v>
      </c>
      <c r="H41" s="6">
        <f t="shared" si="0"/>
        <v>65.25</v>
      </c>
      <c r="I41" s="7" t="str">
        <f t="shared" si="1"/>
        <v>D</v>
      </c>
    </row>
    <row r="42" spans="1:11" x14ac:dyDescent="0.35">
      <c r="A42" s="4" t="s">
        <v>140</v>
      </c>
      <c r="B42" s="3" t="s">
        <v>76</v>
      </c>
      <c r="C42" s="4" t="s">
        <v>141</v>
      </c>
      <c r="D42" s="5">
        <v>76</v>
      </c>
      <c r="E42" s="5">
        <v>70</v>
      </c>
      <c r="F42" s="5">
        <v>68</v>
      </c>
      <c r="G42" s="5">
        <v>55</v>
      </c>
      <c r="H42" s="6">
        <f t="shared" si="0"/>
        <v>67.25</v>
      </c>
      <c r="I42" s="7" t="str">
        <f t="shared" si="1"/>
        <v>D</v>
      </c>
    </row>
    <row r="43" spans="1:11" x14ac:dyDescent="0.35">
      <c r="A43" s="4" t="s">
        <v>142</v>
      </c>
      <c r="B43" s="3" t="s">
        <v>143</v>
      </c>
      <c r="C43" s="4" t="s">
        <v>144</v>
      </c>
      <c r="D43" s="5">
        <v>71</v>
      </c>
      <c r="E43" s="5">
        <v>75</v>
      </c>
      <c r="F43" s="5">
        <v>84</v>
      </c>
      <c r="G43" s="5">
        <v>73</v>
      </c>
      <c r="H43" s="6">
        <f t="shared" si="0"/>
        <v>75.75</v>
      </c>
      <c r="I43" s="7" t="str">
        <f t="shared" si="1"/>
        <v>C</v>
      </c>
    </row>
    <row r="44" spans="1:11" x14ac:dyDescent="0.35">
      <c r="A44" s="4" t="s">
        <v>145</v>
      </c>
      <c r="B44" s="3" t="s">
        <v>146</v>
      </c>
      <c r="C44" s="4" t="s">
        <v>147</v>
      </c>
      <c r="D44" s="5">
        <v>69</v>
      </c>
      <c r="E44" s="5">
        <v>79</v>
      </c>
      <c r="F44" s="5">
        <v>65</v>
      </c>
      <c r="G44" s="5">
        <v>62</v>
      </c>
      <c r="H44" s="6">
        <f t="shared" si="0"/>
        <v>68.75</v>
      </c>
      <c r="I44" s="7" t="str">
        <f t="shared" si="1"/>
        <v>D</v>
      </c>
    </row>
    <row r="45" spans="1:11" x14ac:dyDescent="0.35">
      <c r="A45" s="4" t="s">
        <v>148</v>
      </c>
      <c r="B45" s="3" t="s">
        <v>99</v>
      </c>
      <c r="C45" s="4" t="s">
        <v>149</v>
      </c>
      <c r="D45" s="5">
        <v>72</v>
      </c>
      <c r="E45" s="5">
        <v>72</v>
      </c>
      <c r="F45" s="5">
        <v>99</v>
      </c>
      <c r="G45" s="5">
        <v>45</v>
      </c>
      <c r="H45" s="6">
        <f t="shared" si="0"/>
        <v>72</v>
      </c>
      <c r="I45" s="7" t="str">
        <f t="shared" si="1"/>
        <v>C</v>
      </c>
    </row>
    <row r="46" spans="1:11" x14ac:dyDescent="0.35">
      <c r="A46" s="3" t="s">
        <v>150</v>
      </c>
      <c r="B46" s="3" t="s">
        <v>151</v>
      </c>
      <c r="C46" s="4" t="s">
        <v>152</v>
      </c>
      <c r="D46" s="5">
        <v>70</v>
      </c>
      <c r="E46" s="5">
        <v>72</v>
      </c>
      <c r="F46" s="5">
        <v>66</v>
      </c>
      <c r="G46" s="5">
        <v>50</v>
      </c>
      <c r="H46" s="6">
        <f t="shared" si="0"/>
        <v>64.5</v>
      </c>
      <c r="I46" s="7" t="str">
        <f t="shared" si="1"/>
        <v>D</v>
      </c>
    </row>
    <row r="47" spans="1:11" x14ac:dyDescent="0.35">
      <c r="A47" s="4" t="s">
        <v>153</v>
      </c>
      <c r="B47" s="3" t="s">
        <v>154</v>
      </c>
      <c r="C47" s="4" t="s">
        <v>155</v>
      </c>
      <c r="D47" s="5">
        <v>70</v>
      </c>
      <c r="E47" s="5">
        <v>63</v>
      </c>
      <c r="F47" s="5">
        <v>96</v>
      </c>
      <c r="G47" s="5">
        <v>68</v>
      </c>
      <c r="H47" s="6">
        <f t="shared" si="0"/>
        <v>74.25</v>
      </c>
      <c r="I47" s="7" t="str">
        <f t="shared" si="1"/>
        <v>C</v>
      </c>
    </row>
    <row r="48" spans="1:11" x14ac:dyDescent="0.35">
      <c r="A48" s="4" t="s">
        <v>156</v>
      </c>
      <c r="B48" s="3" t="s">
        <v>157</v>
      </c>
      <c r="C48" s="4" t="s">
        <v>158</v>
      </c>
      <c r="D48" s="5">
        <v>73</v>
      </c>
      <c r="E48" s="5">
        <v>53</v>
      </c>
      <c r="F48" s="5">
        <v>40</v>
      </c>
      <c r="G48" s="5">
        <v>68</v>
      </c>
      <c r="H48" s="6">
        <f t="shared" si="0"/>
        <v>58.5</v>
      </c>
      <c r="I48" s="7" t="str">
        <f t="shared" si="1"/>
        <v>F</v>
      </c>
    </row>
    <row r="49" spans="1:9" x14ac:dyDescent="0.35">
      <c r="A49" s="4" t="s">
        <v>159</v>
      </c>
      <c r="B49" s="3" t="s">
        <v>160</v>
      </c>
      <c r="C49" s="4" t="s">
        <v>161</v>
      </c>
      <c r="D49" s="5">
        <v>64</v>
      </c>
      <c r="E49" s="5">
        <v>69</v>
      </c>
      <c r="F49" s="5">
        <v>62</v>
      </c>
      <c r="G49" s="5">
        <v>73</v>
      </c>
      <c r="H49" s="6">
        <f t="shared" si="0"/>
        <v>67</v>
      </c>
      <c r="I49" s="7" t="str">
        <f t="shared" si="1"/>
        <v>D</v>
      </c>
    </row>
    <row r="50" spans="1:9" x14ac:dyDescent="0.35">
      <c r="A50" s="3" t="s">
        <v>162</v>
      </c>
      <c r="B50" s="3" t="s">
        <v>163</v>
      </c>
      <c r="C50" s="4" t="s">
        <v>164</v>
      </c>
      <c r="D50" s="5">
        <v>70</v>
      </c>
      <c r="E50" s="5">
        <v>53</v>
      </c>
      <c r="F50" s="5">
        <v>87</v>
      </c>
      <c r="G50" s="5">
        <v>61</v>
      </c>
      <c r="H50" s="6">
        <f t="shared" si="0"/>
        <v>67.75</v>
      </c>
      <c r="I50" s="7" t="str">
        <f t="shared" si="1"/>
        <v>D</v>
      </c>
    </row>
    <row r="51" spans="1:9" x14ac:dyDescent="0.35">
      <c r="A51" s="4" t="s">
        <v>165</v>
      </c>
      <c r="B51" s="3" t="s">
        <v>166</v>
      </c>
      <c r="C51" s="4" t="s">
        <v>167</v>
      </c>
      <c r="D51" s="5">
        <v>60</v>
      </c>
      <c r="E51" s="5">
        <v>64</v>
      </c>
      <c r="F51" s="5">
        <v>88</v>
      </c>
      <c r="G51" s="5">
        <v>67</v>
      </c>
      <c r="H51" s="6">
        <f t="shared" si="0"/>
        <v>69.75</v>
      </c>
      <c r="I51" s="7" t="str">
        <f t="shared" si="1"/>
        <v>D</v>
      </c>
    </row>
    <row r="52" spans="1:9" x14ac:dyDescent="0.35">
      <c r="A52" s="4" t="s">
        <v>168</v>
      </c>
      <c r="B52" s="3" t="s">
        <v>169</v>
      </c>
      <c r="C52" s="4" t="s">
        <v>170</v>
      </c>
      <c r="D52" s="5">
        <v>52</v>
      </c>
      <c r="E52" s="5">
        <v>74</v>
      </c>
      <c r="F52" s="5">
        <v>81</v>
      </c>
      <c r="G52" s="5">
        <v>25</v>
      </c>
      <c r="H52" s="6">
        <f t="shared" si="0"/>
        <v>58</v>
      </c>
      <c r="I52" s="7" t="str">
        <f t="shared" si="1"/>
        <v>F</v>
      </c>
    </row>
    <row r="53" spans="1:9" x14ac:dyDescent="0.35">
      <c r="A53" s="3" t="s">
        <v>171</v>
      </c>
      <c r="B53" s="3" t="s">
        <v>172</v>
      </c>
      <c r="C53" s="4" t="s">
        <v>173</v>
      </c>
      <c r="D53" s="5">
        <v>56</v>
      </c>
      <c r="E53" s="5">
        <v>56</v>
      </c>
      <c r="F53" s="5">
        <v>46</v>
      </c>
      <c r="G53" s="5">
        <v>68</v>
      </c>
      <c r="H53" s="6">
        <f t="shared" si="0"/>
        <v>56.5</v>
      </c>
      <c r="I53" s="7" t="str">
        <f t="shared" si="1"/>
        <v>F</v>
      </c>
    </row>
    <row r="54" spans="1:9" x14ac:dyDescent="0.35">
      <c r="A54" s="4" t="s">
        <v>174</v>
      </c>
      <c r="B54" s="3" t="s">
        <v>175</v>
      </c>
      <c r="C54" s="4" t="s">
        <v>176</v>
      </c>
      <c r="D54" s="5">
        <v>56</v>
      </c>
      <c r="E54" s="5">
        <v>60</v>
      </c>
      <c r="F54" s="5">
        <v>59</v>
      </c>
      <c r="G54" s="5">
        <v>56</v>
      </c>
      <c r="H54" s="6">
        <f t="shared" si="0"/>
        <v>57.75</v>
      </c>
      <c r="I54" s="7" t="str">
        <f t="shared" si="1"/>
        <v>F</v>
      </c>
    </row>
    <row r="55" spans="1:9" x14ac:dyDescent="0.35">
      <c r="A55" s="4" t="s">
        <v>177</v>
      </c>
      <c r="B55" s="3" t="s">
        <v>178</v>
      </c>
      <c r="C55" s="4" t="s">
        <v>179</v>
      </c>
      <c r="D55" s="5">
        <v>59</v>
      </c>
      <c r="E55" s="5">
        <v>45</v>
      </c>
      <c r="F55" s="5">
        <v>46</v>
      </c>
      <c r="G55" s="5">
        <v>61</v>
      </c>
      <c r="H55" s="6">
        <f t="shared" si="0"/>
        <v>52.75</v>
      </c>
      <c r="I55" s="7" t="str">
        <f t="shared" si="1"/>
        <v>F</v>
      </c>
    </row>
    <row r="56" spans="1:9" x14ac:dyDescent="0.35">
      <c r="A56" s="4" t="s">
        <v>180</v>
      </c>
      <c r="B56" s="3" t="s">
        <v>102</v>
      </c>
      <c r="C56" s="4" t="s">
        <v>181</v>
      </c>
      <c r="D56" s="5">
        <v>64</v>
      </c>
      <c r="E56" s="5">
        <v>57</v>
      </c>
      <c r="F56" s="5">
        <v>99</v>
      </c>
      <c r="G56" s="5">
        <v>47</v>
      </c>
      <c r="H56" s="6">
        <f t="shared" si="0"/>
        <v>66.75</v>
      </c>
      <c r="I56" s="7" t="str">
        <f t="shared" si="1"/>
        <v>D</v>
      </c>
    </row>
    <row r="57" spans="1:9" x14ac:dyDescent="0.35">
      <c r="A57" s="3" t="s">
        <v>182</v>
      </c>
      <c r="B57" s="3" t="s">
        <v>183</v>
      </c>
      <c r="C57" s="4" t="s">
        <v>184</v>
      </c>
      <c r="D57" s="5">
        <v>60</v>
      </c>
      <c r="E57" s="5">
        <v>47</v>
      </c>
      <c r="F57" s="5">
        <v>45</v>
      </c>
      <c r="G57" s="5">
        <v>45</v>
      </c>
      <c r="H57" s="6">
        <f t="shared" si="0"/>
        <v>49.25</v>
      </c>
      <c r="I57" s="7" t="str">
        <f t="shared" si="1"/>
        <v>F</v>
      </c>
    </row>
    <row r="58" spans="1:9" x14ac:dyDescent="0.35">
      <c r="A58" s="4" t="s">
        <v>185</v>
      </c>
      <c r="B58" s="3" t="s">
        <v>186</v>
      </c>
      <c r="C58" s="4" t="s">
        <v>187</v>
      </c>
      <c r="D58" s="5">
        <v>56</v>
      </c>
      <c r="E58" s="5">
        <v>53</v>
      </c>
      <c r="F58" s="5">
        <v>42</v>
      </c>
      <c r="G58" s="5">
        <v>54</v>
      </c>
      <c r="H58" s="6">
        <f t="shared" si="0"/>
        <v>51.25</v>
      </c>
      <c r="I58" s="7" t="str">
        <f t="shared" si="1"/>
        <v>F</v>
      </c>
    </row>
    <row r="59" spans="1:9" x14ac:dyDescent="0.35">
      <c r="A59" s="4" t="s">
        <v>188</v>
      </c>
      <c r="B59" s="3" t="s">
        <v>189</v>
      </c>
      <c r="C59" s="4" t="s">
        <v>190</v>
      </c>
      <c r="D59" s="5">
        <v>56</v>
      </c>
      <c r="E59" s="5">
        <v>47</v>
      </c>
      <c r="F59" s="5">
        <v>90</v>
      </c>
      <c r="G59" s="5">
        <v>45</v>
      </c>
      <c r="H59" s="6">
        <f t="shared" si="0"/>
        <v>59.5</v>
      </c>
      <c r="I59" s="7" t="str">
        <f t="shared" si="1"/>
        <v>F</v>
      </c>
    </row>
    <row r="60" spans="1:9" x14ac:dyDescent="0.35">
      <c r="A60" s="3" t="s">
        <v>191</v>
      </c>
      <c r="B60" s="3" t="s">
        <v>192</v>
      </c>
      <c r="C60" s="4" t="s">
        <v>193</v>
      </c>
      <c r="D60" s="5">
        <v>53</v>
      </c>
      <c r="E60" s="5">
        <v>48</v>
      </c>
      <c r="F60" s="5">
        <v>85</v>
      </c>
      <c r="G60" s="5">
        <v>36</v>
      </c>
      <c r="H60" s="6">
        <f t="shared" si="0"/>
        <v>55.5</v>
      </c>
      <c r="I60" s="7" t="str">
        <f t="shared" si="1"/>
        <v>F</v>
      </c>
    </row>
    <row r="61" spans="1:9" x14ac:dyDescent="0.35">
      <c r="A61" s="4" t="s">
        <v>194</v>
      </c>
      <c r="B61" s="3" t="s">
        <v>195</v>
      </c>
      <c r="C61" s="4" t="s">
        <v>196</v>
      </c>
      <c r="D61" s="5">
        <v>39</v>
      </c>
      <c r="E61" s="5">
        <v>42</v>
      </c>
      <c r="F61" s="5">
        <v>46</v>
      </c>
      <c r="G61" s="5">
        <v>53</v>
      </c>
      <c r="H61" s="6">
        <f t="shared" si="0"/>
        <v>45</v>
      </c>
      <c r="I61" s="7" t="str">
        <f t="shared" si="1"/>
        <v>F</v>
      </c>
    </row>
    <row r="62" spans="1:9" x14ac:dyDescent="0.35">
      <c r="A62" s="3" t="s">
        <v>197</v>
      </c>
      <c r="B62" s="3" t="s">
        <v>198</v>
      </c>
      <c r="C62" s="4" t="s">
        <v>199</v>
      </c>
      <c r="D62" s="5">
        <v>47</v>
      </c>
      <c r="E62" s="5">
        <v>27</v>
      </c>
      <c r="F62" s="5">
        <v>98</v>
      </c>
      <c r="G62" s="5">
        <v>34</v>
      </c>
      <c r="H62" s="6">
        <f t="shared" si="0"/>
        <v>51.5</v>
      </c>
      <c r="I62" s="7" t="str">
        <f t="shared" si="1"/>
        <v>F</v>
      </c>
    </row>
    <row r="63" spans="1:9" x14ac:dyDescent="0.35">
      <c r="A63" s="4" t="s">
        <v>200</v>
      </c>
      <c r="B63" s="3" t="s">
        <v>201</v>
      </c>
      <c r="C63" s="4" t="s">
        <v>202</v>
      </c>
      <c r="D63" s="5">
        <v>31</v>
      </c>
      <c r="E63" s="5">
        <v>33</v>
      </c>
      <c r="F63" s="5">
        <v>77</v>
      </c>
      <c r="G63" s="5">
        <v>46</v>
      </c>
      <c r="H63" s="6">
        <f t="shared" si="0"/>
        <v>46.75</v>
      </c>
      <c r="I63" s="7" t="str">
        <f t="shared" si="1"/>
        <v>F</v>
      </c>
    </row>
    <row r="64" spans="1:9" x14ac:dyDescent="0.35">
      <c r="A64" s="4" t="s">
        <v>203</v>
      </c>
      <c r="B64" s="3" t="s">
        <v>204</v>
      </c>
      <c r="C64" s="4" t="s">
        <v>205</v>
      </c>
      <c r="D64" s="5">
        <v>54</v>
      </c>
      <c r="E64" s="5">
        <v>29</v>
      </c>
      <c r="F64" s="5">
        <v>74</v>
      </c>
      <c r="G64" s="5">
        <v>32</v>
      </c>
      <c r="H64" s="6">
        <f t="shared" si="0"/>
        <v>47.25</v>
      </c>
      <c r="I64" s="7" t="str">
        <f t="shared" si="1"/>
        <v>F</v>
      </c>
    </row>
    <row r="65" spans="1:9" x14ac:dyDescent="0.35">
      <c r="A65" s="4" t="s">
        <v>206</v>
      </c>
      <c r="B65" s="3" t="s">
        <v>207</v>
      </c>
      <c r="C65" s="4" t="s">
        <v>208</v>
      </c>
      <c r="D65" s="5">
        <v>40</v>
      </c>
      <c r="E65" s="5">
        <v>32</v>
      </c>
      <c r="F65" s="5">
        <v>45</v>
      </c>
      <c r="G65" s="5">
        <v>37</v>
      </c>
      <c r="H65" s="6">
        <f t="shared" si="0"/>
        <v>38.5</v>
      </c>
      <c r="I65" s="7" t="str">
        <f t="shared" si="1"/>
        <v>F</v>
      </c>
    </row>
    <row r="66" spans="1:9" x14ac:dyDescent="0.35">
      <c r="A66" s="3" t="s">
        <v>209</v>
      </c>
      <c r="B66" s="3" t="s">
        <v>210</v>
      </c>
      <c r="C66" s="4" t="s">
        <v>211</v>
      </c>
      <c r="D66" s="5">
        <v>25</v>
      </c>
      <c r="E66" s="5">
        <v>29</v>
      </c>
      <c r="F66" s="5">
        <v>59</v>
      </c>
      <c r="G66" s="5">
        <v>27</v>
      </c>
      <c r="H66" s="6">
        <f t="shared" si="0"/>
        <v>35</v>
      </c>
      <c r="I66" s="7" t="str">
        <f t="shared" si="1"/>
        <v>F</v>
      </c>
    </row>
    <row r="67" spans="1:9" x14ac:dyDescent="0.35">
      <c r="A67" s="4" t="s">
        <v>212</v>
      </c>
      <c r="B67" s="3" t="s">
        <v>213</v>
      </c>
      <c r="C67" s="4" t="s">
        <v>214</v>
      </c>
      <c r="D67" s="5">
        <v>46</v>
      </c>
      <c r="E67" s="5">
        <v>30</v>
      </c>
      <c r="F67" s="5">
        <v>98</v>
      </c>
      <c r="G67" s="5">
        <v>0</v>
      </c>
      <c r="H67" s="6">
        <f t="shared" si="0"/>
        <v>43.5</v>
      </c>
      <c r="I67" s="7" t="str">
        <f t="shared" si="1"/>
        <v>F</v>
      </c>
    </row>
    <row r="68" spans="1:9" x14ac:dyDescent="0.35">
      <c r="A68" s="4" t="s">
        <v>215</v>
      </c>
      <c r="B68" s="3" t="s">
        <v>216</v>
      </c>
      <c r="C68" s="4" t="s">
        <v>217</v>
      </c>
      <c r="D68" s="5">
        <v>96</v>
      </c>
      <c r="E68" s="5">
        <v>95</v>
      </c>
      <c r="F68" s="5">
        <v>67</v>
      </c>
      <c r="G68" s="5">
        <v>35</v>
      </c>
      <c r="H68" s="6">
        <f t="shared" ref="H68:H97" si="2">AVERAGE(D68:G68)</f>
        <v>73.25</v>
      </c>
      <c r="I68" s="7" t="str">
        <f t="shared" ref="I68:I97" si="3">INDEX($O$11:$O$15,MATCH(H68,$N$11:$N$15,1))</f>
        <v>C</v>
      </c>
    </row>
    <row r="69" spans="1:9" x14ac:dyDescent="0.35">
      <c r="A69" s="4" t="s">
        <v>218</v>
      </c>
      <c r="B69" s="3" t="s">
        <v>219</v>
      </c>
      <c r="C69" s="4" t="s">
        <v>220</v>
      </c>
      <c r="D69" s="5">
        <v>87</v>
      </c>
      <c r="E69" s="5">
        <v>82</v>
      </c>
      <c r="F69" s="5">
        <v>84</v>
      </c>
      <c r="G69" s="5">
        <v>46</v>
      </c>
      <c r="H69" s="6">
        <f t="shared" si="2"/>
        <v>74.75</v>
      </c>
      <c r="I69" s="7" t="str">
        <f t="shared" si="3"/>
        <v>C</v>
      </c>
    </row>
    <row r="70" spans="1:9" x14ac:dyDescent="0.35">
      <c r="A70" s="4" t="s">
        <v>221</v>
      </c>
      <c r="B70" s="3" t="s">
        <v>222</v>
      </c>
      <c r="C70" s="4" t="s">
        <v>223</v>
      </c>
      <c r="D70" s="5">
        <v>93</v>
      </c>
      <c r="E70" s="5">
        <v>93</v>
      </c>
      <c r="F70" s="5">
        <v>74</v>
      </c>
      <c r="G70" s="5">
        <v>47</v>
      </c>
      <c r="H70" s="6">
        <f t="shared" si="2"/>
        <v>76.75</v>
      </c>
      <c r="I70" s="7" t="str">
        <f t="shared" si="3"/>
        <v>C</v>
      </c>
    </row>
    <row r="71" spans="1:9" x14ac:dyDescent="0.35">
      <c r="A71" s="4" t="s">
        <v>224</v>
      </c>
      <c r="B71" s="3" t="s">
        <v>225</v>
      </c>
      <c r="C71" s="4" t="s">
        <v>226</v>
      </c>
      <c r="D71" s="5">
        <v>93</v>
      </c>
      <c r="E71" s="5">
        <v>90</v>
      </c>
      <c r="F71" s="5">
        <v>79</v>
      </c>
      <c r="G71" s="5">
        <v>54</v>
      </c>
      <c r="H71" s="6">
        <f t="shared" si="2"/>
        <v>79</v>
      </c>
      <c r="I71" s="7" t="str">
        <f t="shared" si="3"/>
        <v>C</v>
      </c>
    </row>
    <row r="72" spans="1:9" x14ac:dyDescent="0.35">
      <c r="A72" s="4" t="s">
        <v>227</v>
      </c>
      <c r="B72" s="3" t="s">
        <v>228</v>
      </c>
      <c r="C72" s="4" t="s">
        <v>229</v>
      </c>
      <c r="D72" s="5">
        <v>85</v>
      </c>
      <c r="E72" s="5">
        <v>83</v>
      </c>
      <c r="F72" s="5">
        <v>80</v>
      </c>
      <c r="G72" s="5">
        <v>66</v>
      </c>
      <c r="H72" s="6">
        <f t="shared" si="2"/>
        <v>78.5</v>
      </c>
      <c r="I72" s="7" t="str">
        <f t="shared" si="3"/>
        <v>C</v>
      </c>
    </row>
    <row r="73" spans="1:9" x14ac:dyDescent="0.35">
      <c r="A73" s="4" t="s">
        <v>230</v>
      </c>
      <c r="B73" s="3" t="s">
        <v>231</v>
      </c>
      <c r="C73" s="4" t="s">
        <v>232</v>
      </c>
      <c r="D73" s="5">
        <v>26</v>
      </c>
      <c r="E73" s="5">
        <v>87</v>
      </c>
      <c r="F73" s="5">
        <v>56</v>
      </c>
      <c r="G73" s="5">
        <v>69</v>
      </c>
      <c r="H73" s="6">
        <f t="shared" si="2"/>
        <v>59.5</v>
      </c>
      <c r="I73" s="7" t="str">
        <f t="shared" si="3"/>
        <v>F</v>
      </c>
    </row>
    <row r="74" spans="1:9" x14ac:dyDescent="0.35">
      <c r="A74" s="4" t="s">
        <v>233</v>
      </c>
      <c r="B74" s="3" t="s">
        <v>234</v>
      </c>
      <c r="C74" s="4" t="s">
        <v>235</v>
      </c>
      <c r="D74" s="5">
        <v>59</v>
      </c>
      <c r="E74" s="5">
        <v>83</v>
      </c>
      <c r="F74" s="5">
        <v>68</v>
      </c>
      <c r="G74" s="5">
        <v>69</v>
      </c>
      <c r="H74" s="6">
        <f t="shared" si="2"/>
        <v>69.75</v>
      </c>
      <c r="I74" s="7" t="str">
        <f t="shared" si="3"/>
        <v>D</v>
      </c>
    </row>
    <row r="75" spans="1:9" x14ac:dyDescent="0.35">
      <c r="A75" s="4" t="s">
        <v>203</v>
      </c>
      <c r="B75" s="3" t="s">
        <v>236</v>
      </c>
      <c r="C75" s="4" t="s">
        <v>237</v>
      </c>
      <c r="D75" s="5">
        <v>64</v>
      </c>
      <c r="E75" s="5">
        <v>83</v>
      </c>
      <c r="F75" s="5">
        <v>67</v>
      </c>
      <c r="G75" s="5">
        <v>70</v>
      </c>
      <c r="H75" s="6">
        <f t="shared" si="2"/>
        <v>71</v>
      </c>
      <c r="I75" s="7" t="str">
        <f t="shared" si="3"/>
        <v>C</v>
      </c>
    </row>
    <row r="76" spans="1:9" x14ac:dyDescent="0.35">
      <c r="A76" s="4" t="s">
        <v>238</v>
      </c>
      <c r="B76" s="3" t="s">
        <v>239</v>
      </c>
      <c r="C76" s="4" t="s">
        <v>240</v>
      </c>
      <c r="D76" s="5">
        <v>68</v>
      </c>
      <c r="E76" s="5">
        <v>77</v>
      </c>
      <c r="F76" s="5">
        <v>59</v>
      </c>
      <c r="G76" s="5">
        <v>70</v>
      </c>
      <c r="H76" s="6">
        <f t="shared" si="2"/>
        <v>68.5</v>
      </c>
      <c r="I76" s="7" t="str">
        <f t="shared" si="3"/>
        <v>D</v>
      </c>
    </row>
    <row r="77" spans="1:9" x14ac:dyDescent="0.35">
      <c r="A77" s="4" t="s">
        <v>241</v>
      </c>
      <c r="B77" s="3" t="s">
        <v>242</v>
      </c>
      <c r="C77" s="4" t="s">
        <v>243</v>
      </c>
      <c r="D77" s="5">
        <v>72</v>
      </c>
      <c r="E77" s="5">
        <v>84</v>
      </c>
      <c r="F77" s="5">
        <v>42</v>
      </c>
      <c r="G77" s="5">
        <v>70</v>
      </c>
      <c r="H77" s="6">
        <f t="shared" si="2"/>
        <v>67</v>
      </c>
      <c r="I77" s="7" t="str">
        <f t="shared" si="3"/>
        <v>D</v>
      </c>
    </row>
    <row r="78" spans="1:9" x14ac:dyDescent="0.35">
      <c r="A78" s="4" t="s">
        <v>244</v>
      </c>
      <c r="B78" s="3" t="s">
        <v>245</v>
      </c>
      <c r="C78" s="4" t="s">
        <v>246</v>
      </c>
      <c r="D78" s="5">
        <v>73</v>
      </c>
      <c r="E78" s="5">
        <v>84</v>
      </c>
      <c r="F78" s="5">
        <v>100</v>
      </c>
      <c r="G78" s="5">
        <v>72</v>
      </c>
      <c r="H78" s="6">
        <f t="shared" si="2"/>
        <v>82.25</v>
      </c>
      <c r="I78" s="7" t="str">
        <f t="shared" si="3"/>
        <v>B</v>
      </c>
    </row>
    <row r="79" spans="1:9" x14ac:dyDescent="0.35">
      <c r="A79" s="4" t="s">
        <v>247</v>
      </c>
      <c r="B79" s="3" t="s">
        <v>248</v>
      </c>
      <c r="C79" s="4" t="s">
        <v>249</v>
      </c>
      <c r="D79" s="5">
        <v>74</v>
      </c>
      <c r="E79" s="5">
        <v>74</v>
      </c>
      <c r="F79" s="5">
        <v>71</v>
      </c>
      <c r="G79" s="5">
        <v>73</v>
      </c>
      <c r="H79" s="6">
        <f t="shared" si="2"/>
        <v>73</v>
      </c>
      <c r="I79" s="7" t="str">
        <f t="shared" si="3"/>
        <v>C</v>
      </c>
    </row>
    <row r="80" spans="1:9" x14ac:dyDescent="0.35">
      <c r="A80" s="3" t="s">
        <v>250</v>
      </c>
      <c r="B80" s="3" t="s">
        <v>251</v>
      </c>
      <c r="C80" s="4" t="s">
        <v>252</v>
      </c>
      <c r="D80" s="5">
        <v>75</v>
      </c>
      <c r="E80" s="5">
        <v>81</v>
      </c>
      <c r="F80" s="5">
        <v>72</v>
      </c>
      <c r="G80" s="5">
        <v>73</v>
      </c>
      <c r="H80" s="6">
        <f t="shared" si="2"/>
        <v>75.25</v>
      </c>
      <c r="I80" s="7" t="str">
        <f t="shared" si="3"/>
        <v>C</v>
      </c>
    </row>
    <row r="81" spans="1:9" x14ac:dyDescent="0.35">
      <c r="A81" s="3" t="s">
        <v>253</v>
      </c>
      <c r="B81" s="3" t="s">
        <v>254</v>
      </c>
      <c r="C81" s="4" t="s">
        <v>255</v>
      </c>
      <c r="D81" s="5">
        <v>76</v>
      </c>
      <c r="E81" s="5">
        <v>81</v>
      </c>
      <c r="F81" s="5">
        <v>90</v>
      </c>
      <c r="G81" s="5">
        <v>73</v>
      </c>
      <c r="H81" s="6">
        <f t="shared" si="2"/>
        <v>80</v>
      </c>
      <c r="I81" s="7" t="str">
        <f t="shared" si="3"/>
        <v>B</v>
      </c>
    </row>
    <row r="82" spans="1:9" x14ac:dyDescent="0.35">
      <c r="A82" s="3" t="s">
        <v>256</v>
      </c>
      <c r="B82" s="3" t="s">
        <v>257</v>
      </c>
      <c r="C82" s="4" t="s">
        <v>258</v>
      </c>
      <c r="D82" s="5">
        <v>78</v>
      </c>
      <c r="E82" s="5">
        <v>64</v>
      </c>
      <c r="F82" s="5">
        <v>86</v>
      </c>
      <c r="G82" s="5">
        <v>74</v>
      </c>
      <c r="H82" s="6">
        <f t="shared" si="2"/>
        <v>75.5</v>
      </c>
      <c r="I82" s="7" t="str">
        <f t="shared" si="3"/>
        <v>C</v>
      </c>
    </row>
    <row r="83" spans="1:9" x14ac:dyDescent="0.35">
      <c r="A83" s="4" t="s">
        <v>259</v>
      </c>
      <c r="B83" s="3" t="s">
        <v>260</v>
      </c>
      <c r="C83" s="4" t="s">
        <v>261</v>
      </c>
      <c r="D83" s="5">
        <v>79</v>
      </c>
      <c r="E83" s="5">
        <v>68</v>
      </c>
      <c r="F83" s="5">
        <v>75</v>
      </c>
      <c r="G83" s="5">
        <v>76</v>
      </c>
      <c r="H83" s="6">
        <f t="shared" si="2"/>
        <v>74.5</v>
      </c>
      <c r="I83" s="7" t="str">
        <f t="shared" si="3"/>
        <v>C</v>
      </c>
    </row>
    <row r="84" spans="1:9" x14ac:dyDescent="0.35">
      <c r="A84" s="3" t="s">
        <v>262</v>
      </c>
      <c r="B84" s="3" t="s">
        <v>263</v>
      </c>
      <c r="C84" s="4" t="s">
        <v>264</v>
      </c>
      <c r="D84" s="5">
        <v>81</v>
      </c>
      <c r="E84" s="5">
        <v>78</v>
      </c>
      <c r="F84" s="5">
        <v>83</v>
      </c>
      <c r="G84" s="5">
        <v>77</v>
      </c>
      <c r="H84" s="6">
        <f t="shared" si="2"/>
        <v>79.75</v>
      </c>
      <c r="I84" s="7" t="str">
        <f t="shared" si="3"/>
        <v>C</v>
      </c>
    </row>
    <row r="85" spans="1:9" x14ac:dyDescent="0.35">
      <c r="A85" s="4" t="s">
        <v>265</v>
      </c>
      <c r="B85" s="3" t="s">
        <v>266</v>
      </c>
      <c r="C85" s="4" t="s">
        <v>267</v>
      </c>
      <c r="D85" s="5">
        <v>83</v>
      </c>
      <c r="E85" s="5">
        <v>70</v>
      </c>
      <c r="F85" s="5">
        <v>64</v>
      </c>
      <c r="G85" s="5">
        <v>77</v>
      </c>
      <c r="H85" s="6">
        <f t="shared" si="2"/>
        <v>73.5</v>
      </c>
      <c r="I85" s="7" t="str">
        <f t="shared" si="3"/>
        <v>C</v>
      </c>
    </row>
    <row r="86" spans="1:9" x14ac:dyDescent="0.35">
      <c r="A86" s="4" t="s">
        <v>268</v>
      </c>
      <c r="B86" s="3" t="s">
        <v>269</v>
      </c>
      <c r="C86" s="4" t="s">
        <v>270</v>
      </c>
      <c r="D86" s="5">
        <v>83</v>
      </c>
      <c r="E86" s="5">
        <v>60</v>
      </c>
      <c r="F86" s="5">
        <v>78</v>
      </c>
      <c r="G86" s="5">
        <v>78</v>
      </c>
      <c r="H86" s="6">
        <f t="shared" si="2"/>
        <v>74.75</v>
      </c>
      <c r="I86" s="7" t="str">
        <f t="shared" si="3"/>
        <v>C</v>
      </c>
    </row>
    <row r="87" spans="1:9" x14ac:dyDescent="0.35">
      <c r="A87" s="4" t="s">
        <v>271</v>
      </c>
      <c r="B87" s="3" t="s">
        <v>272</v>
      </c>
      <c r="C87" s="4" t="s">
        <v>273</v>
      </c>
      <c r="D87" s="5">
        <v>83</v>
      </c>
      <c r="E87" s="5">
        <v>85</v>
      </c>
      <c r="F87" s="5">
        <v>97</v>
      </c>
      <c r="G87" s="5">
        <v>80</v>
      </c>
      <c r="H87" s="6">
        <f t="shared" si="2"/>
        <v>86.25</v>
      </c>
      <c r="I87" s="7" t="str">
        <f t="shared" si="3"/>
        <v>B</v>
      </c>
    </row>
    <row r="88" spans="1:9" x14ac:dyDescent="0.35">
      <c r="A88" s="3" t="s">
        <v>274</v>
      </c>
      <c r="B88" s="3" t="s">
        <v>275</v>
      </c>
      <c r="C88" s="4" t="s">
        <v>276</v>
      </c>
      <c r="D88" s="5">
        <v>84</v>
      </c>
      <c r="E88" s="5">
        <v>81</v>
      </c>
      <c r="F88" s="5">
        <v>45</v>
      </c>
      <c r="G88" s="5">
        <v>81</v>
      </c>
      <c r="H88" s="6">
        <f t="shared" si="2"/>
        <v>72.75</v>
      </c>
      <c r="I88" s="7" t="str">
        <f t="shared" si="3"/>
        <v>C</v>
      </c>
    </row>
    <row r="89" spans="1:9" x14ac:dyDescent="0.35">
      <c r="A89" s="3" t="s">
        <v>277</v>
      </c>
      <c r="B89" s="3" t="s">
        <v>278</v>
      </c>
      <c r="C89" s="4" t="s">
        <v>279</v>
      </c>
      <c r="D89" s="5">
        <v>84</v>
      </c>
      <c r="E89" s="5">
        <v>82</v>
      </c>
      <c r="F89" s="5">
        <v>50</v>
      </c>
      <c r="G89" s="5">
        <v>82</v>
      </c>
      <c r="H89" s="6">
        <f t="shared" si="2"/>
        <v>74.5</v>
      </c>
      <c r="I89" s="7" t="str">
        <f t="shared" si="3"/>
        <v>C</v>
      </c>
    </row>
    <row r="90" spans="1:9" x14ac:dyDescent="0.35">
      <c r="A90" s="4" t="s">
        <v>280</v>
      </c>
      <c r="B90" s="3" t="s">
        <v>281</v>
      </c>
      <c r="C90" s="4" t="s">
        <v>282</v>
      </c>
      <c r="D90" s="5">
        <v>85</v>
      </c>
      <c r="E90" s="5">
        <v>79</v>
      </c>
      <c r="F90" s="5">
        <v>94</v>
      </c>
      <c r="G90" s="5">
        <v>82</v>
      </c>
      <c r="H90" s="6">
        <f t="shared" si="2"/>
        <v>85</v>
      </c>
      <c r="I90" s="7" t="str">
        <f t="shared" si="3"/>
        <v>B</v>
      </c>
    </row>
    <row r="91" spans="1:9" x14ac:dyDescent="0.35">
      <c r="A91" s="3" t="s">
        <v>283</v>
      </c>
      <c r="B91" s="3" t="s">
        <v>284</v>
      </c>
      <c r="C91" s="4" t="s">
        <v>285</v>
      </c>
      <c r="D91" s="5">
        <v>85</v>
      </c>
      <c r="E91" s="5">
        <v>69</v>
      </c>
      <c r="F91" s="5">
        <v>56</v>
      </c>
      <c r="G91" s="5">
        <v>83</v>
      </c>
      <c r="H91" s="6">
        <f t="shared" si="2"/>
        <v>73.25</v>
      </c>
      <c r="I91" s="7" t="str">
        <f t="shared" si="3"/>
        <v>C</v>
      </c>
    </row>
    <row r="92" spans="1:9" x14ac:dyDescent="0.35">
      <c r="A92" s="3" t="s">
        <v>286</v>
      </c>
      <c r="B92" s="3" t="s">
        <v>287</v>
      </c>
      <c r="C92" s="4" t="s">
        <v>288</v>
      </c>
      <c r="D92" s="5">
        <v>88</v>
      </c>
      <c r="E92" s="5">
        <v>74</v>
      </c>
      <c r="F92" s="5">
        <v>45</v>
      </c>
      <c r="G92" s="5">
        <v>86</v>
      </c>
      <c r="H92" s="6">
        <f t="shared" si="2"/>
        <v>73.25</v>
      </c>
      <c r="I92" s="7" t="str">
        <f t="shared" si="3"/>
        <v>C</v>
      </c>
    </row>
    <row r="93" spans="1:9" x14ac:dyDescent="0.35">
      <c r="A93" s="4" t="s">
        <v>148</v>
      </c>
      <c r="B93" s="3" t="s">
        <v>289</v>
      </c>
      <c r="C93" s="4" t="s">
        <v>290</v>
      </c>
      <c r="D93" s="5">
        <v>89</v>
      </c>
      <c r="E93" s="5">
        <v>73</v>
      </c>
      <c r="F93" s="5">
        <v>48</v>
      </c>
      <c r="G93" s="5">
        <v>86</v>
      </c>
      <c r="H93" s="6">
        <f t="shared" si="2"/>
        <v>74</v>
      </c>
      <c r="I93" s="7" t="str">
        <f t="shared" si="3"/>
        <v>C</v>
      </c>
    </row>
    <row r="94" spans="1:9" x14ac:dyDescent="0.35">
      <c r="A94" s="4" t="s">
        <v>291</v>
      </c>
      <c r="B94" s="3" t="s">
        <v>292</v>
      </c>
      <c r="C94" s="4" t="s">
        <v>293</v>
      </c>
      <c r="D94" s="5">
        <v>89</v>
      </c>
      <c r="E94" s="5">
        <v>60</v>
      </c>
      <c r="F94" s="5">
        <v>73</v>
      </c>
      <c r="G94" s="5">
        <v>90</v>
      </c>
      <c r="H94" s="6">
        <f t="shared" si="2"/>
        <v>78</v>
      </c>
      <c r="I94" s="7" t="str">
        <f t="shared" si="3"/>
        <v>C</v>
      </c>
    </row>
    <row r="95" spans="1:9" x14ac:dyDescent="0.35">
      <c r="A95" s="4" t="s">
        <v>294</v>
      </c>
      <c r="B95" s="3" t="s">
        <v>295</v>
      </c>
      <c r="C95" s="4" t="s">
        <v>296</v>
      </c>
      <c r="D95" s="5">
        <v>90</v>
      </c>
      <c r="E95" s="5">
        <v>73</v>
      </c>
      <c r="F95" s="5">
        <v>63</v>
      </c>
      <c r="G95" s="5">
        <v>90</v>
      </c>
      <c r="H95" s="6">
        <f t="shared" si="2"/>
        <v>79</v>
      </c>
      <c r="I95" s="7" t="str">
        <f t="shared" si="3"/>
        <v>C</v>
      </c>
    </row>
    <row r="96" spans="1:9" x14ac:dyDescent="0.35">
      <c r="A96" s="4" t="s">
        <v>297</v>
      </c>
      <c r="B96" s="3" t="s">
        <v>298</v>
      </c>
      <c r="C96" s="4" t="s">
        <v>299</v>
      </c>
      <c r="D96" s="5">
        <v>90</v>
      </c>
      <c r="E96" s="5">
        <v>49</v>
      </c>
      <c r="F96" s="5">
        <v>85</v>
      </c>
      <c r="G96" s="5">
        <v>94</v>
      </c>
      <c r="H96" s="6">
        <f t="shared" si="2"/>
        <v>79.5</v>
      </c>
      <c r="I96" s="7" t="str">
        <f t="shared" si="3"/>
        <v>C</v>
      </c>
    </row>
    <row r="97" spans="1:9" x14ac:dyDescent="0.35">
      <c r="A97" s="4" t="s">
        <v>300</v>
      </c>
      <c r="B97" s="3" t="s">
        <v>301</v>
      </c>
      <c r="C97" s="4" t="s">
        <v>302</v>
      </c>
      <c r="D97" s="5">
        <v>90</v>
      </c>
      <c r="E97" s="5">
        <v>23</v>
      </c>
      <c r="F97" s="5">
        <v>99</v>
      </c>
      <c r="G97" s="5">
        <v>98</v>
      </c>
      <c r="H97" s="6">
        <f t="shared" si="2"/>
        <v>77.5</v>
      </c>
      <c r="I97" s="7" t="str">
        <f t="shared" si="3"/>
        <v>C</v>
      </c>
    </row>
  </sheetData>
  <mergeCells count="1">
    <mergeCell ref="N10:O10"/>
  </mergeCells>
  <dataValidations count="3">
    <dataValidation type="list" allowBlank="1" showInputMessage="1" showErrorMessage="1" sqref="K21 K23" xr:uid="{62BCAD96-746C-4685-9B0E-6A9C619732AC}">
      <formula1>$D$2:$H$2</formula1>
    </dataValidation>
    <dataValidation type="list" allowBlank="1" showInputMessage="1" showErrorMessage="1" sqref="T8 L18" xr:uid="{0340AEE6-8928-449D-B5D2-22D02AEB1B02}">
      <formula1>$A$2:$I$2</formula1>
    </dataValidation>
    <dataValidation type="list" allowBlank="1" showInputMessage="1" showErrorMessage="1" sqref="K19" xr:uid="{2620FC7E-D1D8-4D44-9EC7-78088EFFBDA1}">
      <formula1>$C$3:$C$97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C683C-8101-47E7-A205-81B1467440BA}">
  <sheetPr codeName="Sheet2"/>
  <dimension ref="A1:P28"/>
  <sheetViews>
    <sheetView workbookViewId="0">
      <selection activeCell="A2" sqref="A2"/>
    </sheetView>
  </sheetViews>
  <sheetFormatPr defaultColWidth="8.6640625" defaultRowHeight="15.5" x14ac:dyDescent="0.35"/>
  <cols>
    <col min="1" max="1" width="11.4140625" style="37" customWidth="1"/>
    <col min="2" max="2" width="10.9140625" style="23" customWidth="1"/>
    <col min="3" max="3" width="8.5" style="23" customWidth="1"/>
    <col min="4" max="4" width="10" style="23" customWidth="1"/>
    <col min="5" max="5" width="8.9140625" style="23" customWidth="1"/>
    <col min="6" max="6" width="8.6640625" style="37"/>
    <col min="7" max="7" width="8.1640625" style="23" customWidth="1"/>
    <col min="8" max="8" width="9.6640625" style="23" customWidth="1"/>
    <col min="9" max="9" width="13.6640625" style="38" customWidth="1"/>
    <col min="10" max="11" width="8.6640625" style="39"/>
    <col min="12" max="12" width="9.5" style="23" bestFit="1" customWidth="1"/>
    <col min="13" max="15" width="8.6640625" style="23"/>
    <col min="16" max="16" width="17.08203125" style="23" customWidth="1"/>
    <col min="17" max="16384" width="8.6640625" style="23"/>
  </cols>
  <sheetData>
    <row r="1" spans="1:16" x14ac:dyDescent="0.35">
      <c r="A1" s="18" t="s">
        <v>303</v>
      </c>
      <c r="B1" s="19" t="s">
        <v>304</v>
      </c>
      <c r="C1" s="19" t="s">
        <v>305</v>
      </c>
      <c r="D1" s="19" t="s">
        <v>306</v>
      </c>
      <c r="E1" s="19" t="s">
        <v>307</v>
      </c>
      <c r="F1" s="19" t="s">
        <v>308</v>
      </c>
      <c r="G1" s="19" t="s">
        <v>262</v>
      </c>
      <c r="H1" s="20" t="s">
        <v>309</v>
      </c>
      <c r="I1" s="21" t="s">
        <v>310</v>
      </c>
      <c r="J1" s="22" t="s">
        <v>311</v>
      </c>
      <c r="K1" s="22" t="s">
        <v>312</v>
      </c>
    </row>
    <row r="2" spans="1:16" x14ac:dyDescent="0.35">
      <c r="A2" s="24">
        <v>45701</v>
      </c>
      <c r="B2" s="25" t="s">
        <v>313</v>
      </c>
      <c r="C2" s="25" t="s">
        <v>314</v>
      </c>
      <c r="D2" s="25" t="s">
        <v>315</v>
      </c>
      <c r="E2" s="25" t="s">
        <v>316</v>
      </c>
      <c r="F2" s="26">
        <f ca="1">RANDBETWEEN(10,60)</f>
        <v>19</v>
      </c>
      <c r="G2" s="27">
        <v>16</v>
      </c>
      <c r="H2" s="28">
        <f ca="1">G2*F2</f>
        <v>304</v>
      </c>
      <c r="I2" s="21">
        <f ca="1">IF(H2&gt;=800,H2*3%,H2*2%)</f>
        <v>6.08</v>
      </c>
      <c r="J2" s="22" t="str">
        <f ca="1">IF(AND(C2=$C$2,H2&gt;=400),"Yes","-")</f>
        <v>-</v>
      </c>
      <c r="K2" s="22" t="str">
        <f ca="1">IF(OR(C2=$C$2,H2&gt;=400),"Yes","-")</f>
        <v>Yes</v>
      </c>
      <c r="L2" s="29"/>
      <c r="N2" s="23" t="s">
        <v>317</v>
      </c>
    </row>
    <row r="3" spans="1:16" x14ac:dyDescent="0.35">
      <c r="A3" s="24">
        <v>45701</v>
      </c>
      <c r="B3" s="25" t="s">
        <v>318</v>
      </c>
      <c r="C3" s="25" t="s">
        <v>319</v>
      </c>
      <c r="D3" s="25" t="s">
        <v>320</v>
      </c>
      <c r="E3" s="25" t="s">
        <v>321</v>
      </c>
      <c r="F3" s="26">
        <f t="shared" ref="F3:F28" ca="1" si="0">RANDBETWEEN(10,60)</f>
        <v>44</v>
      </c>
      <c r="G3" s="27">
        <v>12</v>
      </c>
      <c r="H3" s="28">
        <f t="shared" ref="H3:H28" ca="1" si="1">G3*F3</f>
        <v>528</v>
      </c>
      <c r="I3" s="21">
        <f t="shared" ref="I3:I28" ca="1" si="2">IF(H3&gt;=800,H3*3%,H3*2%)</f>
        <v>10.56</v>
      </c>
      <c r="J3" s="22" t="str">
        <f t="shared" ref="J3:J28" ca="1" si="3">IF(AND(C3=$C$2,H3&gt;=400),"Yes","-")</f>
        <v>-</v>
      </c>
      <c r="K3" s="22" t="str">
        <f t="shared" ref="K3:K28" ca="1" si="4">IF(OR(C3=$C$2,H3&gt;=400),"Yes","-")</f>
        <v>Yes</v>
      </c>
      <c r="L3" s="29"/>
    </row>
    <row r="4" spans="1:16" x14ac:dyDescent="0.35">
      <c r="A4" s="24">
        <v>45701</v>
      </c>
      <c r="B4" s="25" t="s">
        <v>322</v>
      </c>
      <c r="C4" s="25" t="s">
        <v>323</v>
      </c>
      <c r="D4" s="25" t="s">
        <v>324</v>
      </c>
      <c r="E4" s="25" t="s">
        <v>325</v>
      </c>
      <c r="F4" s="26">
        <f t="shared" ca="1" si="0"/>
        <v>48</v>
      </c>
      <c r="G4" s="27">
        <v>20</v>
      </c>
      <c r="H4" s="28">
        <f t="shared" ca="1" si="1"/>
        <v>960</v>
      </c>
      <c r="I4" s="21">
        <f t="shared" ca="1" si="2"/>
        <v>28.799999999999997</v>
      </c>
      <c r="J4" s="22" t="str">
        <f t="shared" ca="1" si="3"/>
        <v>-</v>
      </c>
      <c r="K4" s="22" t="str">
        <f t="shared" ca="1" si="4"/>
        <v>Yes</v>
      </c>
      <c r="L4" s="29"/>
      <c r="M4" s="22" t="s">
        <v>311</v>
      </c>
      <c r="N4" s="30" t="s">
        <v>326</v>
      </c>
      <c r="O4" s="30"/>
      <c r="P4" s="31"/>
    </row>
    <row r="5" spans="1:16" ht="16" x14ac:dyDescent="0.4">
      <c r="A5" s="24">
        <v>45701</v>
      </c>
      <c r="B5" s="25" t="s">
        <v>327</v>
      </c>
      <c r="C5" s="25" t="s">
        <v>323</v>
      </c>
      <c r="D5" s="25" t="s">
        <v>328</v>
      </c>
      <c r="E5" s="25" t="s">
        <v>329</v>
      </c>
      <c r="F5" s="26">
        <f t="shared" ca="1" si="0"/>
        <v>13</v>
      </c>
      <c r="G5" s="27">
        <v>18</v>
      </c>
      <c r="H5" s="28">
        <f t="shared" ca="1" si="1"/>
        <v>234</v>
      </c>
      <c r="I5" s="21">
        <f t="shared" ca="1" si="2"/>
        <v>4.68</v>
      </c>
      <c r="J5" s="22" t="str">
        <f t="shared" ca="1" si="3"/>
        <v>-</v>
      </c>
      <c r="K5" s="22" t="str">
        <f t="shared" ca="1" si="4"/>
        <v>-</v>
      </c>
      <c r="L5" s="29"/>
      <c r="M5" s="22" t="s">
        <v>312</v>
      </c>
      <c r="N5" s="30" t="s">
        <v>330</v>
      </c>
      <c r="O5" s="30"/>
      <c r="P5" s="31"/>
    </row>
    <row r="6" spans="1:16" x14ac:dyDescent="0.35">
      <c r="A6" s="24">
        <v>45701</v>
      </c>
      <c r="B6" s="25" t="s">
        <v>322</v>
      </c>
      <c r="C6" s="25" t="s">
        <v>323</v>
      </c>
      <c r="D6" s="25" t="s">
        <v>320</v>
      </c>
      <c r="E6" s="25" t="s">
        <v>331</v>
      </c>
      <c r="F6" s="26">
        <f t="shared" ca="1" si="0"/>
        <v>13</v>
      </c>
      <c r="G6" s="27">
        <v>7</v>
      </c>
      <c r="H6" s="28">
        <f t="shared" ca="1" si="1"/>
        <v>91</v>
      </c>
      <c r="I6" s="21">
        <f t="shared" ca="1" si="2"/>
        <v>1.82</v>
      </c>
      <c r="J6" s="22" t="str">
        <f t="shared" ca="1" si="3"/>
        <v>-</v>
      </c>
      <c r="K6" s="22" t="str">
        <f t="shared" ca="1" si="4"/>
        <v>-</v>
      </c>
      <c r="L6" s="29"/>
    </row>
    <row r="7" spans="1:16" x14ac:dyDescent="0.35">
      <c r="A7" s="24">
        <v>45701</v>
      </c>
      <c r="B7" s="25" t="s">
        <v>313</v>
      </c>
      <c r="C7" s="25" t="s">
        <v>332</v>
      </c>
      <c r="D7" s="25" t="s">
        <v>333</v>
      </c>
      <c r="E7" s="25" t="s">
        <v>334</v>
      </c>
      <c r="F7" s="26">
        <f t="shared" ca="1" si="0"/>
        <v>60</v>
      </c>
      <c r="G7" s="27">
        <v>7</v>
      </c>
      <c r="H7" s="28">
        <f t="shared" ca="1" si="1"/>
        <v>420</v>
      </c>
      <c r="I7" s="21">
        <f t="shared" ca="1" si="2"/>
        <v>8.4</v>
      </c>
      <c r="J7" s="22" t="str">
        <f t="shared" ca="1" si="3"/>
        <v>-</v>
      </c>
      <c r="K7" s="22" t="str">
        <f t="shared" ca="1" si="4"/>
        <v>Yes</v>
      </c>
      <c r="L7" s="29"/>
    </row>
    <row r="8" spans="1:16" x14ac:dyDescent="0.35">
      <c r="A8" s="24">
        <v>45702</v>
      </c>
      <c r="B8" s="25" t="s">
        <v>313</v>
      </c>
      <c r="C8" s="25" t="s">
        <v>314</v>
      </c>
      <c r="D8" s="25" t="s">
        <v>315</v>
      </c>
      <c r="E8" s="25" t="s">
        <v>335</v>
      </c>
      <c r="F8" s="26">
        <f t="shared" ca="1" si="0"/>
        <v>31</v>
      </c>
      <c r="G8" s="27">
        <v>12</v>
      </c>
      <c r="H8" s="28">
        <f t="shared" ca="1" si="1"/>
        <v>372</v>
      </c>
      <c r="I8" s="21">
        <f t="shared" ca="1" si="2"/>
        <v>7.44</v>
      </c>
      <c r="J8" s="22" t="str">
        <f t="shared" ca="1" si="3"/>
        <v>-</v>
      </c>
      <c r="K8" s="22" t="str">
        <f t="shared" ca="1" si="4"/>
        <v>Yes</v>
      </c>
      <c r="L8" s="29"/>
    </row>
    <row r="9" spans="1:16" x14ac:dyDescent="0.35">
      <c r="A9" s="24">
        <v>45702</v>
      </c>
      <c r="B9" s="25" t="s">
        <v>336</v>
      </c>
      <c r="C9" s="25" t="s">
        <v>319</v>
      </c>
      <c r="D9" s="25" t="s">
        <v>328</v>
      </c>
      <c r="E9" s="25" t="s">
        <v>337</v>
      </c>
      <c r="F9" s="26">
        <f t="shared" ca="1" si="0"/>
        <v>14</v>
      </c>
      <c r="G9" s="27">
        <v>14</v>
      </c>
      <c r="H9" s="28">
        <f t="shared" ca="1" si="1"/>
        <v>196</v>
      </c>
      <c r="I9" s="21">
        <f t="shared" ca="1" si="2"/>
        <v>3.92</v>
      </c>
      <c r="J9" s="22" t="str">
        <f t="shared" ca="1" si="3"/>
        <v>-</v>
      </c>
      <c r="K9" s="22" t="str">
        <f t="shared" ca="1" si="4"/>
        <v>-</v>
      </c>
      <c r="L9" s="29"/>
      <c r="M9" s="32"/>
      <c r="N9" s="32"/>
    </row>
    <row r="10" spans="1:16" x14ac:dyDescent="0.35">
      <c r="A10" s="24">
        <v>45702</v>
      </c>
      <c r="B10" s="25" t="s">
        <v>318</v>
      </c>
      <c r="C10" s="25" t="s">
        <v>314</v>
      </c>
      <c r="D10" s="25" t="s">
        <v>338</v>
      </c>
      <c r="E10" s="25" t="s">
        <v>339</v>
      </c>
      <c r="F10" s="26">
        <f t="shared" ca="1" si="0"/>
        <v>32</v>
      </c>
      <c r="G10" s="27">
        <v>9</v>
      </c>
      <c r="H10" s="28">
        <f t="shared" ca="1" si="1"/>
        <v>288</v>
      </c>
      <c r="I10" s="21">
        <f t="shared" ca="1" si="2"/>
        <v>5.76</v>
      </c>
      <c r="J10" s="22" t="str">
        <f t="shared" ca="1" si="3"/>
        <v>-</v>
      </c>
      <c r="K10" s="22" t="str">
        <f t="shared" ca="1" si="4"/>
        <v>Yes</v>
      </c>
      <c r="L10" s="29"/>
      <c r="M10" s="33"/>
      <c r="N10" s="33"/>
    </row>
    <row r="11" spans="1:16" x14ac:dyDescent="0.35">
      <c r="A11" s="24">
        <v>45702</v>
      </c>
      <c r="B11" s="25" t="s">
        <v>313</v>
      </c>
      <c r="C11" s="25" t="s">
        <v>332</v>
      </c>
      <c r="D11" s="25" t="s">
        <v>324</v>
      </c>
      <c r="E11" s="25" t="s">
        <v>340</v>
      </c>
      <c r="F11" s="26">
        <f t="shared" ca="1" si="0"/>
        <v>15</v>
      </c>
      <c r="G11" s="27">
        <v>9</v>
      </c>
      <c r="H11" s="28">
        <f t="shared" ca="1" si="1"/>
        <v>135</v>
      </c>
      <c r="I11" s="21">
        <f t="shared" ca="1" si="2"/>
        <v>2.7</v>
      </c>
      <c r="J11" s="22" t="str">
        <f t="shared" ca="1" si="3"/>
        <v>-</v>
      </c>
      <c r="K11" s="22" t="str">
        <f t="shared" ca="1" si="4"/>
        <v>-</v>
      </c>
      <c r="L11" s="29"/>
      <c r="M11" s="33"/>
      <c r="N11" s="33"/>
    </row>
    <row r="12" spans="1:16" x14ac:dyDescent="0.35">
      <c r="A12" s="24">
        <v>45702</v>
      </c>
      <c r="B12" s="25" t="s">
        <v>327</v>
      </c>
      <c r="C12" s="25" t="s">
        <v>314</v>
      </c>
      <c r="D12" s="25" t="s">
        <v>333</v>
      </c>
      <c r="E12" s="25" t="s">
        <v>341</v>
      </c>
      <c r="F12" s="26">
        <f t="shared" ca="1" si="0"/>
        <v>57</v>
      </c>
      <c r="G12" s="27">
        <v>12</v>
      </c>
      <c r="H12" s="28">
        <f t="shared" ca="1" si="1"/>
        <v>684</v>
      </c>
      <c r="I12" s="21">
        <f t="shared" ca="1" si="2"/>
        <v>13.68</v>
      </c>
      <c r="J12" s="22" t="str">
        <f t="shared" ca="1" si="3"/>
        <v>Yes</v>
      </c>
      <c r="K12" s="22" t="str">
        <f t="shared" ca="1" si="4"/>
        <v>Yes</v>
      </c>
      <c r="L12" s="29"/>
      <c r="M12" s="33"/>
      <c r="N12" s="33"/>
    </row>
    <row r="13" spans="1:16" x14ac:dyDescent="0.35">
      <c r="A13" s="24">
        <v>45703</v>
      </c>
      <c r="B13" s="25" t="s">
        <v>318</v>
      </c>
      <c r="C13" s="25" t="s">
        <v>319</v>
      </c>
      <c r="D13" s="25" t="s">
        <v>320</v>
      </c>
      <c r="E13" s="25" t="s">
        <v>316</v>
      </c>
      <c r="F13" s="26">
        <f t="shared" ca="1" si="0"/>
        <v>12</v>
      </c>
      <c r="G13" s="27">
        <v>10</v>
      </c>
      <c r="H13" s="28">
        <f t="shared" ca="1" si="1"/>
        <v>120</v>
      </c>
      <c r="I13" s="21">
        <f t="shared" ca="1" si="2"/>
        <v>2.4</v>
      </c>
      <c r="J13" s="22" t="str">
        <f t="shared" ca="1" si="3"/>
        <v>-</v>
      </c>
      <c r="K13" s="22" t="str">
        <f t="shared" ca="1" si="4"/>
        <v>-</v>
      </c>
      <c r="L13" s="29"/>
      <c r="M13" s="34"/>
      <c r="N13" s="34"/>
    </row>
    <row r="14" spans="1:16" x14ac:dyDescent="0.35">
      <c r="A14" s="24">
        <v>45703</v>
      </c>
      <c r="B14" s="25" t="s">
        <v>322</v>
      </c>
      <c r="C14" s="25" t="s">
        <v>314</v>
      </c>
      <c r="D14" s="25" t="s">
        <v>320</v>
      </c>
      <c r="E14" s="25" t="s">
        <v>342</v>
      </c>
      <c r="F14" s="26">
        <f t="shared" ca="1" si="0"/>
        <v>39</v>
      </c>
      <c r="G14" s="27">
        <v>14</v>
      </c>
      <c r="H14" s="28">
        <f t="shared" ca="1" si="1"/>
        <v>546</v>
      </c>
      <c r="I14" s="21">
        <f t="shared" ca="1" si="2"/>
        <v>10.92</v>
      </c>
      <c r="J14" s="22" t="str">
        <f t="shared" ca="1" si="3"/>
        <v>Yes</v>
      </c>
      <c r="K14" s="22" t="str">
        <f t="shared" ca="1" si="4"/>
        <v>Yes</v>
      </c>
      <c r="L14" s="29"/>
    </row>
    <row r="15" spans="1:16" x14ac:dyDescent="0.35">
      <c r="A15" s="24">
        <v>45704</v>
      </c>
      <c r="B15" s="25" t="s">
        <v>327</v>
      </c>
      <c r="C15" s="25" t="s">
        <v>319</v>
      </c>
      <c r="D15" s="25" t="s">
        <v>328</v>
      </c>
      <c r="E15" s="25" t="s">
        <v>343</v>
      </c>
      <c r="F15" s="26">
        <f t="shared" ca="1" si="0"/>
        <v>52</v>
      </c>
      <c r="G15" s="27">
        <v>17</v>
      </c>
      <c r="H15" s="28">
        <f t="shared" ca="1" si="1"/>
        <v>884</v>
      </c>
      <c r="I15" s="21">
        <f t="shared" ca="1" si="2"/>
        <v>26.52</v>
      </c>
      <c r="J15" s="22" t="str">
        <f t="shared" ca="1" si="3"/>
        <v>-</v>
      </c>
      <c r="K15" s="22" t="str">
        <f t="shared" ca="1" si="4"/>
        <v>Yes</v>
      </c>
      <c r="L15" s="29"/>
    </row>
    <row r="16" spans="1:16" x14ac:dyDescent="0.35">
      <c r="A16" s="24">
        <v>45704</v>
      </c>
      <c r="B16" s="25" t="s">
        <v>322</v>
      </c>
      <c r="C16" s="25" t="s">
        <v>314</v>
      </c>
      <c r="D16" s="25" t="s">
        <v>333</v>
      </c>
      <c r="E16" s="25" t="s">
        <v>344</v>
      </c>
      <c r="F16" s="26">
        <f t="shared" ca="1" si="0"/>
        <v>22</v>
      </c>
      <c r="G16" s="27">
        <v>19</v>
      </c>
      <c r="H16" s="28">
        <f t="shared" ca="1" si="1"/>
        <v>418</v>
      </c>
      <c r="I16" s="21">
        <f t="shared" ca="1" si="2"/>
        <v>8.36</v>
      </c>
      <c r="J16" s="22" t="str">
        <f t="shared" ca="1" si="3"/>
        <v>Yes</v>
      </c>
      <c r="K16" s="22" t="str">
        <f t="shared" ca="1" si="4"/>
        <v>Yes</v>
      </c>
      <c r="L16" s="29"/>
    </row>
    <row r="17" spans="1:12" x14ac:dyDescent="0.35">
      <c r="A17" s="24">
        <v>45704</v>
      </c>
      <c r="B17" s="25" t="s">
        <v>336</v>
      </c>
      <c r="C17" s="25" t="s">
        <v>319</v>
      </c>
      <c r="D17" s="25" t="s">
        <v>320</v>
      </c>
      <c r="E17" s="25" t="s">
        <v>345</v>
      </c>
      <c r="F17" s="26">
        <f t="shared" ca="1" si="0"/>
        <v>35</v>
      </c>
      <c r="G17" s="27">
        <v>6</v>
      </c>
      <c r="H17" s="28">
        <f t="shared" ca="1" si="1"/>
        <v>210</v>
      </c>
      <c r="I17" s="21">
        <f t="shared" ca="1" si="2"/>
        <v>4.2</v>
      </c>
      <c r="J17" s="22" t="str">
        <f t="shared" ca="1" si="3"/>
        <v>-</v>
      </c>
      <c r="K17" s="22" t="str">
        <f t="shared" ca="1" si="4"/>
        <v>-</v>
      </c>
      <c r="L17" s="29"/>
    </row>
    <row r="18" spans="1:12" x14ac:dyDescent="0.35">
      <c r="A18" s="24">
        <v>45704</v>
      </c>
      <c r="B18" s="25" t="s">
        <v>336</v>
      </c>
      <c r="C18" s="25" t="s">
        <v>332</v>
      </c>
      <c r="D18" s="25" t="s">
        <v>315</v>
      </c>
      <c r="E18" s="25" t="s">
        <v>341</v>
      </c>
      <c r="F18" s="26">
        <f t="shared" ca="1" si="0"/>
        <v>42</v>
      </c>
      <c r="G18" s="27">
        <v>6</v>
      </c>
      <c r="H18" s="28">
        <f t="shared" ca="1" si="1"/>
        <v>252</v>
      </c>
      <c r="I18" s="21">
        <f t="shared" ca="1" si="2"/>
        <v>5.04</v>
      </c>
      <c r="J18" s="22" t="str">
        <f t="shared" ca="1" si="3"/>
        <v>-</v>
      </c>
      <c r="K18" s="22" t="str">
        <f t="shared" ca="1" si="4"/>
        <v>-</v>
      </c>
      <c r="L18" s="29"/>
    </row>
    <row r="19" spans="1:12" x14ac:dyDescent="0.35">
      <c r="A19" s="24">
        <v>45705</v>
      </c>
      <c r="B19" s="25" t="s">
        <v>318</v>
      </c>
      <c r="C19" s="25" t="s">
        <v>323</v>
      </c>
      <c r="D19" s="25" t="s">
        <v>333</v>
      </c>
      <c r="E19" s="25" t="s">
        <v>346</v>
      </c>
      <c r="F19" s="26">
        <f t="shared" ca="1" si="0"/>
        <v>13</v>
      </c>
      <c r="G19" s="27">
        <v>23</v>
      </c>
      <c r="H19" s="28">
        <f t="shared" ca="1" si="1"/>
        <v>299</v>
      </c>
      <c r="I19" s="21">
        <f t="shared" ca="1" si="2"/>
        <v>5.98</v>
      </c>
      <c r="J19" s="22" t="str">
        <f t="shared" ca="1" si="3"/>
        <v>-</v>
      </c>
      <c r="K19" s="22" t="str">
        <f t="shared" ca="1" si="4"/>
        <v>-</v>
      </c>
      <c r="L19" s="29"/>
    </row>
    <row r="20" spans="1:12" x14ac:dyDescent="0.35">
      <c r="A20" s="24">
        <v>45705</v>
      </c>
      <c r="B20" s="25" t="s">
        <v>336</v>
      </c>
      <c r="C20" s="25" t="s">
        <v>323</v>
      </c>
      <c r="D20" s="25" t="s">
        <v>315</v>
      </c>
      <c r="E20" s="25" t="s">
        <v>347</v>
      </c>
      <c r="F20" s="26">
        <f t="shared" ca="1" si="0"/>
        <v>12</v>
      </c>
      <c r="G20" s="27">
        <v>22</v>
      </c>
      <c r="H20" s="28">
        <f t="shared" ca="1" si="1"/>
        <v>264</v>
      </c>
      <c r="I20" s="21">
        <f t="shared" ca="1" si="2"/>
        <v>5.28</v>
      </c>
      <c r="J20" s="22" t="str">
        <f t="shared" ca="1" si="3"/>
        <v>-</v>
      </c>
      <c r="K20" s="22" t="str">
        <f t="shared" ca="1" si="4"/>
        <v>-</v>
      </c>
      <c r="L20" s="29"/>
    </row>
    <row r="21" spans="1:12" x14ac:dyDescent="0.35">
      <c r="A21" s="24">
        <v>45705</v>
      </c>
      <c r="B21" s="25" t="s">
        <v>327</v>
      </c>
      <c r="C21" s="25" t="s">
        <v>332</v>
      </c>
      <c r="D21" s="25" t="s">
        <v>320</v>
      </c>
      <c r="E21" s="25" t="s">
        <v>348</v>
      </c>
      <c r="F21" s="26">
        <f t="shared" ca="1" si="0"/>
        <v>35</v>
      </c>
      <c r="G21" s="27">
        <v>17</v>
      </c>
      <c r="H21" s="28">
        <f t="shared" ca="1" si="1"/>
        <v>595</v>
      </c>
      <c r="I21" s="21">
        <f t="shared" ca="1" si="2"/>
        <v>11.9</v>
      </c>
      <c r="J21" s="22" t="str">
        <f t="shared" ca="1" si="3"/>
        <v>-</v>
      </c>
      <c r="K21" s="22" t="str">
        <f t="shared" ca="1" si="4"/>
        <v>Yes</v>
      </c>
      <c r="L21" s="29"/>
    </row>
    <row r="22" spans="1:12" x14ac:dyDescent="0.35">
      <c r="A22" s="24">
        <v>45705</v>
      </c>
      <c r="B22" s="25" t="s">
        <v>322</v>
      </c>
      <c r="C22" s="25" t="s">
        <v>314</v>
      </c>
      <c r="D22" s="25" t="s">
        <v>315</v>
      </c>
      <c r="E22" s="25" t="s">
        <v>341</v>
      </c>
      <c r="F22" s="26">
        <f t="shared" ca="1" si="0"/>
        <v>15</v>
      </c>
      <c r="G22" s="27">
        <v>13</v>
      </c>
      <c r="H22" s="28">
        <f t="shared" ca="1" si="1"/>
        <v>195</v>
      </c>
      <c r="I22" s="21">
        <f t="shared" ca="1" si="2"/>
        <v>3.9</v>
      </c>
      <c r="J22" s="22" t="str">
        <f t="shared" ca="1" si="3"/>
        <v>-</v>
      </c>
      <c r="K22" s="22" t="str">
        <f t="shared" ca="1" si="4"/>
        <v>Yes</v>
      </c>
      <c r="L22" s="29"/>
    </row>
    <row r="23" spans="1:12" x14ac:dyDescent="0.35">
      <c r="A23" s="24">
        <v>45705</v>
      </c>
      <c r="B23" s="25" t="s">
        <v>318</v>
      </c>
      <c r="C23" s="25" t="s">
        <v>314</v>
      </c>
      <c r="D23" s="25" t="s">
        <v>338</v>
      </c>
      <c r="E23" s="25" t="s">
        <v>341</v>
      </c>
      <c r="F23" s="26">
        <f t="shared" ca="1" si="0"/>
        <v>28</v>
      </c>
      <c r="G23" s="27">
        <v>12</v>
      </c>
      <c r="H23" s="28">
        <f t="shared" ca="1" si="1"/>
        <v>336</v>
      </c>
      <c r="I23" s="21">
        <f t="shared" ca="1" si="2"/>
        <v>6.72</v>
      </c>
      <c r="J23" s="22" t="str">
        <f t="shared" ca="1" si="3"/>
        <v>-</v>
      </c>
      <c r="K23" s="22" t="str">
        <f t="shared" ca="1" si="4"/>
        <v>Yes</v>
      </c>
      <c r="L23" s="29"/>
    </row>
    <row r="24" spans="1:12" x14ac:dyDescent="0.35">
      <c r="A24" s="24">
        <v>45706</v>
      </c>
      <c r="B24" s="25" t="s">
        <v>336</v>
      </c>
      <c r="C24" s="25" t="s">
        <v>314</v>
      </c>
      <c r="D24" s="25" t="s">
        <v>333</v>
      </c>
      <c r="E24" s="25" t="s">
        <v>343</v>
      </c>
      <c r="F24" s="26">
        <f t="shared" ca="1" si="0"/>
        <v>59</v>
      </c>
      <c r="G24" s="27">
        <v>14</v>
      </c>
      <c r="H24" s="28">
        <f t="shared" ca="1" si="1"/>
        <v>826</v>
      </c>
      <c r="I24" s="21">
        <f t="shared" ca="1" si="2"/>
        <v>24.779999999999998</v>
      </c>
      <c r="J24" s="22" t="str">
        <f t="shared" ca="1" si="3"/>
        <v>Yes</v>
      </c>
      <c r="K24" s="22" t="str">
        <f t="shared" ca="1" si="4"/>
        <v>Yes</v>
      </c>
      <c r="L24" s="29"/>
    </row>
    <row r="25" spans="1:12" x14ac:dyDescent="0.35">
      <c r="A25" s="24">
        <v>45706</v>
      </c>
      <c r="B25" s="25" t="s">
        <v>313</v>
      </c>
      <c r="C25" s="25" t="s">
        <v>314</v>
      </c>
      <c r="D25" s="25" t="s">
        <v>315</v>
      </c>
      <c r="E25" s="25" t="s">
        <v>347</v>
      </c>
      <c r="F25" s="26">
        <f t="shared" ca="1" si="0"/>
        <v>19</v>
      </c>
      <c r="G25" s="27">
        <v>13</v>
      </c>
      <c r="H25" s="28">
        <f t="shared" ca="1" si="1"/>
        <v>247</v>
      </c>
      <c r="I25" s="21">
        <f t="shared" ca="1" si="2"/>
        <v>4.9400000000000004</v>
      </c>
      <c r="J25" s="22" t="str">
        <f t="shared" ca="1" si="3"/>
        <v>-</v>
      </c>
      <c r="K25" s="22" t="str">
        <f t="shared" ca="1" si="4"/>
        <v>Yes</v>
      </c>
      <c r="L25" s="29"/>
    </row>
    <row r="26" spans="1:12" x14ac:dyDescent="0.35">
      <c r="A26" s="24">
        <v>45706</v>
      </c>
      <c r="B26" s="25" t="s">
        <v>327</v>
      </c>
      <c r="C26" s="25" t="s">
        <v>332</v>
      </c>
      <c r="D26" s="25" t="s">
        <v>333</v>
      </c>
      <c r="E26" s="25" t="s">
        <v>349</v>
      </c>
      <c r="F26" s="26">
        <f t="shared" ca="1" si="0"/>
        <v>42</v>
      </c>
      <c r="G26" s="27">
        <v>10</v>
      </c>
      <c r="H26" s="28">
        <f t="shared" ca="1" si="1"/>
        <v>420</v>
      </c>
      <c r="I26" s="21">
        <f t="shared" ca="1" si="2"/>
        <v>8.4</v>
      </c>
      <c r="J26" s="22" t="str">
        <f t="shared" ca="1" si="3"/>
        <v>-</v>
      </c>
      <c r="K26" s="22" t="str">
        <f t="shared" ca="1" si="4"/>
        <v>Yes</v>
      </c>
      <c r="L26" s="29"/>
    </row>
    <row r="27" spans="1:12" x14ac:dyDescent="0.35">
      <c r="A27" s="24">
        <v>45707</v>
      </c>
      <c r="B27" s="25" t="s">
        <v>327</v>
      </c>
      <c r="C27" s="25" t="s">
        <v>332</v>
      </c>
      <c r="D27" s="25" t="s">
        <v>328</v>
      </c>
      <c r="E27" s="25" t="s">
        <v>350</v>
      </c>
      <c r="F27" s="26">
        <f t="shared" ca="1" si="0"/>
        <v>22</v>
      </c>
      <c r="G27" s="27">
        <v>19</v>
      </c>
      <c r="H27" s="28">
        <f t="shared" ca="1" si="1"/>
        <v>418</v>
      </c>
      <c r="I27" s="21">
        <f t="shared" ca="1" si="2"/>
        <v>8.36</v>
      </c>
      <c r="J27" s="22" t="str">
        <f t="shared" ca="1" si="3"/>
        <v>-</v>
      </c>
      <c r="K27" s="22" t="str">
        <f t="shared" ca="1" si="4"/>
        <v>Yes</v>
      </c>
      <c r="L27" s="29"/>
    </row>
    <row r="28" spans="1:12" x14ac:dyDescent="0.35">
      <c r="A28" s="24">
        <v>45707</v>
      </c>
      <c r="B28" s="25" t="s">
        <v>313</v>
      </c>
      <c r="C28" s="35" t="s">
        <v>314</v>
      </c>
      <c r="D28" s="35" t="s">
        <v>315</v>
      </c>
      <c r="E28" s="35" t="s">
        <v>343</v>
      </c>
      <c r="F28" s="26">
        <f t="shared" ca="1" si="0"/>
        <v>22</v>
      </c>
      <c r="G28" s="36">
        <v>12</v>
      </c>
      <c r="H28" s="28">
        <f t="shared" ca="1" si="1"/>
        <v>264</v>
      </c>
      <c r="I28" s="21">
        <f t="shared" ca="1" si="2"/>
        <v>5.28</v>
      </c>
      <c r="J28" s="22" t="str">
        <f t="shared" ca="1" si="3"/>
        <v>-</v>
      </c>
      <c r="K28" s="22" t="str">
        <f t="shared" ca="1" si="4"/>
        <v>Yes</v>
      </c>
      <c r="L28" s="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93527-4B84-4B71-9DD0-2EE8F10B911D}">
  <sheetPr codeName="Sheet3"/>
  <dimension ref="A1:P97"/>
  <sheetViews>
    <sheetView workbookViewId="0">
      <selection sqref="A1:A2"/>
    </sheetView>
  </sheetViews>
  <sheetFormatPr defaultColWidth="9" defaultRowHeight="15.5" x14ac:dyDescent="0.35"/>
  <cols>
    <col min="1" max="2" width="12.1640625" style="2" customWidth="1"/>
    <col min="3" max="3" width="7.6640625" style="2" customWidth="1"/>
    <col min="4" max="9" width="7.5" style="2" customWidth="1"/>
    <col min="10" max="10" width="9" style="16"/>
    <col min="11" max="11" width="10.4140625" style="2" customWidth="1"/>
    <col min="12" max="13" width="13.6640625" style="2" customWidth="1"/>
    <col min="14" max="14" width="9" style="2"/>
    <col min="15" max="15" width="5.08203125" style="2" customWidth="1"/>
    <col min="16" max="16" width="16.1640625" style="2" bestFit="1" customWidth="1"/>
    <col min="17" max="16384" width="9" style="2"/>
  </cols>
  <sheetData>
    <row r="1" spans="1:16" x14ac:dyDescent="0.35">
      <c r="A1" s="40" t="s">
        <v>0</v>
      </c>
      <c r="B1" s="40" t="s">
        <v>1</v>
      </c>
      <c r="C1" s="40" t="s">
        <v>2</v>
      </c>
      <c r="D1" s="40" t="s">
        <v>3</v>
      </c>
      <c r="E1" s="40" t="s">
        <v>4</v>
      </c>
      <c r="F1" s="40" t="s">
        <v>5</v>
      </c>
      <c r="G1" s="40" t="s">
        <v>6</v>
      </c>
      <c r="H1" s="40" t="s">
        <v>351</v>
      </c>
      <c r="I1" s="40" t="s">
        <v>352</v>
      </c>
      <c r="J1" s="40" t="s">
        <v>7</v>
      </c>
      <c r="K1" s="40" t="s">
        <v>8</v>
      </c>
      <c r="L1" s="40" t="s">
        <v>353</v>
      </c>
      <c r="M1" s="41"/>
    </row>
    <row r="2" spans="1:16" x14ac:dyDescent="0.35">
      <c r="A2" s="42"/>
      <c r="B2" s="42"/>
      <c r="C2" s="42"/>
      <c r="D2" s="42"/>
      <c r="E2" s="42"/>
      <c r="F2" s="42"/>
      <c r="G2" s="42"/>
      <c r="H2" s="42"/>
      <c r="I2" s="42"/>
      <c r="J2" s="42"/>
      <c r="K2" s="42"/>
      <c r="L2" s="42" t="s">
        <v>353</v>
      </c>
      <c r="M2" s="43"/>
      <c r="N2" s="2" t="s">
        <v>354</v>
      </c>
    </row>
    <row r="3" spans="1:16" x14ac:dyDescent="0.35">
      <c r="A3" s="3" t="s">
        <v>10</v>
      </c>
      <c r="B3" s="3" t="s">
        <v>11</v>
      </c>
      <c r="C3" s="4" t="s">
        <v>12</v>
      </c>
      <c r="D3" s="5">
        <v>97</v>
      </c>
      <c r="E3" s="5">
        <v>90</v>
      </c>
      <c r="F3" s="5">
        <v>68</v>
      </c>
      <c r="G3" s="5">
        <v>93</v>
      </c>
      <c r="H3" s="5">
        <f>IF(MAX(D3:G3)&gt;90,MIN(100-MAX(D3:G3),5),0)</f>
        <v>3</v>
      </c>
      <c r="I3" s="5">
        <f>IF(MIN(D3:G3)&lt;60,8,0)</f>
        <v>0</v>
      </c>
      <c r="J3" s="44">
        <f>SUM(D3:I3)/4</f>
        <v>87.75</v>
      </c>
      <c r="K3" s="45" t="str">
        <f>VLOOKUP(J3,$N$8:$O$12,2,TRUE)</f>
        <v>B</v>
      </c>
      <c r="L3" s="43" t="str">
        <f>VLOOKUP(K3,$O$8:$P$12,2,FALSE)</f>
        <v>Good</v>
      </c>
      <c r="M3" s="43"/>
      <c r="N3" s="2" t="s">
        <v>355</v>
      </c>
    </row>
    <row r="4" spans="1:16" x14ac:dyDescent="0.35">
      <c r="A4" s="3" t="s">
        <v>13</v>
      </c>
      <c r="B4" s="3" t="s">
        <v>14</v>
      </c>
      <c r="C4" s="4" t="s">
        <v>15</v>
      </c>
      <c r="D4" s="5">
        <v>88</v>
      </c>
      <c r="E4" s="5">
        <v>96</v>
      </c>
      <c r="F4" s="5">
        <v>70</v>
      </c>
      <c r="G4" s="5">
        <v>79</v>
      </c>
      <c r="H4" s="5">
        <f t="shared" ref="H4:H67" si="0">IF(MAX(D4:G4)&gt;90,MIN(100-MAX(D4:G4),5),0)</f>
        <v>4</v>
      </c>
      <c r="I4" s="5">
        <f t="shared" ref="I4:I67" si="1">IF(MIN(D4:G4)&lt;60,8,0)</f>
        <v>0</v>
      </c>
      <c r="J4" s="44">
        <f t="shared" ref="J4:J67" si="2">SUM(D4:I4)/4</f>
        <v>84.25</v>
      </c>
      <c r="K4" s="45" t="str">
        <f t="shared" ref="K4:K67" si="3">VLOOKUP(J4,$N$8:$O$12,2,TRUE)</f>
        <v>B</v>
      </c>
      <c r="L4" s="43" t="str">
        <f t="shared" ref="L4:L67" si="4">VLOOKUP(K4,$O$8:$P$12,2,FALSE)</f>
        <v>Good</v>
      </c>
      <c r="M4" s="43"/>
    </row>
    <row r="5" spans="1:16" x14ac:dyDescent="0.35">
      <c r="A5" s="4" t="s">
        <v>17</v>
      </c>
      <c r="B5" s="3" t="s">
        <v>18</v>
      </c>
      <c r="C5" s="4" t="s">
        <v>19</v>
      </c>
      <c r="D5" s="5">
        <v>92</v>
      </c>
      <c r="E5" s="5">
        <v>87</v>
      </c>
      <c r="F5" s="5">
        <v>53</v>
      </c>
      <c r="G5" s="5">
        <v>90</v>
      </c>
      <c r="H5" s="5">
        <f t="shared" si="0"/>
        <v>5</v>
      </c>
      <c r="I5" s="5">
        <f t="shared" si="1"/>
        <v>8</v>
      </c>
      <c r="J5" s="44">
        <f t="shared" si="2"/>
        <v>83.75</v>
      </c>
      <c r="K5" s="45" t="str">
        <f t="shared" si="3"/>
        <v>B</v>
      </c>
      <c r="L5" s="43" t="str">
        <f t="shared" si="4"/>
        <v>Good</v>
      </c>
      <c r="M5" s="43"/>
      <c r="N5" s="2" t="s">
        <v>356</v>
      </c>
    </row>
    <row r="6" spans="1:16" x14ac:dyDescent="0.35">
      <c r="A6" s="4" t="s">
        <v>21</v>
      </c>
      <c r="B6" s="3" t="s">
        <v>22</v>
      </c>
      <c r="C6" s="4" t="s">
        <v>23</v>
      </c>
      <c r="D6" s="5">
        <v>92</v>
      </c>
      <c r="E6" s="5">
        <v>90</v>
      </c>
      <c r="F6" s="5">
        <v>45</v>
      </c>
      <c r="G6" s="5">
        <v>91</v>
      </c>
      <c r="H6" s="5">
        <f t="shared" si="0"/>
        <v>5</v>
      </c>
      <c r="I6" s="5">
        <f t="shared" si="1"/>
        <v>8</v>
      </c>
      <c r="J6" s="44">
        <f t="shared" si="2"/>
        <v>82.75</v>
      </c>
      <c r="K6" s="45" t="str">
        <f t="shared" si="3"/>
        <v>B</v>
      </c>
      <c r="L6" s="43" t="str">
        <f t="shared" si="4"/>
        <v>Good</v>
      </c>
      <c r="M6" s="43"/>
    </row>
    <row r="7" spans="1:16" x14ac:dyDescent="0.35">
      <c r="A7" s="4" t="s">
        <v>25</v>
      </c>
      <c r="B7" s="3" t="s">
        <v>26</v>
      </c>
      <c r="C7" s="4" t="s">
        <v>27</v>
      </c>
      <c r="D7" s="5">
        <v>92</v>
      </c>
      <c r="E7" s="5">
        <v>88</v>
      </c>
      <c r="F7" s="5">
        <v>46</v>
      </c>
      <c r="G7" s="5">
        <v>90</v>
      </c>
      <c r="H7" s="5">
        <f t="shared" si="0"/>
        <v>5</v>
      </c>
      <c r="I7" s="5">
        <f t="shared" si="1"/>
        <v>8</v>
      </c>
      <c r="J7" s="44">
        <f t="shared" si="2"/>
        <v>82.25</v>
      </c>
      <c r="K7" s="45" t="str">
        <f t="shared" si="3"/>
        <v>B</v>
      </c>
      <c r="L7" s="43" t="str">
        <f t="shared" si="4"/>
        <v>Good</v>
      </c>
      <c r="M7" s="43"/>
      <c r="N7" s="46" t="s">
        <v>37</v>
      </c>
      <c r="O7" s="46"/>
      <c r="P7" s="4" t="s">
        <v>357</v>
      </c>
    </row>
    <row r="8" spans="1:16" x14ac:dyDescent="0.35">
      <c r="A8" s="4" t="s">
        <v>28</v>
      </c>
      <c r="B8" s="3" t="s">
        <v>29</v>
      </c>
      <c r="C8" s="4" t="s">
        <v>30</v>
      </c>
      <c r="D8" s="5">
        <v>91</v>
      </c>
      <c r="E8" s="5">
        <v>93</v>
      </c>
      <c r="F8" s="5">
        <v>54</v>
      </c>
      <c r="G8" s="5">
        <v>94</v>
      </c>
      <c r="H8" s="5">
        <f t="shared" si="0"/>
        <v>5</v>
      </c>
      <c r="I8" s="5">
        <f t="shared" si="1"/>
        <v>8</v>
      </c>
      <c r="J8" s="44">
        <f t="shared" si="2"/>
        <v>86.25</v>
      </c>
      <c r="K8" s="45" t="str">
        <f t="shared" si="3"/>
        <v>B</v>
      </c>
      <c r="L8" s="43" t="str">
        <f t="shared" si="4"/>
        <v>Good</v>
      </c>
      <c r="M8" s="43"/>
      <c r="N8" s="47">
        <v>0</v>
      </c>
      <c r="O8" s="47" t="s">
        <v>41</v>
      </c>
      <c r="P8" s="4" t="s">
        <v>358</v>
      </c>
    </row>
    <row r="9" spans="1:16" x14ac:dyDescent="0.35">
      <c r="A9" s="3" t="s">
        <v>31</v>
      </c>
      <c r="B9" s="3" t="s">
        <v>32</v>
      </c>
      <c r="C9" s="4" t="s">
        <v>33</v>
      </c>
      <c r="D9" s="5">
        <v>94</v>
      </c>
      <c r="E9" s="5">
        <v>89</v>
      </c>
      <c r="F9" s="5">
        <v>44</v>
      </c>
      <c r="G9" s="5">
        <v>72</v>
      </c>
      <c r="H9" s="5">
        <f t="shared" si="0"/>
        <v>5</v>
      </c>
      <c r="I9" s="5">
        <f t="shared" si="1"/>
        <v>8</v>
      </c>
      <c r="J9" s="44">
        <f t="shared" si="2"/>
        <v>78</v>
      </c>
      <c r="K9" s="45" t="str">
        <f t="shared" si="3"/>
        <v>C</v>
      </c>
      <c r="L9" s="43" t="str">
        <f t="shared" si="4"/>
        <v>Average</v>
      </c>
      <c r="M9" s="43"/>
      <c r="N9" s="47">
        <v>60</v>
      </c>
      <c r="O9" s="47" t="s">
        <v>45</v>
      </c>
      <c r="P9" s="4" t="s">
        <v>359</v>
      </c>
    </row>
    <row r="10" spans="1:16" x14ac:dyDescent="0.35">
      <c r="A10" s="4" t="s">
        <v>34</v>
      </c>
      <c r="B10" s="3" t="s">
        <v>35</v>
      </c>
      <c r="C10" s="4" t="s">
        <v>36</v>
      </c>
      <c r="D10" s="5">
        <v>92</v>
      </c>
      <c r="E10" s="5">
        <v>90</v>
      </c>
      <c r="F10" s="5">
        <v>74</v>
      </c>
      <c r="G10" s="5">
        <v>68</v>
      </c>
      <c r="H10" s="5">
        <f t="shared" si="0"/>
        <v>5</v>
      </c>
      <c r="I10" s="5">
        <f t="shared" si="1"/>
        <v>0</v>
      </c>
      <c r="J10" s="44">
        <f t="shared" si="2"/>
        <v>82.25</v>
      </c>
      <c r="K10" s="45" t="str">
        <f t="shared" si="3"/>
        <v>B</v>
      </c>
      <c r="L10" s="43" t="str">
        <f t="shared" si="4"/>
        <v>Good</v>
      </c>
      <c r="M10" s="43"/>
      <c r="N10" s="47">
        <v>70</v>
      </c>
      <c r="O10" s="47" t="s">
        <v>49</v>
      </c>
      <c r="P10" s="4" t="s">
        <v>7</v>
      </c>
    </row>
    <row r="11" spans="1:16" x14ac:dyDescent="0.35">
      <c r="A11" s="4" t="s">
        <v>38</v>
      </c>
      <c r="B11" s="3" t="s">
        <v>39</v>
      </c>
      <c r="C11" s="4" t="s">
        <v>40</v>
      </c>
      <c r="D11" s="5">
        <v>80</v>
      </c>
      <c r="E11" s="5">
        <v>90</v>
      </c>
      <c r="F11" s="5">
        <v>65</v>
      </c>
      <c r="G11" s="5">
        <v>91</v>
      </c>
      <c r="H11" s="5">
        <f t="shared" si="0"/>
        <v>5</v>
      </c>
      <c r="I11" s="5">
        <f t="shared" si="1"/>
        <v>0</v>
      </c>
      <c r="J11" s="44">
        <f t="shared" si="2"/>
        <v>82.75</v>
      </c>
      <c r="K11" s="45" t="str">
        <f t="shared" si="3"/>
        <v>B</v>
      </c>
      <c r="L11" s="43" t="str">
        <f t="shared" si="4"/>
        <v>Good</v>
      </c>
      <c r="M11" s="43"/>
      <c r="N11" s="47">
        <v>80</v>
      </c>
      <c r="O11" s="47" t="s">
        <v>53</v>
      </c>
      <c r="P11" s="4" t="s">
        <v>360</v>
      </c>
    </row>
    <row r="12" spans="1:16" x14ac:dyDescent="0.35">
      <c r="A12" s="4" t="s">
        <v>42</v>
      </c>
      <c r="B12" s="3" t="s">
        <v>43</v>
      </c>
      <c r="C12" s="4" t="s">
        <v>44</v>
      </c>
      <c r="D12" s="5">
        <v>96</v>
      </c>
      <c r="E12" s="5">
        <v>82</v>
      </c>
      <c r="F12" s="5">
        <v>40</v>
      </c>
      <c r="G12" s="5">
        <v>78</v>
      </c>
      <c r="H12" s="5">
        <f t="shared" si="0"/>
        <v>4</v>
      </c>
      <c r="I12" s="5">
        <f t="shared" si="1"/>
        <v>8</v>
      </c>
      <c r="J12" s="44">
        <f t="shared" si="2"/>
        <v>77</v>
      </c>
      <c r="K12" s="45" t="str">
        <f t="shared" si="3"/>
        <v>C</v>
      </c>
      <c r="L12" s="43" t="str">
        <f t="shared" si="4"/>
        <v>Average</v>
      </c>
      <c r="M12" s="43"/>
      <c r="N12" s="47">
        <v>90</v>
      </c>
      <c r="O12" s="47" t="s">
        <v>57</v>
      </c>
      <c r="P12" s="4" t="s">
        <v>361</v>
      </c>
    </row>
    <row r="13" spans="1:16" x14ac:dyDescent="0.35">
      <c r="A13" s="4" t="s">
        <v>46</v>
      </c>
      <c r="B13" s="3" t="s">
        <v>47</v>
      </c>
      <c r="C13" s="4" t="s">
        <v>48</v>
      </c>
      <c r="D13" s="5">
        <v>91</v>
      </c>
      <c r="E13" s="5">
        <v>88</v>
      </c>
      <c r="F13" s="5">
        <v>90</v>
      </c>
      <c r="G13" s="5">
        <v>77</v>
      </c>
      <c r="H13" s="5">
        <f t="shared" si="0"/>
        <v>5</v>
      </c>
      <c r="I13" s="5">
        <f t="shared" si="1"/>
        <v>0</v>
      </c>
      <c r="J13" s="44">
        <f t="shared" si="2"/>
        <v>87.75</v>
      </c>
      <c r="K13" s="45" t="str">
        <f t="shared" si="3"/>
        <v>B</v>
      </c>
      <c r="L13" s="43" t="str">
        <f t="shared" si="4"/>
        <v>Good</v>
      </c>
      <c r="M13" s="43"/>
    </row>
    <row r="14" spans="1:16" x14ac:dyDescent="0.35">
      <c r="A14" s="4" t="s">
        <v>50</v>
      </c>
      <c r="B14" s="3" t="s">
        <v>51</v>
      </c>
      <c r="C14" s="4" t="s">
        <v>52</v>
      </c>
      <c r="D14" s="5">
        <v>91</v>
      </c>
      <c r="E14" s="5">
        <v>77</v>
      </c>
      <c r="F14" s="5">
        <v>72</v>
      </c>
      <c r="G14" s="5">
        <v>85</v>
      </c>
      <c r="H14" s="5">
        <f t="shared" si="0"/>
        <v>5</v>
      </c>
      <c r="I14" s="5">
        <f t="shared" si="1"/>
        <v>0</v>
      </c>
      <c r="J14" s="44">
        <f t="shared" si="2"/>
        <v>82.5</v>
      </c>
      <c r="K14" s="45" t="str">
        <f t="shared" si="3"/>
        <v>B</v>
      </c>
      <c r="L14" s="43" t="str">
        <f t="shared" si="4"/>
        <v>Good</v>
      </c>
      <c r="M14" s="43"/>
    </row>
    <row r="15" spans="1:16" x14ac:dyDescent="0.35">
      <c r="A15" s="4" t="s">
        <v>54</v>
      </c>
      <c r="B15" s="3" t="s">
        <v>55</v>
      </c>
      <c r="C15" s="4" t="s">
        <v>56</v>
      </c>
      <c r="D15" s="5">
        <v>86</v>
      </c>
      <c r="E15" s="5">
        <v>79</v>
      </c>
      <c r="F15" s="5">
        <v>47</v>
      </c>
      <c r="G15" s="5">
        <v>88</v>
      </c>
      <c r="H15" s="5">
        <f t="shared" si="0"/>
        <v>0</v>
      </c>
      <c r="I15" s="5">
        <f t="shared" si="1"/>
        <v>8</v>
      </c>
      <c r="J15" s="44">
        <f t="shared" si="2"/>
        <v>77</v>
      </c>
      <c r="K15" s="45" t="str">
        <f t="shared" si="3"/>
        <v>C</v>
      </c>
      <c r="L15" s="43" t="str">
        <f t="shared" si="4"/>
        <v>Average</v>
      </c>
      <c r="M15" s="43"/>
    </row>
    <row r="16" spans="1:16" x14ac:dyDescent="0.35">
      <c r="A16" s="4" t="s">
        <v>58</v>
      </c>
      <c r="B16" s="3" t="s">
        <v>59</v>
      </c>
      <c r="C16" s="4" t="s">
        <v>60</v>
      </c>
      <c r="D16" s="5">
        <v>85</v>
      </c>
      <c r="E16" s="5">
        <v>93</v>
      </c>
      <c r="F16" s="5">
        <v>46</v>
      </c>
      <c r="G16" s="5">
        <v>82</v>
      </c>
      <c r="H16" s="5">
        <f t="shared" si="0"/>
        <v>5</v>
      </c>
      <c r="I16" s="5">
        <f t="shared" si="1"/>
        <v>8</v>
      </c>
      <c r="J16" s="44">
        <f t="shared" si="2"/>
        <v>79.75</v>
      </c>
      <c r="K16" s="45" t="str">
        <f t="shared" si="3"/>
        <v>C</v>
      </c>
      <c r="L16" s="43" t="str">
        <f t="shared" si="4"/>
        <v>Average</v>
      </c>
      <c r="M16" s="43"/>
    </row>
    <row r="17" spans="1:13" x14ac:dyDescent="0.35">
      <c r="A17" s="3" t="s">
        <v>61</v>
      </c>
      <c r="B17" s="3" t="s">
        <v>62</v>
      </c>
      <c r="C17" s="4" t="s">
        <v>63</v>
      </c>
      <c r="D17" s="5">
        <v>89</v>
      </c>
      <c r="E17" s="5">
        <v>68</v>
      </c>
      <c r="F17" s="5">
        <v>45</v>
      </c>
      <c r="G17" s="5">
        <v>88</v>
      </c>
      <c r="H17" s="5">
        <f t="shared" si="0"/>
        <v>0</v>
      </c>
      <c r="I17" s="5">
        <f t="shared" si="1"/>
        <v>8</v>
      </c>
      <c r="J17" s="44">
        <f t="shared" si="2"/>
        <v>74.5</v>
      </c>
      <c r="K17" s="45" t="str">
        <f t="shared" si="3"/>
        <v>C</v>
      </c>
      <c r="L17" s="43" t="str">
        <f t="shared" si="4"/>
        <v>Average</v>
      </c>
      <c r="M17" s="43"/>
    </row>
    <row r="18" spans="1:13" x14ac:dyDescent="0.35">
      <c r="A18" s="3" t="s">
        <v>65</v>
      </c>
      <c r="B18" s="3" t="s">
        <v>66</v>
      </c>
      <c r="C18" s="4" t="s">
        <v>67</v>
      </c>
      <c r="D18" s="5">
        <v>95</v>
      </c>
      <c r="E18" s="5">
        <v>73</v>
      </c>
      <c r="F18" s="5">
        <v>51</v>
      </c>
      <c r="G18" s="5">
        <v>66</v>
      </c>
      <c r="H18" s="5">
        <f t="shared" si="0"/>
        <v>5</v>
      </c>
      <c r="I18" s="5">
        <f t="shared" si="1"/>
        <v>8</v>
      </c>
      <c r="J18" s="44">
        <f t="shared" si="2"/>
        <v>74.5</v>
      </c>
      <c r="K18" s="45" t="str">
        <f t="shared" si="3"/>
        <v>C</v>
      </c>
      <c r="L18" s="43" t="str">
        <f t="shared" si="4"/>
        <v>Average</v>
      </c>
      <c r="M18" s="43"/>
    </row>
    <row r="19" spans="1:13" x14ac:dyDescent="0.35">
      <c r="A19" s="4" t="s">
        <v>69</v>
      </c>
      <c r="B19" s="3" t="s">
        <v>70</v>
      </c>
      <c r="C19" s="4" t="s">
        <v>71</v>
      </c>
      <c r="D19" s="5">
        <v>89</v>
      </c>
      <c r="E19" s="5">
        <v>78</v>
      </c>
      <c r="F19" s="5">
        <v>72</v>
      </c>
      <c r="G19" s="5">
        <v>71</v>
      </c>
      <c r="H19" s="5">
        <f t="shared" si="0"/>
        <v>0</v>
      </c>
      <c r="I19" s="5">
        <f t="shared" si="1"/>
        <v>0</v>
      </c>
      <c r="J19" s="44">
        <f t="shared" si="2"/>
        <v>77.5</v>
      </c>
      <c r="K19" s="45" t="str">
        <f t="shared" si="3"/>
        <v>C</v>
      </c>
      <c r="L19" s="43" t="str">
        <f t="shared" si="4"/>
        <v>Average</v>
      </c>
      <c r="M19" s="43"/>
    </row>
    <row r="20" spans="1:13" x14ac:dyDescent="0.35">
      <c r="A20" s="4" t="s">
        <v>72</v>
      </c>
      <c r="B20" s="3" t="s">
        <v>73</v>
      </c>
      <c r="C20" s="4" t="s">
        <v>74</v>
      </c>
      <c r="D20" s="5">
        <v>83</v>
      </c>
      <c r="E20" s="5">
        <v>78</v>
      </c>
      <c r="F20" s="5">
        <v>87</v>
      </c>
      <c r="G20" s="5">
        <v>81</v>
      </c>
      <c r="H20" s="5">
        <f t="shared" si="0"/>
        <v>0</v>
      </c>
      <c r="I20" s="5">
        <f t="shared" si="1"/>
        <v>0</v>
      </c>
      <c r="J20" s="44">
        <f t="shared" si="2"/>
        <v>82.25</v>
      </c>
      <c r="K20" s="45" t="str">
        <f t="shared" si="3"/>
        <v>B</v>
      </c>
      <c r="L20" s="43" t="str">
        <f t="shared" si="4"/>
        <v>Good</v>
      </c>
      <c r="M20" s="43"/>
    </row>
    <row r="21" spans="1:13" x14ac:dyDescent="0.35">
      <c r="A21" s="4" t="s">
        <v>75</v>
      </c>
      <c r="B21" s="3" t="s">
        <v>76</v>
      </c>
      <c r="C21" s="4" t="s">
        <v>77</v>
      </c>
      <c r="D21" s="5">
        <v>87</v>
      </c>
      <c r="E21" s="5">
        <v>79</v>
      </c>
      <c r="F21" s="5">
        <v>56</v>
      </c>
      <c r="G21" s="5">
        <v>73</v>
      </c>
      <c r="H21" s="5">
        <f t="shared" si="0"/>
        <v>0</v>
      </c>
      <c r="I21" s="5">
        <f t="shared" si="1"/>
        <v>8</v>
      </c>
      <c r="J21" s="44">
        <f t="shared" si="2"/>
        <v>75.75</v>
      </c>
      <c r="K21" s="45" t="str">
        <f t="shared" si="3"/>
        <v>C</v>
      </c>
      <c r="L21" s="43" t="str">
        <f t="shared" si="4"/>
        <v>Average</v>
      </c>
      <c r="M21" s="43"/>
    </row>
    <row r="22" spans="1:13" x14ac:dyDescent="0.35">
      <c r="A22" s="4" t="s">
        <v>78</v>
      </c>
      <c r="B22" s="3" t="s">
        <v>79</v>
      </c>
      <c r="C22" s="4" t="s">
        <v>80</v>
      </c>
      <c r="D22" s="5">
        <v>89</v>
      </c>
      <c r="E22" s="5">
        <v>79</v>
      </c>
      <c r="F22" s="5">
        <v>58</v>
      </c>
      <c r="G22" s="5">
        <v>83</v>
      </c>
      <c r="H22" s="5">
        <f t="shared" si="0"/>
        <v>0</v>
      </c>
      <c r="I22" s="5">
        <f t="shared" si="1"/>
        <v>8</v>
      </c>
      <c r="J22" s="44">
        <f t="shared" si="2"/>
        <v>79.25</v>
      </c>
      <c r="K22" s="45" t="str">
        <f t="shared" si="3"/>
        <v>C</v>
      </c>
      <c r="L22" s="43" t="str">
        <f t="shared" si="4"/>
        <v>Average</v>
      </c>
      <c r="M22" s="43"/>
    </row>
    <row r="23" spans="1:13" x14ac:dyDescent="0.35">
      <c r="A23" s="4" t="s">
        <v>82</v>
      </c>
      <c r="B23" s="3" t="s">
        <v>83</v>
      </c>
      <c r="C23" s="4" t="s">
        <v>84</v>
      </c>
      <c r="D23" s="5">
        <v>85</v>
      </c>
      <c r="E23" s="5">
        <v>86</v>
      </c>
      <c r="F23" s="5">
        <v>100</v>
      </c>
      <c r="G23" s="5">
        <v>70</v>
      </c>
      <c r="H23" s="5">
        <f t="shared" si="0"/>
        <v>0</v>
      </c>
      <c r="I23" s="5">
        <f t="shared" si="1"/>
        <v>0</v>
      </c>
      <c r="J23" s="44">
        <f t="shared" si="2"/>
        <v>85.25</v>
      </c>
      <c r="K23" s="45" t="str">
        <f t="shared" si="3"/>
        <v>B</v>
      </c>
      <c r="L23" s="43" t="str">
        <f t="shared" si="4"/>
        <v>Good</v>
      </c>
      <c r="M23" s="43"/>
    </row>
    <row r="24" spans="1:13" x14ac:dyDescent="0.35">
      <c r="A24" s="3" t="s">
        <v>85</v>
      </c>
      <c r="B24" s="3" t="s">
        <v>86</v>
      </c>
      <c r="C24" s="4" t="s">
        <v>87</v>
      </c>
      <c r="D24" s="5">
        <v>88</v>
      </c>
      <c r="E24" s="5">
        <v>80</v>
      </c>
      <c r="F24" s="5">
        <v>53</v>
      </c>
      <c r="G24" s="5">
        <v>85</v>
      </c>
      <c r="H24" s="5">
        <f t="shared" si="0"/>
        <v>0</v>
      </c>
      <c r="I24" s="5">
        <f t="shared" si="1"/>
        <v>8</v>
      </c>
      <c r="J24" s="44">
        <f t="shared" si="2"/>
        <v>78.5</v>
      </c>
      <c r="K24" s="45" t="str">
        <f t="shared" si="3"/>
        <v>C</v>
      </c>
      <c r="L24" s="43" t="str">
        <f t="shared" si="4"/>
        <v>Average</v>
      </c>
      <c r="M24" s="43"/>
    </row>
    <row r="25" spans="1:13" x14ac:dyDescent="0.35">
      <c r="A25" s="4" t="s">
        <v>88</v>
      </c>
      <c r="B25" s="3" t="s">
        <v>89</v>
      </c>
      <c r="C25" s="4" t="s">
        <v>90</v>
      </c>
      <c r="D25" s="5">
        <v>89</v>
      </c>
      <c r="E25" s="5">
        <v>80</v>
      </c>
      <c r="F25" s="5">
        <v>49</v>
      </c>
      <c r="G25" s="5">
        <v>62</v>
      </c>
      <c r="H25" s="5">
        <f t="shared" si="0"/>
        <v>0</v>
      </c>
      <c r="I25" s="5">
        <f t="shared" si="1"/>
        <v>8</v>
      </c>
      <c r="J25" s="44">
        <f t="shared" si="2"/>
        <v>72</v>
      </c>
      <c r="K25" s="45" t="str">
        <f t="shared" si="3"/>
        <v>C</v>
      </c>
      <c r="L25" s="43" t="str">
        <f t="shared" si="4"/>
        <v>Average</v>
      </c>
      <c r="M25" s="43"/>
    </row>
    <row r="26" spans="1:13" x14ac:dyDescent="0.35">
      <c r="A26" s="4" t="s">
        <v>91</v>
      </c>
      <c r="B26" s="3" t="s">
        <v>92</v>
      </c>
      <c r="C26" s="4" t="s">
        <v>93</v>
      </c>
      <c r="D26" s="5">
        <v>84</v>
      </c>
      <c r="E26" s="5">
        <v>81</v>
      </c>
      <c r="F26" s="5">
        <v>71</v>
      </c>
      <c r="G26" s="5">
        <v>83</v>
      </c>
      <c r="H26" s="5">
        <f t="shared" si="0"/>
        <v>0</v>
      </c>
      <c r="I26" s="5">
        <f t="shared" si="1"/>
        <v>0</v>
      </c>
      <c r="J26" s="44">
        <f t="shared" si="2"/>
        <v>79.75</v>
      </c>
      <c r="K26" s="45" t="str">
        <f t="shared" si="3"/>
        <v>C</v>
      </c>
      <c r="L26" s="43" t="str">
        <f t="shared" si="4"/>
        <v>Average</v>
      </c>
      <c r="M26" s="43"/>
    </row>
    <row r="27" spans="1:13" x14ac:dyDescent="0.35">
      <c r="A27" s="3" t="s">
        <v>95</v>
      </c>
      <c r="B27" s="3" t="s">
        <v>96</v>
      </c>
      <c r="C27" s="4" t="s">
        <v>97</v>
      </c>
      <c r="D27" s="5">
        <v>81</v>
      </c>
      <c r="E27" s="5">
        <v>83</v>
      </c>
      <c r="F27" s="5">
        <v>81</v>
      </c>
      <c r="G27" s="5">
        <v>73</v>
      </c>
      <c r="H27" s="5">
        <f t="shared" si="0"/>
        <v>0</v>
      </c>
      <c r="I27" s="5">
        <f t="shared" si="1"/>
        <v>0</v>
      </c>
      <c r="J27" s="44">
        <f t="shared" si="2"/>
        <v>79.5</v>
      </c>
      <c r="K27" s="45" t="str">
        <f t="shared" si="3"/>
        <v>C</v>
      </c>
      <c r="L27" s="43" t="str">
        <f t="shared" si="4"/>
        <v>Average</v>
      </c>
      <c r="M27" s="43"/>
    </row>
    <row r="28" spans="1:13" x14ac:dyDescent="0.35">
      <c r="A28" s="4" t="s">
        <v>98</v>
      </c>
      <c r="B28" s="3" t="s">
        <v>99</v>
      </c>
      <c r="C28" s="4" t="s">
        <v>100</v>
      </c>
      <c r="D28" s="5">
        <v>86</v>
      </c>
      <c r="E28" s="5">
        <v>84</v>
      </c>
      <c r="F28" s="5">
        <v>72</v>
      </c>
      <c r="G28" s="5">
        <v>69</v>
      </c>
      <c r="H28" s="5">
        <f t="shared" si="0"/>
        <v>0</v>
      </c>
      <c r="I28" s="5">
        <f t="shared" si="1"/>
        <v>0</v>
      </c>
      <c r="J28" s="44">
        <f t="shared" si="2"/>
        <v>77.75</v>
      </c>
      <c r="K28" s="45" t="str">
        <f t="shared" si="3"/>
        <v>C</v>
      </c>
      <c r="L28" s="43" t="str">
        <f t="shared" si="4"/>
        <v>Average</v>
      </c>
      <c r="M28" s="43"/>
    </row>
    <row r="29" spans="1:13" x14ac:dyDescent="0.35">
      <c r="A29" s="3" t="s">
        <v>101</v>
      </c>
      <c r="B29" s="3" t="s">
        <v>102</v>
      </c>
      <c r="C29" s="4" t="s">
        <v>103</v>
      </c>
      <c r="D29" s="5">
        <v>87</v>
      </c>
      <c r="E29" s="5">
        <v>85</v>
      </c>
      <c r="F29" s="5">
        <v>45</v>
      </c>
      <c r="G29" s="5">
        <v>72</v>
      </c>
      <c r="H29" s="5">
        <f t="shared" si="0"/>
        <v>0</v>
      </c>
      <c r="I29" s="5">
        <f t="shared" si="1"/>
        <v>8</v>
      </c>
      <c r="J29" s="44">
        <f t="shared" si="2"/>
        <v>74.25</v>
      </c>
      <c r="K29" s="45" t="str">
        <f t="shared" si="3"/>
        <v>C</v>
      </c>
      <c r="L29" s="43" t="str">
        <f t="shared" si="4"/>
        <v>Average</v>
      </c>
      <c r="M29" s="43"/>
    </row>
    <row r="30" spans="1:13" x14ac:dyDescent="0.35">
      <c r="A30" s="4" t="s">
        <v>104</v>
      </c>
      <c r="B30" s="3" t="s">
        <v>105</v>
      </c>
      <c r="C30" s="4" t="s">
        <v>106</v>
      </c>
      <c r="D30" s="5">
        <v>88</v>
      </c>
      <c r="E30" s="5">
        <v>85</v>
      </c>
      <c r="F30" s="5">
        <v>82</v>
      </c>
      <c r="G30" s="5">
        <v>75</v>
      </c>
      <c r="H30" s="5">
        <f t="shared" si="0"/>
        <v>0</v>
      </c>
      <c r="I30" s="5">
        <f t="shared" si="1"/>
        <v>0</v>
      </c>
      <c r="J30" s="44">
        <f t="shared" si="2"/>
        <v>82.5</v>
      </c>
      <c r="K30" s="45" t="str">
        <f t="shared" si="3"/>
        <v>B</v>
      </c>
      <c r="L30" s="43" t="str">
        <f t="shared" si="4"/>
        <v>Good</v>
      </c>
      <c r="M30" s="43"/>
    </row>
    <row r="31" spans="1:13" x14ac:dyDescent="0.35">
      <c r="A31" s="4" t="s">
        <v>107</v>
      </c>
      <c r="B31" s="3" t="s">
        <v>108</v>
      </c>
      <c r="C31" s="4" t="s">
        <v>109</v>
      </c>
      <c r="D31" s="5">
        <v>90</v>
      </c>
      <c r="E31" s="5">
        <v>86</v>
      </c>
      <c r="F31" s="5">
        <v>41</v>
      </c>
      <c r="G31" s="5">
        <v>66</v>
      </c>
      <c r="H31" s="5">
        <f t="shared" si="0"/>
        <v>0</v>
      </c>
      <c r="I31" s="5">
        <f t="shared" si="1"/>
        <v>8</v>
      </c>
      <c r="J31" s="44">
        <f t="shared" si="2"/>
        <v>72.75</v>
      </c>
      <c r="K31" s="45" t="str">
        <f t="shared" si="3"/>
        <v>C</v>
      </c>
      <c r="L31" s="43" t="str">
        <f t="shared" si="4"/>
        <v>Average</v>
      </c>
      <c r="M31" s="43"/>
    </row>
    <row r="32" spans="1:13" x14ac:dyDescent="0.35">
      <c r="A32" s="4" t="s">
        <v>110</v>
      </c>
      <c r="B32" s="3" t="s">
        <v>111</v>
      </c>
      <c r="C32" s="4" t="s">
        <v>112</v>
      </c>
      <c r="D32" s="5">
        <v>86</v>
      </c>
      <c r="E32" s="5">
        <v>86</v>
      </c>
      <c r="F32" s="5">
        <v>45</v>
      </c>
      <c r="G32" s="5">
        <v>54</v>
      </c>
      <c r="H32" s="5">
        <f t="shared" si="0"/>
        <v>0</v>
      </c>
      <c r="I32" s="5">
        <f t="shared" si="1"/>
        <v>8</v>
      </c>
      <c r="J32" s="44">
        <f t="shared" si="2"/>
        <v>69.75</v>
      </c>
      <c r="K32" s="45" t="str">
        <f t="shared" si="3"/>
        <v>D</v>
      </c>
      <c r="L32" s="43" t="str">
        <f t="shared" si="4"/>
        <v>Need to work hard</v>
      </c>
      <c r="M32" s="43"/>
    </row>
    <row r="33" spans="1:13" x14ac:dyDescent="0.35">
      <c r="A33" s="4" t="s">
        <v>113</v>
      </c>
      <c r="B33" s="3" t="s">
        <v>114</v>
      </c>
      <c r="C33" s="4" t="s">
        <v>115</v>
      </c>
      <c r="D33" s="5">
        <v>76</v>
      </c>
      <c r="E33" s="5">
        <v>86</v>
      </c>
      <c r="F33" s="5">
        <v>46</v>
      </c>
      <c r="G33" s="5">
        <v>56</v>
      </c>
      <c r="H33" s="5">
        <f t="shared" si="0"/>
        <v>0</v>
      </c>
      <c r="I33" s="5">
        <f t="shared" si="1"/>
        <v>8</v>
      </c>
      <c r="J33" s="44">
        <f t="shared" si="2"/>
        <v>68</v>
      </c>
      <c r="K33" s="45" t="str">
        <f t="shared" si="3"/>
        <v>D</v>
      </c>
      <c r="L33" s="43" t="str">
        <f t="shared" si="4"/>
        <v>Need to work hard</v>
      </c>
      <c r="M33" s="43"/>
    </row>
    <row r="34" spans="1:13" x14ac:dyDescent="0.35">
      <c r="A34" s="4" t="s">
        <v>116</v>
      </c>
      <c r="B34" s="3" t="s">
        <v>117</v>
      </c>
      <c r="C34" s="4" t="s">
        <v>118</v>
      </c>
      <c r="D34" s="5">
        <v>94</v>
      </c>
      <c r="E34" s="5">
        <v>49</v>
      </c>
      <c r="F34" s="5">
        <v>91</v>
      </c>
      <c r="G34" s="5">
        <v>90</v>
      </c>
      <c r="H34" s="5">
        <f t="shared" si="0"/>
        <v>5</v>
      </c>
      <c r="I34" s="5">
        <f t="shared" si="1"/>
        <v>8</v>
      </c>
      <c r="J34" s="44">
        <f t="shared" si="2"/>
        <v>84.25</v>
      </c>
      <c r="K34" s="45" t="str">
        <f t="shared" si="3"/>
        <v>B</v>
      </c>
      <c r="L34" s="43" t="str">
        <f t="shared" si="4"/>
        <v>Good</v>
      </c>
      <c r="M34" s="43"/>
    </row>
    <row r="35" spans="1:13" x14ac:dyDescent="0.35">
      <c r="A35" s="4" t="s">
        <v>119</v>
      </c>
      <c r="B35" s="3" t="s">
        <v>120</v>
      </c>
      <c r="C35" s="4" t="s">
        <v>121</v>
      </c>
      <c r="D35" s="5">
        <v>82</v>
      </c>
      <c r="E35" s="5">
        <v>87</v>
      </c>
      <c r="F35" s="5">
        <v>67</v>
      </c>
      <c r="G35" s="5">
        <v>71</v>
      </c>
      <c r="H35" s="5">
        <f t="shared" si="0"/>
        <v>0</v>
      </c>
      <c r="I35" s="5">
        <f t="shared" si="1"/>
        <v>0</v>
      </c>
      <c r="J35" s="44">
        <f t="shared" si="2"/>
        <v>76.75</v>
      </c>
      <c r="K35" s="45" t="str">
        <f t="shared" si="3"/>
        <v>C</v>
      </c>
      <c r="L35" s="43" t="str">
        <f t="shared" si="4"/>
        <v>Average</v>
      </c>
      <c r="M35" s="43"/>
    </row>
    <row r="36" spans="1:13" x14ac:dyDescent="0.35">
      <c r="A36" s="4" t="s">
        <v>122</v>
      </c>
      <c r="B36" s="3" t="s">
        <v>123</v>
      </c>
      <c r="C36" s="4" t="s">
        <v>124</v>
      </c>
      <c r="D36" s="5">
        <v>81</v>
      </c>
      <c r="E36" s="5">
        <v>87</v>
      </c>
      <c r="F36" s="5">
        <v>64</v>
      </c>
      <c r="G36" s="5">
        <v>63</v>
      </c>
      <c r="H36" s="5">
        <f t="shared" si="0"/>
        <v>0</v>
      </c>
      <c r="I36" s="5">
        <f t="shared" si="1"/>
        <v>0</v>
      </c>
      <c r="J36" s="44">
        <f t="shared" si="2"/>
        <v>73.75</v>
      </c>
      <c r="K36" s="45" t="str">
        <f t="shared" si="3"/>
        <v>C</v>
      </c>
      <c r="L36" s="43" t="str">
        <f t="shared" si="4"/>
        <v>Average</v>
      </c>
      <c r="M36" s="43"/>
    </row>
    <row r="37" spans="1:13" x14ac:dyDescent="0.35">
      <c r="A37" s="4" t="s">
        <v>125</v>
      </c>
      <c r="B37" s="3" t="s">
        <v>126</v>
      </c>
      <c r="C37" s="4" t="s">
        <v>127</v>
      </c>
      <c r="D37" s="5">
        <v>79</v>
      </c>
      <c r="E37" s="5">
        <v>92</v>
      </c>
      <c r="F37" s="5">
        <v>40</v>
      </c>
      <c r="G37" s="5">
        <v>72</v>
      </c>
      <c r="H37" s="5">
        <f t="shared" si="0"/>
        <v>5</v>
      </c>
      <c r="I37" s="5">
        <f t="shared" si="1"/>
        <v>8</v>
      </c>
      <c r="J37" s="44">
        <f t="shared" si="2"/>
        <v>74</v>
      </c>
      <c r="K37" s="45" t="str">
        <f t="shared" si="3"/>
        <v>C</v>
      </c>
      <c r="L37" s="43" t="str">
        <f t="shared" si="4"/>
        <v>Average</v>
      </c>
      <c r="M37" s="43"/>
    </row>
    <row r="38" spans="1:13" x14ac:dyDescent="0.35">
      <c r="A38" s="4" t="s">
        <v>128</v>
      </c>
      <c r="B38" s="3" t="s">
        <v>129</v>
      </c>
      <c r="C38" s="4" t="s">
        <v>130</v>
      </c>
      <c r="D38" s="5">
        <v>76</v>
      </c>
      <c r="E38" s="5">
        <v>75</v>
      </c>
      <c r="F38" s="5">
        <v>51</v>
      </c>
      <c r="G38" s="5">
        <v>64</v>
      </c>
      <c r="H38" s="5">
        <f t="shared" si="0"/>
        <v>0</v>
      </c>
      <c r="I38" s="5">
        <f t="shared" si="1"/>
        <v>8</v>
      </c>
      <c r="J38" s="44">
        <f t="shared" si="2"/>
        <v>68.5</v>
      </c>
      <c r="K38" s="45" t="str">
        <f t="shared" si="3"/>
        <v>D</v>
      </c>
      <c r="L38" s="43" t="str">
        <f t="shared" si="4"/>
        <v>Need to work hard</v>
      </c>
      <c r="M38" s="43"/>
    </row>
    <row r="39" spans="1:13" x14ac:dyDescent="0.35">
      <c r="A39" s="3" t="s">
        <v>131</v>
      </c>
      <c r="B39" s="3" t="s">
        <v>132</v>
      </c>
      <c r="C39" s="4" t="s">
        <v>133</v>
      </c>
      <c r="D39" s="5">
        <v>74</v>
      </c>
      <c r="E39" s="5">
        <v>65</v>
      </c>
      <c r="F39" s="5">
        <v>65</v>
      </c>
      <c r="G39" s="5">
        <v>75</v>
      </c>
      <c r="H39" s="5">
        <f t="shared" si="0"/>
        <v>0</v>
      </c>
      <c r="I39" s="5">
        <f t="shared" si="1"/>
        <v>0</v>
      </c>
      <c r="J39" s="44">
        <f t="shared" si="2"/>
        <v>69.75</v>
      </c>
      <c r="K39" s="45" t="str">
        <f t="shared" si="3"/>
        <v>D</v>
      </c>
      <c r="L39" s="43" t="str">
        <f t="shared" si="4"/>
        <v>Need to work hard</v>
      </c>
      <c r="M39" s="43"/>
    </row>
    <row r="40" spans="1:13" x14ac:dyDescent="0.35">
      <c r="A40" s="4" t="s">
        <v>134</v>
      </c>
      <c r="B40" s="3" t="s">
        <v>135</v>
      </c>
      <c r="C40" s="4" t="s">
        <v>136</v>
      </c>
      <c r="D40" s="5">
        <v>60</v>
      </c>
      <c r="E40" s="5">
        <v>80</v>
      </c>
      <c r="F40" s="5">
        <v>89</v>
      </c>
      <c r="G40" s="5">
        <v>66</v>
      </c>
      <c r="H40" s="5">
        <f t="shared" si="0"/>
        <v>0</v>
      </c>
      <c r="I40" s="5">
        <f t="shared" si="1"/>
        <v>0</v>
      </c>
      <c r="J40" s="44">
        <f t="shared" si="2"/>
        <v>73.75</v>
      </c>
      <c r="K40" s="45" t="str">
        <f t="shared" si="3"/>
        <v>C</v>
      </c>
      <c r="L40" s="43" t="str">
        <f t="shared" si="4"/>
        <v>Average</v>
      </c>
      <c r="M40" s="43"/>
    </row>
    <row r="41" spans="1:13" x14ac:dyDescent="0.35">
      <c r="A41" s="4" t="s">
        <v>137</v>
      </c>
      <c r="B41" s="3" t="s">
        <v>138</v>
      </c>
      <c r="C41" s="4" t="s">
        <v>139</v>
      </c>
      <c r="D41" s="5">
        <v>76</v>
      </c>
      <c r="E41" s="5">
        <v>73</v>
      </c>
      <c r="F41" s="5">
        <v>64</v>
      </c>
      <c r="G41" s="5">
        <v>48</v>
      </c>
      <c r="H41" s="5">
        <f t="shared" si="0"/>
        <v>0</v>
      </c>
      <c r="I41" s="5">
        <f t="shared" si="1"/>
        <v>8</v>
      </c>
      <c r="J41" s="44">
        <f t="shared" si="2"/>
        <v>67.25</v>
      </c>
      <c r="K41" s="45" t="str">
        <f t="shared" si="3"/>
        <v>D</v>
      </c>
      <c r="L41" s="43" t="str">
        <f t="shared" si="4"/>
        <v>Need to work hard</v>
      </c>
      <c r="M41" s="43"/>
    </row>
    <row r="42" spans="1:13" x14ac:dyDescent="0.35">
      <c r="A42" s="4" t="s">
        <v>140</v>
      </c>
      <c r="B42" s="3" t="s">
        <v>76</v>
      </c>
      <c r="C42" s="4" t="s">
        <v>141</v>
      </c>
      <c r="D42" s="5">
        <v>76</v>
      </c>
      <c r="E42" s="5">
        <v>70</v>
      </c>
      <c r="F42" s="5">
        <v>68</v>
      </c>
      <c r="G42" s="5">
        <v>55</v>
      </c>
      <c r="H42" s="5">
        <f t="shared" si="0"/>
        <v>0</v>
      </c>
      <c r="I42" s="5">
        <f t="shared" si="1"/>
        <v>8</v>
      </c>
      <c r="J42" s="44">
        <f t="shared" si="2"/>
        <v>69.25</v>
      </c>
      <c r="K42" s="45" t="str">
        <f t="shared" si="3"/>
        <v>D</v>
      </c>
      <c r="L42" s="43" t="str">
        <f t="shared" si="4"/>
        <v>Need to work hard</v>
      </c>
      <c r="M42" s="43"/>
    </row>
    <row r="43" spans="1:13" x14ac:dyDescent="0.35">
      <c r="A43" s="4" t="s">
        <v>142</v>
      </c>
      <c r="B43" s="3" t="s">
        <v>143</v>
      </c>
      <c r="C43" s="4" t="s">
        <v>144</v>
      </c>
      <c r="D43" s="5">
        <v>71</v>
      </c>
      <c r="E43" s="5">
        <v>75</v>
      </c>
      <c r="F43" s="5">
        <v>84</v>
      </c>
      <c r="G43" s="5">
        <v>73</v>
      </c>
      <c r="H43" s="5">
        <f t="shared" si="0"/>
        <v>0</v>
      </c>
      <c r="I43" s="5">
        <f t="shared" si="1"/>
        <v>0</v>
      </c>
      <c r="J43" s="44">
        <f t="shared" si="2"/>
        <v>75.75</v>
      </c>
      <c r="K43" s="45" t="str">
        <f t="shared" si="3"/>
        <v>C</v>
      </c>
      <c r="L43" s="43" t="str">
        <f t="shared" si="4"/>
        <v>Average</v>
      </c>
      <c r="M43" s="43"/>
    </row>
    <row r="44" spans="1:13" x14ac:dyDescent="0.35">
      <c r="A44" s="4" t="s">
        <v>145</v>
      </c>
      <c r="B44" s="3" t="s">
        <v>146</v>
      </c>
      <c r="C44" s="4" t="s">
        <v>147</v>
      </c>
      <c r="D44" s="5">
        <v>69</v>
      </c>
      <c r="E44" s="5">
        <v>79</v>
      </c>
      <c r="F44" s="5">
        <v>65</v>
      </c>
      <c r="G44" s="5">
        <v>62</v>
      </c>
      <c r="H44" s="5">
        <f t="shared" si="0"/>
        <v>0</v>
      </c>
      <c r="I44" s="5">
        <f t="shared" si="1"/>
        <v>0</v>
      </c>
      <c r="J44" s="44">
        <f t="shared" si="2"/>
        <v>68.75</v>
      </c>
      <c r="K44" s="45" t="str">
        <f t="shared" si="3"/>
        <v>D</v>
      </c>
      <c r="L44" s="43" t="str">
        <f t="shared" si="4"/>
        <v>Need to work hard</v>
      </c>
      <c r="M44" s="43"/>
    </row>
    <row r="45" spans="1:13" x14ac:dyDescent="0.35">
      <c r="A45" s="4" t="s">
        <v>148</v>
      </c>
      <c r="B45" s="3" t="s">
        <v>99</v>
      </c>
      <c r="C45" s="4" t="s">
        <v>149</v>
      </c>
      <c r="D45" s="5">
        <v>72</v>
      </c>
      <c r="E45" s="5">
        <v>72</v>
      </c>
      <c r="F45" s="5">
        <v>99</v>
      </c>
      <c r="G45" s="5">
        <v>45</v>
      </c>
      <c r="H45" s="5">
        <f t="shared" si="0"/>
        <v>1</v>
      </c>
      <c r="I45" s="5">
        <f t="shared" si="1"/>
        <v>8</v>
      </c>
      <c r="J45" s="44">
        <f t="shared" si="2"/>
        <v>74.25</v>
      </c>
      <c r="K45" s="45" t="str">
        <f t="shared" si="3"/>
        <v>C</v>
      </c>
      <c r="L45" s="43" t="str">
        <f t="shared" si="4"/>
        <v>Average</v>
      </c>
      <c r="M45" s="43"/>
    </row>
    <row r="46" spans="1:13" x14ac:dyDescent="0.35">
      <c r="A46" s="3" t="s">
        <v>150</v>
      </c>
      <c r="B46" s="3" t="s">
        <v>151</v>
      </c>
      <c r="C46" s="4" t="s">
        <v>152</v>
      </c>
      <c r="D46" s="5">
        <v>70</v>
      </c>
      <c r="E46" s="5">
        <v>72</v>
      </c>
      <c r="F46" s="5">
        <v>66</v>
      </c>
      <c r="G46" s="5">
        <v>50</v>
      </c>
      <c r="H46" s="5">
        <f t="shared" si="0"/>
        <v>0</v>
      </c>
      <c r="I46" s="5">
        <f t="shared" si="1"/>
        <v>8</v>
      </c>
      <c r="J46" s="44">
        <f t="shared" si="2"/>
        <v>66.5</v>
      </c>
      <c r="K46" s="45" t="str">
        <f t="shared" si="3"/>
        <v>D</v>
      </c>
      <c r="L46" s="43" t="str">
        <f t="shared" si="4"/>
        <v>Need to work hard</v>
      </c>
      <c r="M46" s="43"/>
    </row>
    <row r="47" spans="1:13" x14ac:dyDescent="0.35">
      <c r="A47" s="4" t="s">
        <v>153</v>
      </c>
      <c r="B47" s="3" t="s">
        <v>154</v>
      </c>
      <c r="C47" s="4" t="s">
        <v>155</v>
      </c>
      <c r="D47" s="5">
        <v>70</v>
      </c>
      <c r="E47" s="5">
        <v>63</v>
      </c>
      <c r="F47" s="5">
        <v>96</v>
      </c>
      <c r="G47" s="5">
        <v>68</v>
      </c>
      <c r="H47" s="5">
        <f t="shared" si="0"/>
        <v>4</v>
      </c>
      <c r="I47" s="5">
        <f t="shared" si="1"/>
        <v>0</v>
      </c>
      <c r="J47" s="44">
        <f t="shared" si="2"/>
        <v>75.25</v>
      </c>
      <c r="K47" s="45" t="str">
        <f t="shared" si="3"/>
        <v>C</v>
      </c>
      <c r="L47" s="43" t="str">
        <f t="shared" si="4"/>
        <v>Average</v>
      </c>
      <c r="M47" s="43"/>
    </row>
    <row r="48" spans="1:13" x14ac:dyDescent="0.35">
      <c r="A48" s="4" t="s">
        <v>156</v>
      </c>
      <c r="B48" s="3" t="s">
        <v>157</v>
      </c>
      <c r="C48" s="4" t="s">
        <v>158</v>
      </c>
      <c r="D48" s="5">
        <v>73</v>
      </c>
      <c r="E48" s="5">
        <v>53</v>
      </c>
      <c r="F48" s="5">
        <v>40</v>
      </c>
      <c r="G48" s="5">
        <v>68</v>
      </c>
      <c r="H48" s="5">
        <f t="shared" si="0"/>
        <v>0</v>
      </c>
      <c r="I48" s="5">
        <f t="shared" si="1"/>
        <v>8</v>
      </c>
      <c r="J48" s="44">
        <f t="shared" si="2"/>
        <v>60.5</v>
      </c>
      <c r="K48" s="45" t="str">
        <f t="shared" si="3"/>
        <v>D</v>
      </c>
      <c r="L48" s="43" t="str">
        <f t="shared" si="4"/>
        <v>Need to work hard</v>
      </c>
      <c r="M48" s="43"/>
    </row>
    <row r="49" spans="1:13" x14ac:dyDescent="0.35">
      <c r="A49" s="4" t="s">
        <v>159</v>
      </c>
      <c r="B49" s="3" t="s">
        <v>160</v>
      </c>
      <c r="C49" s="4" t="s">
        <v>161</v>
      </c>
      <c r="D49" s="5">
        <v>64</v>
      </c>
      <c r="E49" s="5">
        <v>69</v>
      </c>
      <c r="F49" s="5">
        <v>62</v>
      </c>
      <c r="G49" s="5">
        <v>73</v>
      </c>
      <c r="H49" s="5">
        <f t="shared" si="0"/>
        <v>0</v>
      </c>
      <c r="I49" s="5">
        <f t="shared" si="1"/>
        <v>0</v>
      </c>
      <c r="J49" s="44">
        <f t="shared" si="2"/>
        <v>67</v>
      </c>
      <c r="K49" s="45" t="str">
        <f t="shared" si="3"/>
        <v>D</v>
      </c>
      <c r="L49" s="43" t="str">
        <f t="shared" si="4"/>
        <v>Need to work hard</v>
      </c>
      <c r="M49" s="43"/>
    </row>
    <row r="50" spans="1:13" x14ac:dyDescent="0.35">
      <c r="A50" s="3" t="s">
        <v>162</v>
      </c>
      <c r="B50" s="3" t="s">
        <v>163</v>
      </c>
      <c r="C50" s="4" t="s">
        <v>164</v>
      </c>
      <c r="D50" s="5">
        <v>70</v>
      </c>
      <c r="E50" s="5">
        <v>53</v>
      </c>
      <c r="F50" s="5">
        <v>87</v>
      </c>
      <c r="G50" s="5">
        <v>61</v>
      </c>
      <c r="H50" s="5">
        <f t="shared" si="0"/>
        <v>0</v>
      </c>
      <c r="I50" s="5">
        <f t="shared" si="1"/>
        <v>8</v>
      </c>
      <c r="J50" s="44">
        <f t="shared" si="2"/>
        <v>69.75</v>
      </c>
      <c r="K50" s="45" t="str">
        <f t="shared" si="3"/>
        <v>D</v>
      </c>
      <c r="L50" s="43" t="str">
        <f t="shared" si="4"/>
        <v>Need to work hard</v>
      </c>
      <c r="M50" s="43"/>
    </row>
    <row r="51" spans="1:13" x14ac:dyDescent="0.35">
      <c r="A51" s="4" t="s">
        <v>165</v>
      </c>
      <c r="B51" s="3" t="s">
        <v>166</v>
      </c>
      <c r="C51" s="4" t="s">
        <v>167</v>
      </c>
      <c r="D51" s="5">
        <v>60</v>
      </c>
      <c r="E51" s="5">
        <v>64</v>
      </c>
      <c r="F51" s="5">
        <v>88</v>
      </c>
      <c r="G51" s="5">
        <v>67</v>
      </c>
      <c r="H51" s="5">
        <f t="shared" si="0"/>
        <v>0</v>
      </c>
      <c r="I51" s="5">
        <f t="shared" si="1"/>
        <v>0</v>
      </c>
      <c r="J51" s="44">
        <f t="shared" si="2"/>
        <v>69.75</v>
      </c>
      <c r="K51" s="45" t="str">
        <f t="shared" si="3"/>
        <v>D</v>
      </c>
      <c r="L51" s="43" t="str">
        <f t="shared" si="4"/>
        <v>Need to work hard</v>
      </c>
      <c r="M51" s="43"/>
    </row>
    <row r="52" spans="1:13" x14ac:dyDescent="0.35">
      <c r="A52" s="4" t="s">
        <v>168</v>
      </c>
      <c r="B52" s="3" t="s">
        <v>169</v>
      </c>
      <c r="C52" s="4" t="s">
        <v>170</v>
      </c>
      <c r="D52" s="5">
        <v>52</v>
      </c>
      <c r="E52" s="5">
        <v>74</v>
      </c>
      <c r="F52" s="5">
        <v>81</v>
      </c>
      <c r="G52" s="5">
        <v>25</v>
      </c>
      <c r="H52" s="5">
        <f t="shared" si="0"/>
        <v>0</v>
      </c>
      <c r="I52" s="5">
        <f t="shared" si="1"/>
        <v>8</v>
      </c>
      <c r="J52" s="44">
        <f t="shared" si="2"/>
        <v>60</v>
      </c>
      <c r="K52" s="45" t="str">
        <f t="shared" si="3"/>
        <v>D</v>
      </c>
      <c r="L52" s="43" t="str">
        <f t="shared" si="4"/>
        <v>Need to work hard</v>
      </c>
      <c r="M52" s="43"/>
    </row>
    <row r="53" spans="1:13" x14ac:dyDescent="0.35">
      <c r="A53" s="3" t="s">
        <v>171</v>
      </c>
      <c r="B53" s="3" t="s">
        <v>172</v>
      </c>
      <c r="C53" s="4" t="s">
        <v>173</v>
      </c>
      <c r="D53" s="5">
        <v>56</v>
      </c>
      <c r="E53" s="5">
        <v>56</v>
      </c>
      <c r="F53" s="5">
        <v>46</v>
      </c>
      <c r="G53" s="5">
        <v>68</v>
      </c>
      <c r="H53" s="5">
        <f t="shared" si="0"/>
        <v>0</v>
      </c>
      <c r="I53" s="5">
        <f t="shared" si="1"/>
        <v>8</v>
      </c>
      <c r="J53" s="44">
        <f t="shared" si="2"/>
        <v>58.5</v>
      </c>
      <c r="K53" s="45" t="str">
        <f t="shared" si="3"/>
        <v>F</v>
      </c>
      <c r="L53" s="43" t="str">
        <f t="shared" si="4"/>
        <v>Bad</v>
      </c>
      <c r="M53" s="43"/>
    </row>
    <row r="54" spans="1:13" x14ac:dyDescent="0.35">
      <c r="A54" s="4" t="s">
        <v>174</v>
      </c>
      <c r="B54" s="3" t="s">
        <v>175</v>
      </c>
      <c r="C54" s="4" t="s">
        <v>176</v>
      </c>
      <c r="D54" s="5">
        <v>56</v>
      </c>
      <c r="E54" s="5">
        <v>60</v>
      </c>
      <c r="F54" s="5">
        <v>59</v>
      </c>
      <c r="G54" s="5">
        <v>56</v>
      </c>
      <c r="H54" s="5">
        <f t="shared" si="0"/>
        <v>0</v>
      </c>
      <c r="I54" s="5">
        <f t="shared" si="1"/>
        <v>8</v>
      </c>
      <c r="J54" s="44">
        <f t="shared" si="2"/>
        <v>59.75</v>
      </c>
      <c r="K54" s="45" t="str">
        <f t="shared" si="3"/>
        <v>F</v>
      </c>
      <c r="L54" s="43" t="str">
        <f t="shared" si="4"/>
        <v>Bad</v>
      </c>
      <c r="M54" s="43"/>
    </row>
    <row r="55" spans="1:13" x14ac:dyDescent="0.35">
      <c r="A55" s="4" t="s">
        <v>177</v>
      </c>
      <c r="B55" s="3" t="s">
        <v>178</v>
      </c>
      <c r="C55" s="4" t="s">
        <v>179</v>
      </c>
      <c r="D55" s="5">
        <v>59</v>
      </c>
      <c r="E55" s="5">
        <v>45</v>
      </c>
      <c r="F55" s="5">
        <v>46</v>
      </c>
      <c r="G55" s="5">
        <v>61</v>
      </c>
      <c r="H55" s="5">
        <f t="shared" si="0"/>
        <v>0</v>
      </c>
      <c r="I55" s="5">
        <f t="shared" si="1"/>
        <v>8</v>
      </c>
      <c r="J55" s="44">
        <f t="shared" si="2"/>
        <v>54.75</v>
      </c>
      <c r="K55" s="45" t="str">
        <f t="shared" si="3"/>
        <v>F</v>
      </c>
      <c r="L55" s="43" t="str">
        <f t="shared" si="4"/>
        <v>Bad</v>
      </c>
      <c r="M55" s="43"/>
    </row>
    <row r="56" spans="1:13" x14ac:dyDescent="0.35">
      <c r="A56" s="4" t="s">
        <v>180</v>
      </c>
      <c r="B56" s="3" t="s">
        <v>102</v>
      </c>
      <c r="C56" s="4" t="s">
        <v>181</v>
      </c>
      <c r="D56" s="5">
        <v>64</v>
      </c>
      <c r="E56" s="5">
        <v>57</v>
      </c>
      <c r="F56" s="5">
        <v>99</v>
      </c>
      <c r="G56" s="5">
        <v>47</v>
      </c>
      <c r="H56" s="5">
        <f t="shared" si="0"/>
        <v>1</v>
      </c>
      <c r="I56" s="5">
        <f t="shared" si="1"/>
        <v>8</v>
      </c>
      <c r="J56" s="44">
        <f t="shared" si="2"/>
        <v>69</v>
      </c>
      <c r="K56" s="45" t="str">
        <f t="shared" si="3"/>
        <v>D</v>
      </c>
      <c r="L56" s="43" t="str">
        <f t="shared" si="4"/>
        <v>Need to work hard</v>
      </c>
      <c r="M56" s="43"/>
    </row>
    <row r="57" spans="1:13" x14ac:dyDescent="0.35">
      <c r="A57" s="3" t="s">
        <v>182</v>
      </c>
      <c r="B57" s="3" t="s">
        <v>183</v>
      </c>
      <c r="C57" s="4" t="s">
        <v>184</v>
      </c>
      <c r="D57" s="5">
        <v>60</v>
      </c>
      <c r="E57" s="5">
        <v>47</v>
      </c>
      <c r="F57" s="5">
        <v>45</v>
      </c>
      <c r="G57" s="5">
        <v>45</v>
      </c>
      <c r="H57" s="5">
        <f t="shared" si="0"/>
        <v>0</v>
      </c>
      <c r="I57" s="5">
        <f t="shared" si="1"/>
        <v>8</v>
      </c>
      <c r="J57" s="44">
        <f t="shared" si="2"/>
        <v>51.25</v>
      </c>
      <c r="K57" s="45" t="str">
        <f t="shared" si="3"/>
        <v>F</v>
      </c>
      <c r="L57" s="43" t="str">
        <f t="shared" si="4"/>
        <v>Bad</v>
      </c>
      <c r="M57" s="43"/>
    </row>
    <row r="58" spans="1:13" x14ac:dyDescent="0.35">
      <c r="A58" s="4" t="s">
        <v>185</v>
      </c>
      <c r="B58" s="3" t="s">
        <v>186</v>
      </c>
      <c r="C58" s="4" t="s">
        <v>187</v>
      </c>
      <c r="D58" s="5">
        <v>56</v>
      </c>
      <c r="E58" s="5">
        <v>53</v>
      </c>
      <c r="F58" s="5">
        <v>42</v>
      </c>
      <c r="G58" s="5">
        <v>54</v>
      </c>
      <c r="H58" s="5">
        <f t="shared" si="0"/>
        <v>0</v>
      </c>
      <c r="I58" s="5">
        <f t="shared" si="1"/>
        <v>8</v>
      </c>
      <c r="J58" s="44">
        <f t="shared" si="2"/>
        <v>53.25</v>
      </c>
      <c r="K58" s="45" t="str">
        <f t="shared" si="3"/>
        <v>F</v>
      </c>
      <c r="L58" s="43" t="str">
        <f t="shared" si="4"/>
        <v>Bad</v>
      </c>
      <c r="M58" s="43"/>
    </row>
    <row r="59" spans="1:13" x14ac:dyDescent="0.35">
      <c r="A59" s="4" t="s">
        <v>188</v>
      </c>
      <c r="B59" s="3" t="s">
        <v>189</v>
      </c>
      <c r="C59" s="4" t="s">
        <v>190</v>
      </c>
      <c r="D59" s="5">
        <v>56</v>
      </c>
      <c r="E59" s="5">
        <v>47</v>
      </c>
      <c r="F59" s="5">
        <v>90</v>
      </c>
      <c r="G59" s="5">
        <v>45</v>
      </c>
      <c r="H59" s="5">
        <f t="shared" si="0"/>
        <v>0</v>
      </c>
      <c r="I59" s="5">
        <f t="shared" si="1"/>
        <v>8</v>
      </c>
      <c r="J59" s="44">
        <f t="shared" si="2"/>
        <v>61.5</v>
      </c>
      <c r="K59" s="45" t="str">
        <f t="shared" si="3"/>
        <v>D</v>
      </c>
      <c r="L59" s="43" t="str">
        <f t="shared" si="4"/>
        <v>Need to work hard</v>
      </c>
      <c r="M59" s="43"/>
    </row>
    <row r="60" spans="1:13" x14ac:dyDescent="0.35">
      <c r="A60" s="3" t="s">
        <v>191</v>
      </c>
      <c r="B60" s="3" t="s">
        <v>192</v>
      </c>
      <c r="C60" s="4" t="s">
        <v>193</v>
      </c>
      <c r="D60" s="5">
        <v>53</v>
      </c>
      <c r="E60" s="5">
        <v>48</v>
      </c>
      <c r="F60" s="5">
        <v>85</v>
      </c>
      <c r="G60" s="5">
        <v>36</v>
      </c>
      <c r="H60" s="5">
        <f t="shared" si="0"/>
        <v>0</v>
      </c>
      <c r="I60" s="5">
        <f t="shared" si="1"/>
        <v>8</v>
      </c>
      <c r="J60" s="44">
        <f t="shared" si="2"/>
        <v>57.5</v>
      </c>
      <c r="K60" s="45" t="str">
        <f t="shared" si="3"/>
        <v>F</v>
      </c>
      <c r="L60" s="43" t="str">
        <f t="shared" si="4"/>
        <v>Bad</v>
      </c>
      <c r="M60" s="43"/>
    </row>
    <row r="61" spans="1:13" x14ac:dyDescent="0.35">
      <c r="A61" s="4" t="s">
        <v>194</v>
      </c>
      <c r="B61" s="3" t="s">
        <v>195</v>
      </c>
      <c r="C61" s="4" t="s">
        <v>196</v>
      </c>
      <c r="D61" s="5">
        <v>39</v>
      </c>
      <c r="E61" s="5">
        <v>42</v>
      </c>
      <c r="F61" s="5">
        <v>46</v>
      </c>
      <c r="G61" s="5">
        <v>53</v>
      </c>
      <c r="H61" s="5">
        <f t="shared" si="0"/>
        <v>0</v>
      </c>
      <c r="I61" s="5">
        <f t="shared" si="1"/>
        <v>8</v>
      </c>
      <c r="J61" s="44">
        <f t="shared" si="2"/>
        <v>47</v>
      </c>
      <c r="K61" s="45" t="str">
        <f t="shared" si="3"/>
        <v>F</v>
      </c>
      <c r="L61" s="43" t="str">
        <f t="shared" si="4"/>
        <v>Bad</v>
      </c>
      <c r="M61" s="43"/>
    </row>
    <row r="62" spans="1:13" x14ac:dyDescent="0.35">
      <c r="A62" s="3" t="s">
        <v>197</v>
      </c>
      <c r="B62" s="3" t="s">
        <v>198</v>
      </c>
      <c r="C62" s="4" t="s">
        <v>199</v>
      </c>
      <c r="D62" s="5">
        <v>47</v>
      </c>
      <c r="E62" s="5">
        <v>27</v>
      </c>
      <c r="F62" s="5">
        <v>98</v>
      </c>
      <c r="G62" s="5">
        <v>34</v>
      </c>
      <c r="H62" s="5">
        <f t="shared" si="0"/>
        <v>2</v>
      </c>
      <c r="I62" s="5">
        <f t="shared" si="1"/>
        <v>8</v>
      </c>
      <c r="J62" s="44">
        <f t="shared" si="2"/>
        <v>54</v>
      </c>
      <c r="K62" s="45" t="str">
        <f t="shared" si="3"/>
        <v>F</v>
      </c>
      <c r="L62" s="43" t="str">
        <f t="shared" si="4"/>
        <v>Bad</v>
      </c>
      <c r="M62" s="43"/>
    </row>
    <row r="63" spans="1:13" x14ac:dyDescent="0.35">
      <c r="A63" s="4" t="s">
        <v>200</v>
      </c>
      <c r="B63" s="3" t="s">
        <v>201</v>
      </c>
      <c r="C63" s="4" t="s">
        <v>202</v>
      </c>
      <c r="D63" s="5">
        <v>31</v>
      </c>
      <c r="E63" s="5">
        <v>33</v>
      </c>
      <c r="F63" s="5">
        <v>77</v>
      </c>
      <c r="G63" s="5">
        <v>46</v>
      </c>
      <c r="H63" s="5">
        <f t="shared" si="0"/>
        <v>0</v>
      </c>
      <c r="I63" s="5">
        <f t="shared" si="1"/>
        <v>8</v>
      </c>
      <c r="J63" s="44">
        <f t="shared" si="2"/>
        <v>48.75</v>
      </c>
      <c r="K63" s="45" t="str">
        <f t="shared" si="3"/>
        <v>F</v>
      </c>
      <c r="L63" s="43" t="str">
        <f t="shared" si="4"/>
        <v>Bad</v>
      </c>
      <c r="M63" s="43"/>
    </row>
    <row r="64" spans="1:13" x14ac:dyDescent="0.35">
      <c r="A64" s="4" t="s">
        <v>203</v>
      </c>
      <c r="B64" s="3" t="s">
        <v>204</v>
      </c>
      <c r="C64" s="4" t="s">
        <v>205</v>
      </c>
      <c r="D64" s="5">
        <v>54</v>
      </c>
      <c r="E64" s="5">
        <v>29</v>
      </c>
      <c r="F64" s="5">
        <v>74</v>
      </c>
      <c r="G64" s="5">
        <v>32</v>
      </c>
      <c r="H64" s="5">
        <f t="shared" si="0"/>
        <v>0</v>
      </c>
      <c r="I64" s="5">
        <f t="shared" si="1"/>
        <v>8</v>
      </c>
      <c r="J64" s="44">
        <f t="shared" si="2"/>
        <v>49.25</v>
      </c>
      <c r="K64" s="45" t="str">
        <f t="shared" si="3"/>
        <v>F</v>
      </c>
      <c r="L64" s="43" t="str">
        <f t="shared" si="4"/>
        <v>Bad</v>
      </c>
      <c r="M64" s="43"/>
    </row>
    <row r="65" spans="1:13" x14ac:dyDescent="0.35">
      <c r="A65" s="4" t="s">
        <v>206</v>
      </c>
      <c r="B65" s="3" t="s">
        <v>207</v>
      </c>
      <c r="C65" s="4" t="s">
        <v>208</v>
      </c>
      <c r="D65" s="5">
        <v>40</v>
      </c>
      <c r="E65" s="5">
        <v>32</v>
      </c>
      <c r="F65" s="5">
        <v>45</v>
      </c>
      <c r="G65" s="5">
        <v>37</v>
      </c>
      <c r="H65" s="5">
        <f t="shared" si="0"/>
        <v>0</v>
      </c>
      <c r="I65" s="5">
        <f t="shared" si="1"/>
        <v>8</v>
      </c>
      <c r="J65" s="44">
        <f t="shared" si="2"/>
        <v>40.5</v>
      </c>
      <c r="K65" s="45" t="str">
        <f t="shared" si="3"/>
        <v>F</v>
      </c>
      <c r="L65" s="43" t="str">
        <f t="shared" si="4"/>
        <v>Bad</v>
      </c>
      <c r="M65" s="43"/>
    </row>
    <row r="66" spans="1:13" x14ac:dyDescent="0.35">
      <c r="A66" s="3" t="s">
        <v>209</v>
      </c>
      <c r="B66" s="3" t="s">
        <v>210</v>
      </c>
      <c r="C66" s="4" t="s">
        <v>211</v>
      </c>
      <c r="D66" s="5">
        <v>25</v>
      </c>
      <c r="E66" s="5">
        <v>29</v>
      </c>
      <c r="F66" s="5">
        <v>59</v>
      </c>
      <c r="G66" s="5">
        <v>27</v>
      </c>
      <c r="H66" s="5">
        <f t="shared" si="0"/>
        <v>0</v>
      </c>
      <c r="I66" s="5">
        <f t="shared" si="1"/>
        <v>8</v>
      </c>
      <c r="J66" s="44">
        <f t="shared" si="2"/>
        <v>37</v>
      </c>
      <c r="K66" s="45" t="str">
        <f t="shared" si="3"/>
        <v>F</v>
      </c>
      <c r="L66" s="43" t="str">
        <f t="shared" si="4"/>
        <v>Bad</v>
      </c>
      <c r="M66" s="43"/>
    </row>
    <row r="67" spans="1:13" x14ac:dyDescent="0.35">
      <c r="A67" s="4" t="s">
        <v>212</v>
      </c>
      <c r="B67" s="3" t="s">
        <v>213</v>
      </c>
      <c r="C67" s="4" t="s">
        <v>214</v>
      </c>
      <c r="D67" s="5">
        <v>46</v>
      </c>
      <c r="E67" s="5">
        <v>30</v>
      </c>
      <c r="F67" s="5">
        <v>98</v>
      </c>
      <c r="G67" s="5">
        <v>0</v>
      </c>
      <c r="H67" s="5">
        <f t="shared" si="0"/>
        <v>2</v>
      </c>
      <c r="I67" s="5">
        <f t="shared" si="1"/>
        <v>8</v>
      </c>
      <c r="J67" s="44">
        <f t="shared" si="2"/>
        <v>46</v>
      </c>
      <c r="K67" s="45" t="str">
        <f t="shared" si="3"/>
        <v>F</v>
      </c>
      <c r="L67" s="43" t="str">
        <f t="shared" si="4"/>
        <v>Bad</v>
      </c>
      <c r="M67" s="43"/>
    </row>
    <row r="68" spans="1:13" x14ac:dyDescent="0.35">
      <c r="A68" s="4" t="s">
        <v>215</v>
      </c>
      <c r="B68" s="3" t="s">
        <v>216</v>
      </c>
      <c r="C68" s="4" t="s">
        <v>217</v>
      </c>
      <c r="D68" s="5">
        <v>96</v>
      </c>
      <c r="E68" s="5">
        <v>95</v>
      </c>
      <c r="F68" s="5">
        <v>67</v>
      </c>
      <c r="G68" s="5">
        <v>35</v>
      </c>
      <c r="H68" s="5">
        <f t="shared" ref="H68:H97" si="5">IF(MAX(D68:G68)&gt;90,MIN(100-MAX(D68:G68),5),0)</f>
        <v>4</v>
      </c>
      <c r="I68" s="5">
        <f t="shared" ref="I68:I97" si="6">IF(MIN(D68:G68)&lt;60,8,0)</f>
        <v>8</v>
      </c>
      <c r="J68" s="44">
        <f t="shared" ref="J68:J97" si="7">SUM(D68:I68)/4</f>
        <v>76.25</v>
      </c>
      <c r="K68" s="45" t="str">
        <f t="shared" ref="K68:K97" si="8">VLOOKUP(J68,$N$8:$O$12,2,TRUE)</f>
        <v>C</v>
      </c>
      <c r="L68" s="43" t="str">
        <f t="shared" ref="L68:L97" si="9">VLOOKUP(K68,$O$8:$P$12,2,FALSE)</f>
        <v>Average</v>
      </c>
      <c r="M68" s="43"/>
    </row>
    <row r="69" spans="1:13" x14ac:dyDescent="0.35">
      <c r="A69" s="4" t="s">
        <v>218</v>
      </c>
      <c r="B69" s="3" t="s">
        <v>219</v>
      </c>
      <c r="C69" s="4" t="s">
        <v>220</v>
      </c>
      <c r="D69" s="5">
        <v>87</v>
      </c>
      <c r="E69" s="5">
        <v>82</v>
      </c>
      <c r="F69" s="5">
        <v>84</v>
      </c>
      <c r="G69" s="5">
        <v>46</v>
      </c>
      <c r="H69" s="5">
        <f t="shared" si="5"/>
        <v>0</v>
      </c>
      <c r="I69" s="5">
        <f t="shared" si="6"/>
        <v>8</v>
      </c>
      <c r="J69" s="44">
        <f t="shared" si="7"/>
        <v>76.75</v>
      </c>
      <c r="K69" s="45" t="str">
        <f t="shared" si="8"/>
        <v>C</v>
      </c>
      <c r="L69" s="43" t="str">
        <f t="shared" si="9"/>
        <v>Average</v>
      </c>
      <c r="M69" s="43"/>
    </row>
    <row r="70" spans="1:13" x14ac:dyDescent="0.35">
      <c r="A70" s="4" t="s">
        <v>221</v>
      </c>
      <c r="B70" s="3" t="s">
        <v>222</v>
      </c>
      <c r="C70" s="4" t="s">
        <v>223</v>
      </c>
      <c r="D70" s="5">
        <v>93</v>
      </c>
      <c r="E70" s="5">
        <v>93</v>
      </c>
      <c r="F70" s="5">
        <v>74</v>
      </c>
      <c r="G70" s="5">
        <v>47</v>
      </c>
      <c r="H70" s="5">
        <f t="shared" si="5"/>
        <v>5</v>
      </c>
      <c r="I70" s="5">
        <f t="shared" si="6"/>
        <v>8</v>
      </c>
      <c r="J70" s="44">
        <f t="shared" si="7"/>
        <v>80</v>
      </c>
      <c r="K70" s="45" t="str">
        <f t="shared" si="8"/>
        <v>B</v>
      </c>
      <c r="L70" s="43" t="str">
        <f t="shared" si="9"/>
        <v>Good</v>
      </c>
      <c r="M70" s="43"/>
    </row>
    <row r="71" spans="1:13" x14ac:dyDescent="0.35">
      <c r="A71" s="4" t="s">
        <v>224</v>
      </c>
      <c r="B71" s="3" t="s">
        <v>225</v>
      </c>
      <c r="C71" s="4" t="s">
        <v>226</v>
      </c>
      <c r="D71" s="5">
        <v>93</v>
      </c>
      <c r="E71" s="5">
        <v>90</v>
      </c>
      <c r="F71" s="5">
        <v>79</v>
      </c>
      <c r="G71" s="5">
        <v>54</v>
      </c>
      <c r="H71" s="5">
        <f t="shared" si="5"/>
        <v>5</v>
      </c>
      <c r="I71" s="5">
        <f t="shared" si="6"/>
        <v>8</v>
      </c>
      <c r="J71" s="44">
        <f t="shared" si="7"/>
        <v>82.25</v>
      </c>
      <c r="K71" s="45" t="str">
        <f t="shared" si="8"/>
        <v>B</v>
      </c>
      <c r="L71" s="43" t="str">
        <f t="shared" si="9"/>
        <v>Good</v>
      </c>
      <c r="M71" s="43"/>
    </row>
    <row r="72" spans="1:13" x14ac:dyDescent="0.35">
      <c r="A72" s="4" t="s">
        <v>227</v>
      </c>
      <c r="B72" s="3" t="s">
        <v>228</v>
      </c>
      <c r="C72" s="4" t="s">
        <v>229</v>
      </c>
      <c r="D72" s="5">
        <v>85</v>
      </c>
      <c r="E72" s="5">
        <v>83</v>
      </c>
      <c r="F72" s="5">
        <v>80</v>
      </c>
      <c r="G72" s="5">
        <v>66</v>
      </c>
      <c r="H72" s="5">
        <f t="shared" si="5"/>
        <v>0</v>
      </c>
      <c r="I72" s="5">
        <f t="shared" si="6"/>
        <v>0</v>
      </c>
      <c r="J72" s="44">
        <f t="shared" si="7"/>
        <v>78.5</v>
      </c>
      <c r="K72" s="45" t="str">
        <f t="shared" si="8"/>
        <v>C</v>
      </c>
      <c r="L72" s="43" t="str">
        <f t="shared" si="9"/>
        <v>Average</v>
      </c>
      <c r="M72" s="43"/>
    </row>
    <row r="73" spans="1:13" x14ac:dyDescent="0.35">
      <c r="A73" s="4" t="s">
        <v>230</v>
      </c>
      <c r="B73" s="3" t="s">
        <v>231</v>
      </c>
      <c r="C73" s="4" t="s">
        <v>232</v>
      </c>
      <c r="D73" s="5">
        <v>26</v>
      </c>
      <c r="E73" s="5">
        <v>87</v>
      </c>
      <c r="F73" s="5">
        <v>56</v>
      </c>
      <c r="G73" s="5">
        <v>69</v>
      </c>
      <c r="H73" s="5">
        <f t="shared" si="5"/>
        <v>0</v>
      </c>
      <c r="I73" s="5">
        <f t="shared" si="6"/>
        <v>8</v>
      </c>
      <c r="J73" s="44">
        <f t="shared" si="7"/>
        <v>61.5</v>
      </c>
      <c r="K73" s="45" t="str">
        <f t="shared" si="8"/>
        <v>D</v>
      </c>
      <c r="L73" s="43" t="str">
        <f t="shared" si="9"/>
        <v>Need to work hard</v>
      </c>
      <c r="M73" s="43"/>
    </row>
    <row r="74" spans="1:13" x14ac:dyDescent="0.35">
      <c r="A74" s="4" t="s">
        <v>233</v>
      </c>
      <c r="B74" s="3" t="s">
        <v>234</v>
      </c>
      <c r="C74" s="4" t="s">
        <v>235</v>
      </c>
      <c r="D74" s="5">
        <v>59</v>
      </c>
      <c r="E74" s="5">
        <v>83</v>
      </c>
      <c r="F74" s="5">
        <v>68</v>
      </c>
      <c r="G74" s="5">
        <v>69</v>
      </c>
      <c r="H74" s="5">
        <f t="shared" si="5"/>
        <v>0</v>
      </c>
      <c r="I74" s="5">
        <f t="shared" si="6"/>
        <v>8</v>
      </c>
      <c r="J74" s="44">
        <f t="shared" si="7"/>
        <v>71.75</v>
      </c>
      <c r="K74" s="45" t="str">
        <f t="shared" si="8"/>
        <v>C</v>
      </c>
      <c r="L74" s="43" t="str">
        <f t="shared" si="9"/>
        <v>Average</v>
      </c>
      <c r="M74" s="43"/>
    </row>
    <row r="75" spans="1:13" x14ac:dyDescent="0.35">
      <c r="A75" s="4" t="s">
        <v>203</v>
      </c>
      <c r="B75" s="3" t="s">
        <v>236</v>
      </c>
      <c r="C75" s="4" t="s">
        <v>237</v>
      </c>
      <c r="D75" s="5">
        <v>64</v>
      </c>
      <c r="E75" s="5">
        <v>83</v>
      </c>
      <c r="F75" s="5">
        <v>67</v>
      </c>
      <c r="G75" s="5">
        <v>70</v>
      </c>
      <c r="H75" s="5">
        <f t="shared" si="5"/>
        <v>0</v>
      </c>
      <c r="I75" s="5">
        <f t="shared" si="6"/>
        <v>0</v>
      </c>
      <c r="J75" s="44">
        <f t="shared" si="7"/>
        <v>71</v>
      </c>
      <c r="K75" s="45" t="str">
        <f t="shared" si="8"/>
        <v>C</v>
      </c>
      <c r="L75" s="43" t="str">
        <f t="shared" si="9"/>
        <v>Average</v>
      </c>
      <c r="M75" s="43"/>
    </row>
    <row r="76" spans="1:13" x14ac:dyDescent="0.35">
      <c r="A76" s="4" t="s">
        <v>238</v>
      </c>
      <c r="B76" s="3" t="s">
        <v>239</v>
      </c>
      <c r="C76" s="4" t="s">
        <v>240</v>
      </c>
      <c r="D76" s="5">
        <v>68</v>
      </c>
      <c r="E76" s="5">
        <v>77</v>
      </c>
      <c r="F76" s="5">
        <v>59</v>
      </c>
      <c r="G76" s="5">
        <v>70</v>
      </c>
      <c r="H76" s="5">
        <f t="shared" si="5"/>
        <v>0</v>
      </c>
      <c r="I76" s="5">
        <f t="shared" si="6"/>
        <v>8</v>
      </c>
      <c r="J76" s="44">
        <f t="shared" si="7"/>
        <v>70.5</v>
      </c>
      <c r="K76" s="45" t="str">
        <f t="shared" si="8"/>
        <v>C</v>
      </c>
      <c r="L76" s="43" t="str">
        <f t="shared" si="9"/>
        <v>Average</v>
      </c>
      <c r="M76" s="43"/>
    </row>
    <row r="77" spans="1:13" x14ac:dyDescent="0.35">
      <c r="A77" s="4" t="s">
        <v>241</v>
      </c>
      <c r="B77" s="3" t="s">
        <v>242</v>
      </c>
      <c r="C77" s="4" t="s">
        <v>243</v>
      </c>
      <c r="D77" s="5">
        <v>72</v>
      </c>
      <c r="E77" s="5">
        <v>84</v>
      </c>
      <c r="F77" s="5">
        <v>42</v>
      </c>
      <c r="G77" s="5">
        <v>70</v>
      </c>
      <c r="H77" s="5">
        <f t="shared" si="5"/>
        <v>0</v>
      </c>
      <c r="I77" s="5">
        <f t="shared" si="6"/>
        <v>8</v>
      </c>
      <c r="J77" s="44">
        <f t="shared" si="7"/>
        <v>69</v>
      </c>
      <c r="K77" s="45" t="str">
        <f t="shared" si="8"/>
        <v>D</v>
      </c>
      <c r="L77" s="43" t="str">
        <f t="shared" si="9"/>
        <v>Need to work hard</v>
      </c>
      <c r="M77" s="43"/>
    </row>
    <row r="78" spans="1:13" x14ac:dyDescent="0.35">
      <c r="A78" s="4" t="s">
        <v>244</v>
      </c>
      <c r="B78" s="3" t="s">
        <v>245</v>
      </c>
      <c r="C78" s="4" t="s">
        <v>246</v>
      </c>
      <c r="D78" s="5">
        <v>73</v>
      </c>
      <c r="E78" s="5">
        <v>84</v>
      </c>
      <c r="F78" s="5">
        <v>100</v>
      </c>
      <c r="G78" s="5">
        <v>72</v>
      </c>
      <c r="H78" s="5">
        <f t="shared" si="5"/>
        <v>0</v>
      </c>
      <c r="I78" s="5">
        <f t="shared" si="6"/>
        <v>0</v>
      </c>
      <c r="J78" s="44">
        <f t="shared" si="7"/>
        <v>82.25</v>
      </c>
      <c r="K78" s="45" t="str">
        <f t="shared" si="8"/>
        <v>B</v>
      </c>
      <c r="L78" s="43" t="str">
        <f t="shared" si="9"/>
        <v>Good</v>
      </c>
      <c r="M78" s="43"/>
    </row>
    <row r="79" spans="1:13" x14ac:dyDescent="0.35">
      <c r="A79" s="4" t="s">
        <v>247</v>
      </c>
      <c r="B79" s="3" t="s">
        <v>248</v>
      </c>
      <c r="C79" s="4" t="s">
        <v>249</v>
      </c>
      <c r="D79" s="5">
        <v>74</v>
      </c>
      <c r="E79" s="5">
        <v>74</v>
      </c>
      <c r="F79" s="5">
        <v>71</v>
      </c>
      <c r="G79" s="5">
        <v>73</v>
      </c>
      <c r="H79" s="5">
        <f t="shared" si="5"/>
        <v>0</v>
      </c>
      <c r="I79" s="5">
        <f t="shared" si="6"/>
        <v>0</v>
      </c>
      <c r="J79" s="44">
        <f t="shared" si="7"/>
        <v>73</v>
      </c>
      <c r="K79" s="45" t="str">
        <f t="shared" si="8"/>
        <v>C</v>
      </c>
      <c r="L79" s="43" t="str">
        <f t="shared" si="9"/>
        <v>Average</v>
      </c>
      <c r="M79" s="43"/>
    </row>
    <row r="80" spans="1:13" x14ac:dyDescent="0.35">
      <c r="A80" s="3" t="s">
        <v>250</v>
      </c>
      <c r="B80" s="3" t="s">
        <v>251</v>
      </c>
      <c r="C80" s="4" t="s">
        <v>252</v>
      </c>
      <c r="D80" s="5">
        <v>75</v>
      </c>
      <c r="E80" s="5">
        <v>81</v>
      </c>
      <c r="F80" s="5">
        <v>72</v>
      </c>
      <c r="G80" s="5">
        <v>73</v>
      </c>
      <c r="H80" s="5">
        <f t="shared" si="5"/>
        <v>0</v>
      </c>
      <c r="I80" s="5">
        <f t="shared" si="6"/>
        <v>0</v>
      </c>
      <c r="J80" s="44">
        <f t="shared" si="7"/>
        <v>75.25</v>
      </c>
      <c r="K80" s="45" t="str">
        <f t="shared" si="8"/>
        <v>C</v>
      </c>
      <c r="L80" s="43" t="str">
        <f t="shared" si="9"/>
        <v>Average</v>
      </c>
      <c r="M80" s="43"/>
    </row>
    <row r="81" spans="1:13" x14ac:dyDescent="0.35">
      <c r="A81" s="3" t="s">
        <v>253</v>
      </c>
      <c r="B81" s="3" t="s">
        <v>254</v>
      </c>
      <c r="C81" s="4" t="s">
        <v>255</v>
      </c>
      <c r="D81" s="5">
        <v>76</v>
      </c>
      <c r="E81" s="5">
        <v>81</v>
      </c>
      <c r="F81" s="5">
        <v>90</v>
      </c>
      <c r="G81" s="5">
        <v>73</v>
      </c>
      <c r="H81" s="5">
        <f t="shared" si="5"/>
        <v>0</v>
      </c>
      <c r="I81" s="5">
        <f t="shared" si="6"/>
        <v>0</v>
      </c>
      <c r="J81" s="44">
        <f t="shared" si="7"/>
        <v>80</v>
      </c>
      <c r="K81" s="45" t="str">
        <f t="shared" si="8"/>
        <v>B</v>
      </c>
      <c r="L81" s="43" t="str">
        <f t="shared" si="9"/>
        <v>Good</v>
      </c>
      <c r="M81" s="43"/>
    </row>
    <row r="82" spans="1:13" x14ac:dyDescent="0.35">
      <c r="A82" s="3" t="s">
        <v>256</v>
      </c>
      <c r="B82" s="3" t="s">
        <v>257</v>
      </c>
      <c r="C82" s="4" t="s">
        <v>258</v>
      </c>
      <c r="D82" s="5">
        <v>78</v>
      </c>
      <c r="E82" s="5">
        <v>64</v>
      </c>
      <c r="F82" s="5">
        <v>86</v>
      </c>
      <c r="G82" s="5">
        <v>74</v>
      </c>
      <c r="H82" s="5">
        <f t="shared" si="5"/>
        <v>0</v>
      </c>
      <c r="I82" s="5">
        <f t="shared" si="6"/>
        <v>0</v>
      </c>
      <c r="J82" s="44">
        <f t="shared" si="7"/>
        <v>75.5</v>
      </c>
      <c r="K82" s="45" t="str">
        <f t="shared" si="8"/>
        <v>C</v>
      </c>
      <c r="L82" s="43" t="str">
        <f t="shared" si="9"/>
        <v>Average</v>
      </c>
      <c r="M82" s="43"/>
    </row>
    <row r="83" spans="1:13" x14ac:dyDescent="0.35">
      <c r="A83" s="4" t="s">
        <v>259</v>
      </c>
      <c r="B83" s="3" t="s">
        <v>260</v>
      </c>
      <c r="C83" s="4" t="s">
        <v>261</v>
      </c>
      <c r="D83" s="5">
        <v>79</v>
      </c>
      <c r="E83" s="5">
        <v>68</v>
      </c>
      <c r="F83" s="5">
        <v>75</v>
      </c>
      <c r="G83" s="5">
        <v>76</v>
      </c>
      <c r="H83" s="5">
        <f t="shared" si="5"/>
        <v>0</v>
      </c>
      <c r="I83" s="5">
        <f t="shared" si="6"/>
        <v>0</v>
      </c>
      <c r="J83" s="44">
        <f t="shared" si="7"/>
        <v>74.5</v>
      </c>
      <c r="K83" s="45" t="str">
        <f t="shared" si="8"/>
        <v>C</v>
      </c>
      <c r="L83" s="43" t="str">
        <f t="shared" si="9"/>
        <v>Average</v>
      </c>
      <c r="M83" s="43"/>
    </row>
    <row r="84" spans="1:13" x14ac:dyDescent="0.35">
      <c r="A84" s="3" t="s">
        <v>262</v>
      </c>
      <c r="B84" s="3" t="s">
        <v>263</v>
      </c>
      <c r="C84" s="4" t="s">
        <v>264</v>
      </c>
      <c r="D84" s="5">
        <v>81</v>
      </c>
      <c r="E84" s="5">
        <v>78</v>
      </c>
      <c r="F84" s="5">
        <v>83</v>
      </c>
      <c r="G84" s="5">
        <v>77</v>
      </c>
      <c r="H84" s="5">
        <f t="shared" si="5"/>
        <v>0</v>
      </c>
      <c r="I84" s="5">
        <f t="shared" si="6"/>
        <v>0</v>
      </c>
      <c r="J84" s="44">
        <f t="shared" si="7"/>
        <v>79.75</v>
      </c>
      <c r="K84" s="45" t="str">
        <f t="shared" si="8"/>
        <v>C</v>
      </c>
      <c r="L84" s="43" t="str">
        <f t="shared" si="9"/>
        <v>Average</v>
      </c>
      <c r="M84" s="43"/>
    </row>
    <row r="85" spans="1:13" x14ac:dyDescent="0.35">
      <c r="A85" s="4" t="s">
        <v>265</v>
      </c>
      <c r="B85" s="3" t="s">
        <v>266</v>
      </c>
      <c r="C85" s="4" t="s">
        <v>267</v>
      </c>
      <c r="D85" s="5">
        <v>83</v>
      </c>
      <c r="E85" s="5">
        <v>70</v>
      </c>
      <c r="F85" s="5">
        <v>64</v>
      </c>
      <c r="G85" s="5">
        <v>77</v>
      </c>
      <c r="H85" s="5">
        <f t="shared" si="5"/>
        <v>0</v>
      </c>
      <c r="I85" s="5">
        <f t="shared" si="6"/>
        <v>0</v>
      </c>
      <c r="J85" s="44">
        <f t="shared" si="7"/>
        <v>73.5</v>
      </c>
      <c r="K85" s="45" t="str">
        <f t="shared" si="8"/>
        <v>C</v>
      </c>
      <c r="L85" s="43" t="str">
        <f t="shared" si="9"/>
        <v>Average</v>
      </c>
      <c r="M85" s="43"/>
    </row>
    <row r="86" spans="1:13" x14ac:dyDescent="0.35">
      <c r="A86" s="4" t="s">
        <v>268</v>
      </c>
      <c r="B86" s="3" t="s">
        <v>269</v>
      </c>
      <c r="C86" s="4" t="s">
        <v>270</v>
      </c>
      <c r="D86" s="5">
        <v>83</v>
      </c>
      <c r="E86" s="5">
        <v>60</v>
      </c>
      <c r="F86" s="5">
        <v>78</v>
      </c>
      <c r="G86" s="5">
        <v>78</v>
      </c>
      <c r="H86" s="5">
        <f t="shared" si="5"/>
        <v>0</v>
      </c>
      <c r="I86" s="5">
        <f t="shared" si="6"/>
        <v>0</v>
      </c>
      <c r="J86" s="44">
        <f t="shared" si="7"/>
        <v>74.75</v>
      </c>
      <c r="K86" s="45" t="str">
        <f t="shared" si="8"/>
        <v>C</v>
      </c>
      <c r="L86" s="43" t="str">
        <f t="shared" si="9"/>
        <v>Average</v>
      </c>
      <c r="M86" s="43"/>
    </row>
    <row r="87" spans="1:13" x14ac:dyDescent="0.35">
      <c r="A87" s="4" t="s">
        <v>271</v>
      </c>
      <c r="B87" s="3" t="s">
        <v>272</v>
      </c>
      <c r="C87" s="4" t="s">
        <v>273</v>
      </c>
      <c r="D87" s="5">
        <v>83</v>
      </c>
      <c r="E87" s="5">
        <v>85</v>
      </c>
      <c r="F87" s="5">
        <v>97</v>
      </c>
      <c r="G87" s="5">
        <v>80</v>
      </c>
      <c r="H87" s="5">
        <f t="shared" si="5"/>
        <v>3</v>
      </c>
      <c r="I87" s="5">
        <f t="shared" si="6"/>
        <v>0</v>
      </c>
      <c r="J87" s="44">
        <f t="shared" si="7"/>
        <v>87</v>
      </c>
      <c r="K87" s="45" t="str">
        <f t="shared" si="8"/>
        <v>B</v>
      </c>
      <c r="L87" s="43" t="str">
        <f t="shared" si="9"/>
        <v>Good</v>
      </c>
      <c r="M87" s="43"/>
    </row>
    <row r="88" spans="1:13" x14ac:dyDescent="0.35">
      <c r="A88" s="3" t="s">
        <v>274</v>
      </c>
      <c r="B88" s="3" t="s">
        <v>275</v>
      </c>
      <c r="C88" s="4" t="s">
        <v>276</v>
      </c>
      <c r="D88" s="5">
        <v>84</v>
      </c>
      <c r="E88" s="5">
        <v>81</v>
      </c>
      <c r="F88" s="5">
        <v>45</v>
      </c>
      <c r="G88" s="5">
        <v>81</v>
      </c>
      <c r="H88" s="5">
        <f t="shared" si="5"/>
        <v>0</v>
      </c>
      <c r="I88" s="5">
        <f t="shared" si="6"/>
        <v>8</v>
      </c>
      <c r="J88" s="44">
        <f t="shared" si="7"/>
        <v>74.75</v>
      </c>
      <c r="K88" s="45" t="str">
        <f t="shared" si="8"/>
        <v>C</v>
      </c>
      <c r="L88" s="43" t="str">
        <f t="shared" si="9"/>
        <v>Average</v>
      </c>
      <c r="M88" s="43"/>
    </row>
    <row r="89" spans="1:13" x14ac:dyDescent="0.35">
      <c r="A89" s="3" t="s">
        <v>277</v>
      </c>
      <c r="B89" s="3" t="s">
        <v>278</v>
      </c>
      <c r="C89" s="4" t="s">
        <v>279</v>
      </c>
      <c r="D89" s="5">
        <v>84</v>
      </c>
      <c r="E89" s="5">
        <v>82</v>
      </c>
      <c r="F89" s="5">
        <v>50</v>
      </c>
      <c r="G89" s="5">
        <v>82</v>
      </c>
      <c r="H89" s="5">
        <f t="shared" si="5"/>
        <v>0</v>
      </c>
      <c r="I89" s="5">
        <f t="shared" si="6"/>
        <v>8</v>
      </c>
      <c r="J89" s="44">
        <f t="shared" si="7"/>
        <v>76.5</v>
      </c>
      <c r="K89" s="45" t="str">
        <f t="shared" si="8"/>
        <v>C</v>
      </c>
      <c r="L89" s="43" t="str">
        <f t="shared" si="9"/>
        <v>Average</v>
      </c>
      <c r="M89" s="43"/>
    </row>
    <row r="90" spans="1:13" x14ac:dyDescent="0.35">
      <c r="A90" s="4" t="s">
        <v>280</v>
      </c>
      <c r="B90" s="3" t="s">
        <v>281</v>
      </c>
      <c r="C90" s="4" t="s">
        <v>282</v>
      </c>
      <c r="D90" s="5">
        <v>85</v>
      </c>
      <c r="E90" s="5">
        <v>79</v>
      </c>
      <c r="F90" s="5">
        <v>94</v>
      </c>
      <c r="G90" s="5">
        <v>82</v>
      </c>
      <c r="H90" s="5">
        <f t="shared" si="5"/>
        <v>5</v>
      </c>
      <c r="I90" s="5">
        <f t="shared" si="6"/>
        <v>0</v>
      </c>
      <c r="J90" s="44">
        <f t="shared" si="7"/>
        <v>86.25</v>
      </c>
      <c r="K90" s="45" t="str">
        <f t="shared" si="8"/>
        <v>B</v>
      </c>
      <c r="L90" s="43" t="str">
        <f t="shared" si="9"/>
        <v>Good</v>
      </c>
      <c r="M90" s="43"/>
    </row>
    <row r="91" spans="1:13" x14ac:dyDescent="0.35">
      <c r="A91" s="3" t="s">
        <v>283</v>
      </c>
      <c r="B91" s="3" t="s">
        <v>284</v>
      </c>
      <c r="C91" s="4" t="s">
        <v>285</v>
      </c>
      <c r="D91" s="5">
        <v>85</v>
      </c>
      <c r="E91" s="5">
        <v>69</v>
      </c>
      <c r="F91" s="5">
        <v>56</v>
      </c>
      <c r="G91" s="5">
        <v>83</v>
      </c>
      <c r="H91" s="5">
        <f t="shared" si="5"/>
        <v>0</v>
      </c>
      <c r="I91" s="5">
        <f t="shared" si="6"/>
        <v>8</v>
      </c>
      <c r="J91" s="44">
        <f t="shared" si="7"/>
        <v>75.25</v>
      </c>
      <c r="K91" s="45" t="str">
        <f t="shared" si="8"/>
        <v>C</v>
      </c>
      <c r="L91" s="43" t="str">
        <f t="shared" si="9"/>
        <v>Average</v>
      </c>
      <c r="M91" s="43"/>
    </row>
    <row r="92" spans="1:13" x14ac:dyDescent="0.35">
      <c r="A92" s="3" t="s">
        <v>286</v>
      </c>
      <c r="B92" s="3" t="s">
        <v>287</v>
      </c>
      <c r="C92" s="4" t="s">
        <v>288</v>
      </c>
      <c r="D92" s="5">
        <v>88</v>
      </c>
      <c r="E92" s="5">
        <v>74</v>
      </c>
      <c r="F92" s="5">
        <v>45</v>
      </c>
      <c r="G92" s="5">
        <v>86</v>
      </c>
      <c r="H92" s="5">
        <f t="shared" si="5"/>
        <v>0</v>
      </c>
      <c r="I92" s="5">
        <f t="shared" si="6"/>
        <v>8</v>
      </c>
      <c r="J92" s="44">
        <f t="shared" si="7"/>
        <v>75.25</v>
      </c>
      <c r="K92" s="45" t="str">
        <f t="shared" si="8"/>
        <v>C</v>
      </c>
      <c r="L92" s="43" t="str">
        <f t="shared" si="9"/>
        <v>Average</v>
      </c>
      <c r="M92" s="43"/>
    </row>
    <row r="93" spans="1:13" x14ac:dyDescent="0.35">
      <c r="A93" s="4" t="s">
        <v>148</v>
      </c>
      <c r="B93" s="3" t="s">
        <v>289</v>
      </c>
      <c r="C93" s="4" t="s">
        <v>290</v>
      </c>
      <c r="D93" s="5">
        <v>89</v>
      </c>
      <c r="E93" s="5">
        <v>73</v>
      </c>
      <c r="F93" s="5">
        <v>48</v>
      </c>
      <c r="G93" s="5">
        <v>86</v>
      </c>
      <c r="H93" s="5">
        <f t="shared" si="5"/>
        <v>0</v>
      </c>
      <c r="I93" s="5">
        <f t="shared" si="6"/>
        <v>8</v>
      </c>
      <c r="J93" s="44">
        <f t="shared" si="7"/>
        <v>76</v>
      </c>
      <c r="K93" s="45" t="str">
        <f t="shared" si="8"/>
        <v>C</v>
      </c>
      <c r="L93" s="43" t="str">
        <f t="shared" si="9"/>
        <v>Average</v>
      </c>
      <c r="M93" s="43"/>
    </row>
    <row r="94" spans="1:13" x14ac:dyDescent="0.35">
      <c r="A94" s="4" t="s">
        <v>291</v>
      </c>
      <c r="B94" s="3" t="s">
        <v>292</v>
      </c>
      <c r="C94" s="4" t="s">
        <v>293</v>
      </c>
      <c r="D94" s="5">
        <v>89</v>
      </c>
      <c r="E94" s="5">
        <v>60</v>
      </c>
      <c r="F94" s="5">
        <v>73</v>
      </c>
      <c r="G94" s="5">
        <v>90</v>
      </c>
      <c r="H94" s="5">
        <f t="shared" si="5"/>
        <v>0</v>
      </c>
      <c r="I94" s="5">
        <f t="shared" si="6"/>
        <v>0</v>
      </c>
      <c r="J94" s="44">
        <f t="shared" si="7"/>
        <v>78</v>
      </c>
      <c r="K94" s="45" t="str">
        <f t="shared" si="8"/>
        <v>C</v>
      </c>
      <c r="L94" s="43" t="str">
        <f t="shared" si="9"/>
        <v>Average</v>
      </c>
      <c r="M94" s="43"/>
    </row>
    <row r="95" spans="1:13" x14ac:dyDescent="0.35">
      <c r="A95" s="4" t="s">
        <v>294</v>
      </c>
      <c r="B95" s="3" t="s">
        <v>295</v>
      </c>
      <c r="C95" s="4" t="s">
        <v>296</v>
      </c>
      <c r="D95" s="5">
        <v>90</v>
      </c>
      <c r="E95" s="5">
        <v>73</v>
      </c>
      <c r="F95" s="5">
        <v>63</v>
      </c>
      <c r="G95" s="5">
        <v>90</v>
      </c>
      <c r="H95" s="5">
        <f t="shared" si="5"/>
        <v>0</v>
      </c>
      <c r="I95" s="5">
        <f t="shared" si="6"/>
        <v>0</v>
      </c>
      <c r="J95" s="44">
        <f t="shared" si="7"/>
        <v>79</v>
      </c>
      <c r="K95" s="45" t="str">
        <f t="shared" si="8"/>
        <v>C</v>
      </c>
      <c r="L95" s="43" t="str">
        <f t="shared" si="9"/>
        <v>Average</v>
      </c>
      <c r="M95" s="43"/>
    </row>
    <row r="96" spans="1:13" x14ac:dyDescent="0.35">
      <c r="A96" s="4" t="s">
        <v>297</v>
      </c>
      <c r="B96" s="3" t="s">
        <v>298</v>
      </c>
      <c r="C96" s="4" t="s">
        <v>299</v>
      </c>
      <c r="D96" s="5">
        <v>90</v>
      </c>
      <c r="E96" s="5">
        <v>49</v>
      </c>
      <c r="F96" s="5">
        <v>85</v>
      </c>
      <c r="G96" s="5">
        <v>94</v>
      </c>
      <c r="H96" s="5">
        <f t="shared" si="5"/>
        <v>5</v>
      </c>
      <c r="I96" s="5">
        <f t="shared" si="6"/>
        <v>8</v>
      </c>
      <c r="J96" s="44">
        <f t="shared" si="7"/>
        <v>82.75</v>
      </c>
      <c r="K96" s="45" t="str">
        <f t="shared" si="8"/>
        <v>B</v>
      </c>
      <c r="L96" s="43" t="str">
        <f t="shared" si="9"/>
        <v>Good</v>
      </c>
      <c r="M96" s="43"/>
    </row>
    <row r="97" spans="1:13" x14ac:dyDescent="0.35">
      <c r="A97" s="4" t="s">
        <v>300</v>
      </c>
      <c r="B97" s="3" t="s">
        <v>301</v>
      </c>
      <c r="C97" s="4" t="s">
        <v>302</v>
      </c>
      <c r="D97" s="5">
        <v>90</v>
      </c>
      <c r="E97" s="5">
        <v>23</v>
      </c>
      <c r="F97" s="5">
        <v>99</v>
      </c>
      <c r="G97" s="5">
        <v>98</v>
      </c>
      <c r="H97" s="5">
        <f t="shared" si="5"/>
        <v>1</v>
      </c>
      <c r="I97" s="5">
        <f t="shared" si="6"/>
        <v>8</v>
      </c>
      <c r="J97" s="44">
        <f t="shared" si="7"/>
        <v>79.75</v>
      </c>
      <c r="K97" s="45" t="str">
        <f t="shared" si="8"/>
        <v>C</v>
      </c>
      <c r="L97" s="43" t="str">
        <f t="shared" si="9"/>
        <v>Average</v>
      </c>
      <c r="M97" s="43"/>
    </row>
  </sheetData>
  <mergeCells count="13">
    <mergeCell ref="N7:O7"/>
    <mergeCell ref="G1:G2"/>
    <mergeCell ref="H1:H2"/>
    <mergeCell ref="I1:I2"/>
    <mergeCell ref="J1:J2"/>
    <mergeCell ref="K1:K2"/>
    <mergeCell ref="L1:L2"/>
    <mergeCell ref="A1:A2"/>
    <mergeCell ref="B1:B2"/>
    <mergeCell ref="C1:C2"/>
    <mergeCell ref="D1:D2"/>
    <mergeCell ref="E1:E2"/>
    <mergeCell ref="F1: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BD15A-2E6C-499D-ACEC-3BD2717327D2}">
  <sheetPr codeName="Sheet4"/>
  <dimension ref="A1:I22"/>
  <sheetViews>
    <sheetView workbookViewId="0">
      <selection sqref="A1:B2"/>
    </sheetView>
  </sheetViews>
  <sheetFormatPr defaultRowHeight="15.5" x14ac:dyDescent="0.35"/>
  <cols>
    <col min="2" max="2" width="8.6640625" style="58"/>
    <col min="3" max="3" width="9.9140625" customWidth="1"/>
    <col min="4" max="4" width="10.4140625" customWidth="1"/>
    <col min="5" max="5" width="11.1640625" customWidth="1"/>
    <col min="8" max="8" width="9.5" customWidth="1"/>
    <col min="9" max="9" width="10.1640625" customWidth="1"/>
  </cols>
  <sheetData>
    <row r="1" spans="1:9" ht="16" thickBot="1" x14ac:dyDescent="0.4">
      <c r="A1" s="48" t="s">
        <v>362</v>
      </c>
      <c r="B1" s="48"/>
      <c r="C1" s="48" t="s">
        <v>363</v>
      </c>
      <c r="D1" s="48" t="s">
        <v>364</v>
      </c>
      <c r="E1" s="49" t="s">
        <v>365</v>
      </c>
    </row>
    <row r="2" spans="1:9" x14ac:dyDescent="0.35">
      <c r="A2" s="48"/>
      <c r="B2" s="48"/>
      <c r="C2" s="48"/>
      <c r="D2" s="48"/>
      <c r="E2" s="50"/>
      <c r="H2" s="8" t="s">
        <v>37</v>
      </c>
      <c r="I2" s="9"/>
    </row>
    <row r="3" spans="1:9" x14ac:dyDescent="0.35">
      <c r="A3" s="51" t="s">
        <v>366</v>
      </c>
      <c r="B3" s="51" t="s">
        <v>367</v>
      </c>
      <c r="C3" s="52" t="s">
        <v>368</v>
      </c>
      <c r="D3" s="51" t="s">
        <v>37</v>
      </c>
      <c r="E3" s="51" t="s">
        <v>366</v>
      </c>
      <c r="H3" s="10">
        <v>0</v>
      </c>
      <c r="I3" s="11" t="s">
        <v>41</v>
      </c>
    </row>
    <row r="4" spans="1:9" x14ac:dyDescent="0.35">
      <c r="A4" s="53">
        <v>1</v>
      </c>
      <c r="B4" s="53">
        <f ca="1">RANDBETWEEN(50,100)</f>
        <v>80</v>
      </c>
      <c r="C4" s="54" t="str">
        <f ca="1">IF(B4&lt;60,"Fail","Pass")</f>
        <v>Pass</v>
      </c>
      <c r="D4" s="54" t="str" cm="1">
        <f t="array" aca="1" ref="D4" ca="1">_xlfn.IFS(B4&lt;60,"F",B4&lt;70,"D",B4&lt;80,"C",B4&lt;90,"B",B4&gt;=90,"A")</f>
        <v>B</v>
      </c>
      <c r="E4" s="54" t="str">
        <f>VLOOKUP(A4,$H$11:$I$13,2,)</f>
        <v>Female</v>
      </c>
      <c r="H4" s="10">
        <v>60</v>
      </c>
      <c r="I4" s="11" t="s">
        <v>45</v>
      </c>
    </row>
    <row r="5" spans="1:9" x14ac:dyDescent="0.35">
      <c r="A5" s="53">
        <v>2</v>
      </c>
      <c r="B5" s="53">
        <f t="shared" ref="B5:B22" ca="1" si="0">RANDBETWEEN(50,100)</f>
        <v>88</v>
      </c>
      <c r="C5" s="54" t="str">
        <f t="shared" ref="C5:C22" ca="1" si="1">IF(B5&lt;60,"Fail","Pass")</f>
        <v>Pass</v>
      </c>
      <c r="D5" s="54" t="str" cm="1">
        <f t="array" aca="1" ref="D5" ca="1">_xlfn.IFS(B5&lt;60,"F",B5&lt;70,"D",B5&lt;80,"C",B5&lt;90,"B",B5&gt;=90,"A")</f>
        <v>B</v>
      </c>
      <c r="E5" s="54" t="str">
        <f t="shared" ref="E5:E22" si="2">VLOOKUP(A5,$H$11:$I$13,2,)</f>
        <v>Male</v>
      </c>
      <c r="H5" s="10">
        <v>70</v>
      </c>
      <c r="I5" s="11" t="s">
        <v>49</v>
      </c>
    </row>
    <row r="6" spans="1:9" x14ac:dyDescent="0.35">
      <c r="A6" s="53">
        <v>2</v>
      </c>
      <c r="B6" s="53">
        <f t="shared" ca="1" si="0"/>
        <v>57</v>
      </c>
      <c r="C6" s="54" t="str">
        <f t="shared" ca="1" si="1"/>
        <v>Fail</v>
      </c>
      <c r="D6" s="54" t="str" cm="1">
        <f t="array" aca="1" ref="D6" ca="1">_xlfn.IFS(B6&lt;60,"F",B6&lt;70,"D",B6&lt;80,"C",B6&lt;90,"B",B6&gt;=90,"A")</f>
        <v>F</v>
      </c>
      <c r="E6" s="54" t="str">
        <f t="shared" si="2"/>
        <v>Male</v>
      </c>
      <c r="H6" s="10">
        <v>80</v>
      </c>
      <c r="I6" s="11" t="s">
        <v>53</v>
      </c>
    </row>
    <row r="7" spans="1:9" ht="16" thickBot="1" x14ac:dyDescent="0.4">
      <c r="A7" s="53">
        <v>1</v>
      </c>
      <c r="B7" s="53">
        <f t="shared" ca="1" si="0"/>
        <v>97</v>
      </c>
      <c r="C7" s="54" t="str">
        <f t="shared" ca="1" si="1"/>
        <v>Pass</v>
      </c>
      <c r="D7" s="54" t="str" cm="1">
        <f t="array" aca="1" ref="D7" ca="1">_xlfn.IFS(B7&lt;60,"F",B7&lt;70,"D",B7&lt;80,"C",B7&lt;90,"B",B7&gt;=90,"A")</f>
        <v>A</v>
      </c>
      <c r="E7" s="54" t="str">
        <f t="shared" si="2"/>
        <v>Female</v>
      </c>
      <c r="H7" s="12">
        <v>90</v>
      </c>
      <c r="I7" s="13" t="s">
        <v>57</v>
      </c>
    </row>
    <row r="8" spans="1:9" x14ac:dyDescent="0.35">
      <c r="A8" s="53">
        <v>2</v>
      </c>
      <c r="B8" s="53">
        <v>83</v>
      </c>
      <c r="C8" s="54" t="str">
        <f t="shared" si="1"/>
        <v>Pass</v>
      </c>
      <c r="D8" s="54" t="str" cm="1">
        <f t="array" ref="D8">_xlfn.IFS(B8&lt;60,"F",B8&lt;70,"D",B8&lt;80,"C",B8&lt;90,"B",B8&gt;=90,"A")</f>
        <v>B</v>
      </c>
      <c r="E8" s="54" t="str">
        <f t="shared" si="2"/>
        <v>Male</v>
      </c>
    </row>
    <row r="9" spans="1:9" x14ac:dyDescent="0.35">
      <c r="A9" s="53">
        <v>3</v>
      </c>
      <c r="B9" s="53">
        <f t="shared" ref="B9:B26" ca="1" si="3">RANDBETWEEN(50,100)</f>
        <v>59</v>
      </c>
      <c r="C9" s="54" t="str">
        <f t="shared" ca="1" si="1"/>
        <v>Fail</v>
      </c>
      <c r="D9" s="54" t="str" cm="1">
        <f t="array" aca="1" ref="D9" ca="1">_xlfn.IFS(B9&lt;60,"F",B9&lt;70,"D",B9&lt;80,"C",B9&lt;90,"B",B9&gt;=90,"A")</f>
        <v>F</v>
      </c>
      <c r="E9" s="54" t="str">
        <f t="shared" si="2"/>
        <v>Undeclared</v>
      </c>
    </row>
    <row r="10" spans="1:9" x14ac:dyDescent="0.35">
      <c r="A10" s="53">
        <v>1</v>
      </c>
      <c r="B10" s="53">
        <f t="shared" ca="1" si="3"/>
        <v>73</v>
      </c>
      <c r="C10" s="54" t="str">
        <f t="shared" ca="1" si="1"/>
        <v>Pass</v>
      </c>
      <c r="D10" s="54" t="str" cm="1">
        <f t="array" aca="1" ref="D10" ca="1">_xlfn.IFS(B10&lt;60,"F",B10&lt;70,"D",B10&lt;80,"C",B10&lt;90,"B",B10&gt;=90,"A")</f>
        <v>C</v>
      </c>
      <c r="E10" s="54" t="str">
        <f t="shared" si="2"/>
        <v>Female</v>
      </c>
      <c r="H10" s="55" t="s">
        <v>366</v>
      </c>
      <c r="I10" s="55"/>
    </row>
    <row r="11" spans="1:9" x14ac:dyDescent="0.35">
      <c r="A11" s="53">
        <v>1</v>
      </c>
      <c r="B11" s="53">
        <f t="shared" ca="1" si="3"/>
        <v>80</v>
      </c>
      <c r="C11" s="54" t="str">
        <f t="shared" ca="1" si="1"/>
        <v>Pass</v>
      </c>
      <c r="D11" s="54" t="str" cm="1">
        <f t="array" aca="1" ref="D11" ca="1">_xlfn.IFS(B11&lt;60,"F",B11&lt;70,"D",B11&lt;80,"C",B11&lt;90,"B",B11&gt;=90,"A")</f>
        <v>B</v>
      </c>
      <c r="E11" s="54" t="str">
        <f t="shared" si="2"/>
        <v>Female</v>
      </c>
      <c r="H11" s="56">
        <v>1</v>
      </c>
      <c r="I11" s="56" t="s">
        <v>369</v>
      </c>
    </row>
    <row r="12" spans="1:9" x14ac:dyDescent="0.35">
      <c r="A12" s="53">
        <v>2</v>
      </c>
      <c r="B12" s="53">
        <f t="shared" ca="1" si="3"/>
        <v>85</v>
      </c>
      <c r="C12" s="54" t="str">
        <f t="shared" ca="1" si="1"/>
        <v>Pass</v>
      </c>
      <c r="D12" s="54" t="str" cm="1">
        <f t="array" aca="1" ref="D12" ca="1">_xlfn.IFS(B12&lt;60,"F",B12&lt;70,"D",B12&lt;80,"C",B12&lt;90,"B",B12&gt;=90,"A")</f>
        <v>B</v>
      </c>
      <c r="E12" s="54" t="str">
        <f t="shared" si="2"/>
        <v>Male</v>
      </c>
      <c r="H12" s="56">
        <v>2</v>
      </c>
      <c r="I12" s="56" t="s">
        <v>370</v>
      </c>
    </row>
    <row r="13" spans="1:9" x14ac:dyDescent="0.35">
      <c r="A13" s="53">
        <v>1</v>
      </c>
      <c r="B13" s="53">
        <f t="shared" ca="1" si="3"/>
        <v>57</v>
      </c>
      <c r="C13" s="54" t="str">
        <f t="shared" ca="1" si="1"/>
        <v>Fail</v>
      </c>
      <c r="D13" s="54" t="str" cm="1">
        <f t="array" aca="1" ref="D13" ca="1">_xlfn.IFS(B13&lt;60,"F",B13&lt;70,"D",B13&lt;80,"C",B13&lt;90,"B",B13&gt;=90,"A")</f>
        <v>F</v>
      </c>
      <c r="E13" s="54" t="str">
        <f t="shared" si="2"/>
        <v>Female</v>
      </c>
      <c r="H13" s="56">
        <v>3</v>
      </c>
      <c r="I13" s="56" t="s">
        <v>371</v>
      </c>
    </row>
    <row r="14" spans="1:9" x14ac:dyDescent="0.35">
      <c r="A14" s="53">
        <v>2</v>
      </c>
      <c r="B14" s="53">
        <f t="shared" ca="1" si="3"/>
        <v>86</v>
      </c>
      <c r="C14" s="54" t="str">
        <f t="shared" ca="1" si="1"/>
        <v>Pass</v>
      </c>
      <c r="D14" s="54" t="str" cm="1">
        <f t="array" aca="1" ref="D14" ca="1">_xlfn.IFS(B14&lt;60,"F",B14&lt;70,"D",B14&lt;80,"C",B14&lt;90,"B",B14&gt;=90,"A")</f>
        <v>B</v>
      </c>
      <c r="E14" s="54" t="str">
        <f t="shared" si="2"/>
        <v>Male</v>
      </c>
    </row>
    <row r="15" spans="1:9" x14ac:dyDescent="0.35">
      <c r="A15" s="53">
        <v>2</v>
      </c>
      <c r="B15" s="53">
        <f t="shared" ca="1" si="3"/>
        <v>95</v>
      </c>
      <c r="C15" s="54" t="str">
        <f t="shared" ca="1" si="1"/>
        <v>Pass</v>
      </c>
      <c r="D15" s="54" t="str" cm="1">
        <f t="array" aca="1" ref="D15" ca="1">_xlfn.IFS(B15&lt;60,"F",B15&lt;70,"D",B15&lt;80,"C",B15&lt;90,"B",B15&gt;=90,"A")</f>
        <v>A</v>
      </c>
      <c r="E15" s="54" t="str">
        <f t="shared" si="2"/>
        <v>Male</v>
      </c>
      <c r="H15" s="57" t="s">
        <v>372</v>
      </c>
    </row>
    <row r="16" spans="1:9" x14ac:dyDescent="0.35">
      <c r="A16" s="53">
        <v>1</v>
      </c>
      <c r="B16" s="53">
        <f t="shared" ca="1" si="3"/>
        <v>96</v>
      </c>
      <c r="C16" s="54" t="str">
        <f t="shared" ca="1" si="1"/>
        <v>Pass</v>
      </c>
      <c r="D16" s="54" t="str" cm="1">
        <f t="array" aca="1" ref="D16" ca="1">_xlfn.IFS(B16&lt;60,"F",B16&lt;70,"D",B16&lt;80,"C",B16&lt;90,"B",B16&gt;=90,"A")</f>
        <v>A</v>
      </c>
      <c r="E16" s="54" t="str">
        <f t="shared" si="2"/>
        <v>Female</v>
      </c>
    </row>
    <row r="17" spans="1:5" x14ac:dyDescent="0.35">
      <c r="A17" s="53">
        <v>3</v>
      </c>
      <c r="B17" s="53">
        <f t="shared" ca="1" si="3"/>
        <v>89</v>
      </c>
      <c r="C17" s="54" t="str">
        <f t="shared" ca="1" si="1"/>
        <v>Pass</v>
      </c>
      <c r="D17" s="54" t="str" cm="1">
        <f t="array" aca="1" ref="D17" ca="1">_xlfn.IFS(B17&lt;60,"F",B17&lt;70,"D",B17&lt;80,"C",B17&lt;90,"B",B17&gt;=90,"A")</f>
        <v>B</v>
      </c>
      <c r="E17" s="54" t="str">
        <f t="shared" si="2"/>
        <v>Undeclared</v>
      </c>
    </row>
    <row r="18" spans="1:5" x14ac:dyDescent="0.35">
      <c r="A18" s="53">
        <v>1</v>
      </c>
      <c r="B18" s="53">
        <f t="shared" ca="1" si="3"/>
        <v>60</v>
      </c>
      <c r="C18" s="54" t="str">
        <f t="shared" ca="1" si="1"/>
        <v>Pass</v>
      </c>
      <c r="D18" s="54" t="str" cm="1">
        <f t="array" aca="1" ref="D18" ca="1">_xlfn.IFS(B18&lt;60,"F",B18&lt;70,"D",B18&lt;80,"C",B18&lt;90,"B",B18&gt;=90,"A")</f>
        <v>D</v>
      </c>
      <c r="E18" s="54" t="str">
        <f t="shared" si="2"/>
        <v>Female</v>
      </c>
    </row>
    <row r="19" spans="1:5" x14ac:dyDescent="0.35">
      <c r="A19" s="53">
        <v>3</v>
      </c>
      <c r="B19" s="53">
        <f t="shared" ca="1" si="3"/>
        <v>64</v>
      </c>
      <c r="C19" s="54" t="str">
        <f t="shared" ca="1" si="1"/>
        <v>Pass</v>
      </c>
      <c r="D19" s="54" t="str" cm="1">
        <f t="array" aca="1" ref="D19" ca="1">_xlfn.IFS(B19&lt;60,"F",B19&lt;70,"D",B19&lt;80,"C",B19&lt;90,"B",B19&gt;=90,"A")</f>
        <v>D</v>
      </c>
      <c r="E19" s="54" t="str">
        <f t="shared" si="2"/>
        <v>Undeclared</v>
      </c>
    </row>
    <row r="20" spans="1:5" x14ac:dyDescent="0.35">
      <c r="A20" s="53">
        <v>1</v>
      </c>
      <c r="B20" s="53">
        <f t="shared" ca="1" si="3"/>
        <v>96</v>
      </c>
      <c r="C20" s="54" t="str">
        <f t="shared" ca="1" si="1"/>
        <v>Pass</v>
      </c>
      <c r="D20" s="54" t="str" cm="1">
        <f t="array" aca="1" ref="D20" ca="1">_xlfn.IFS(B20&lt;60,"F",B20&lt;70,"D",B20&lt;80,"C",B20&lt;90,"B",B20&gt;=90,"A")</f>
        <v>A</v>
      </c>
      <c r="E20" s="54" t="str">
        <f t="shared" si="2"/>
        <v>Female</v>
      </c>
    </row>
    <row r="21" spans="1:5" x14ac:dyDescent="0.35">
      <c r="A21" s="53">
        <v>2</v>
      </c>
      <c r="B21" s="53">
        <f t="shared" ca="1" si="3"/>
        <v>50</v>
      </c>
      <c r="C21" s="54" t="str">
        <f t="shared" ca="1" si="1"/>
        <v>Fail</v>
      </c>
      <c r="D21" s="54" t="str" cm="1">
        <f t="array" aca="1" ref="D21" ca="1">_xlfn.IFS(B21&lt;60,"F",B21&lt;70,"D",B21&lt;80,"C",B21&lt;90,"B",B21&gt;=90,"A")</f>
        <v>F</v>
      </c>
      <c r="E21" s="54" t="str">
        <f t="shared" si="2"/>
        <v>Male</v>
      </c>
    </row>
    <row r="22" spans="1:5" x14ac:dyDescent="0.35">
      <c r="A22" s="53">
        <v>1</v>
      </c>
      <c r="B22" s="53">
        <f t="shared" ca="1" si="3"/>
        <v>66</v>
      </c>
      <c r="C22" s="54" t="str">
        <f t="shared" ca="1" si="1"/>
        <v>Pass</v>
      </c>
      <c r="D22" s="54" t="str" cm="1">
        <f t="array" aca="1" ref="D22" ca="1">_xlfn.IFS(B22&lt;60,"F",B22&lt;70,"D",B22&lt;80,"C",B22&lt;90,"B",B22&gt;=90,"A")</f>
        <v>D</v>
      </c>
      <c r="E22" s="54" t="str">
        <f t="shared" si="2"/>
        <v>Female</v>
      </c>
    </row>
  </sheetData>
  <mergeCells count="6">
    <mergeCell ref="A1:B2"/>
    <mergeCell ref="C1:C2"/>
    <mergeCell ref="D1:D2"/>
    <mergeCell ref="E1:E2"/>
    <mergeCell ref="H2:I2"/>
    <mergeCell ref="H10:I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6756D-F357-4F5B-9A25-0683CCD01645}">
  <sheetPr codeName="Sheet5"/>
  <dimension ref="A1:Q1015"/>
  <sheetViews>
    <sheetView workbookViewId="0">
      <selection activeCell="A2" sqref="A2"/>
    </sheetView>
  </sheetViews>
  <sheetFormatPr defaultColWidth="12" defaultRowHeight="18.5" x14ac:dyDescent="0.45"/>
  <cols>
    <col min="1" max="1" width="9.1640625" style="60" bestFit="1" customWidth="1"/>
    <col min="2" max="2" width="9.83203125" style="71" customWidth="1"/>
    <col min="3" max="3" width="8.1640625" style="71" customWidth="1"/>
    <col min="4" max="5" width="7.83203125" style="71" customWidth="1"/>
    <col min="6" max="6" width="7.6640625" style="60" customWidth="1"/>
    <col min="7" max="7" width="13.1640625" style="71" customWidth="1"/>
    <col min="8" max="8" width="12" style="71"/>
    <col min="9" max="9" width="3.83203125" style="60" customWidth="1"/>
    <col min="10" max="10" width="12" style="60"/>
    <col min="11" max="11" width="9.33203125" style="60" customWidth="1"/>
    <col min="12" max="12" width="9.6640625" style="60" customWidth="1"/>
    <col min="13" max="13" width="9" style="60" customWidth="1"/>
    <col min="14" max="14" width="11.1640625" style="60" customWidth="1"/>
    <col min="15" max="15" width="7.83203125" style="60" customWidth="1"/>
    <col min="16" max="16" width="8.58203125" style="60" customWidth="1"/>
    <col min="17" max="17" width="12.1640625" style="60" customWidth="1"/>
    <col min="18" max="18" width="7.83203125" style="60" customWidth="1"/>
    <col min="19" max="16384" width="12" style="60"/>
  </cols>
  <sheetData>
    <row r="1" spans="1:13" ht="17.399999999999999" customHeight="1" x14ac:dyDescent="0.45">
      <c r="A1" s="59" t="s">
        <v>8</v>
      </c>
      <c r="B1" s="59" t="s">
        <v>7</v>
      </c>
      <c r="C1" s="59" t="s">
        <v>3</v>
      </c>
      <c r="D1" s="59" t="s">
        <v>4</v>
      </c>
      <c r="E1" s="59" t="s">
        <v>5</v>
      </c>
      <c r="F1" s="59" t="s">
        <v>6</v>
      </c>
      <c r="G1" s="59" t="s">
        <v>373</v>
      </c>
      <c r="H1" s="59" t="s">
        <v>2</v>
      </c>
      <c r="J1" s="61" t="s">
        <v>374</v>
      </c>
      <c r="K1" s="62"/>
      <c r="M1" s="60" t="s">
        <v>375</v>
      </c>
    </row>
    <row r="2" spans="1:13" ht="17.399999999999999" customHeight="1" x14ac:dyDescent="0.45">
      <c r="A2" s="63" t="str">
        <f>_xlfn.XLOOKUP(B2,$K$11:$K$15,$J$11:$J$15,,-1)</f>
        <v>B</v>
      </c>
      <c r="B2" s="59">
        <f>AVERAGE(C2:F2)</f>
        <v>89.5</v>
      </c>
      <c r="C2" s="64">
        <v>98</v>
      </c>
      <c r="D2" s="64">
        <v>87</v>
      </c>
      <c r="E2" s="64">
        <v>83</v>
      </c>
      <c r="F2" s="64">
        <v>90</v>
      </c>
      <c r="G2" s="65" t="s">
        <v>99</v>
      </c>
      <c r="H2" s="64" t="s">
        <v>149</v>
      </c>
      <c r="M2" s="60" t="s">
        <v>376</v>
      </c>
    </row>
    <row r="3" spans="1:13" ht="17.399999999999999" customHeight="1" x14ac:dyDescent="0.45">
      <c r="A3" s="63" t="str">
        <f t="shared" ref="A3:A66" si="0">_xlfn.XLOOKUP(B3,$K$11:$K$15,$J$11:$J$15,,-1)</f>
        <v>C</v>
      </c>
      <c r="B3" s="59">
        <f t="shared" ref="B3:B66" si="1">AVERAGE(C3:F3)</f>
        <v>75.5</v>
      </c>
      <c r="C3" s="64">
        <v>70</v>
      </c>
      <c r="D3" s="64">
        <v>88</v>
      </c>
      <c r="E3" s="64">
        <v>94</v>
      </c>
      <c r="F3" s="64">
        <v>50</v>
      </c>
      <c r="G3" s="65" t="s">
        <v>151</v>
      </c>
      <c r="H3" s="64" t="s">
        <v>152</v>
      </c>
      <c r="J3" s="66" t="s">
        <v>377</v>
      </c>
      <c r="K3" s="67"/>
      <c r="M3" s="60" t="s">
        <v>378</v>
      </c>
    </row>
    <row r="4" spans="1:13" ht="17.399999999999999" customHeight="1" x14ac:dyDescent="0.45">
      <c r="A4" s="63" t="str">
        <f t="shared" si="0"/>
        <v>B</v>
      </c>
      <c r="B4" s="59">
        <f t="shared" si="1"/>
        <v>81.5</v>
      </c>
      <c r="C4" s="64">
        <v>70</v>
      </c>
      <c r="D4" s="64">
        <v>97</v>
      </c>
      <c r="E4" s="64">
        <v>91</v>
      </c>
      <c r="F4" s="64">
        <v>68</v>
      </c>
      <c r="G4" s="65" t="s">
        <v>154</v>
      </c>
      <c r="H4" s="64" t="s">
        <v>155</v>
      </c>
      <c r="I4" s="68"/>
      <c r="J4" s="64">
        <v>0</v>
      </c>
      <c r="K4" s="64" t="s">
        <v>41</v>
      </c>
    </row>
    <row r="5" spans="1:13" ht="17.399999999999999" customHeight="1" x14ac:dyDescent="0.45">
      <c r="A5" s="63" t="str">
        <f t="shared" si="0"/>
        <v>C</v>
      </c>
      <c r="B5" s="59">
        <f t="shared" si="1"/>
        <v>78.5</v>
      </c>
      <c r="C5" s="64">
        <v>73</v>
      </c>
      <c r="D5" s="64">
        <v>89</v>
      </c>
      <c r="E5" s="64">
        <v>84</v>
      </c>
      <c r="F5" s="64">
        <v>68</v>
      </c>
      <c r="G5" s="65" t="s">
        <v>157</v>
      </c>
      <c r="H5" s="64" t="s">
        <v>158</v>
      </c>
      <c r="I5" s="68"/>
      <c r="J5" s="64">
        <v>60</v>
      </c>
      <c r="K5" s="64" t="s">
        <v>45</v>
      </c>
    </row>
    <row r="6" spans="1:13" ht="17.399999999999999" customHeight="1" x14ac:dyDescent="0.45">
      <c r="A6" s="63" t="str">
        <f t="shared" si="0"/>
        <v>B</v>
      </c>
      <c r="B6" s="59">
        <f t="shared" si="1"/>
        <v>81.5</v>
      </c>
      <c r="C6" s="64">
        <v>64</v>
      </c>
      <c r="D6" s="64">
        <v>94</v>
      </c>
      <c r="E6" s="64">
        <v>95</v>
      </c>
      <c r="F6" s="64">
        <v>73</v>
      </c>
      <c r="G6" s="65" t="s">
        <v>160</v>
      </c>
      <c r="H6" s="64" t="s">
        <v>161</v>
      </c>
      <c r="J6" s="64">
        <v>70</v>
      </c>
      <c r="K6" s="64" t="s">
        <v>49</v>
      </c>
    </row>
    <row r="7" spans="1:13" ht="17.399999999999999" customHeight="1" x14ac:dyDescent="0.45">
      <c r="A7" s="63" t="str">
        <f t="shared" si="0"/>
        <v>A</v>
      </c>
      <c r="B7" s="59">
        <f t="shared" si="1"/>
        <v>91</v>
      </c>
      <c r="C7" s="64">
        <v>98</v>
      </c>
      <c r="D7" s="64">
        <v>87</v>
      </c>
      <c r="E7" s="64">
        <v>90</v>
      </c>
      <c r="F7" s="64">
        <v>89</v>
      </c>
      <c r="G7" s="65" t="s">
        <v>163</v>
      </c>
      <c r="H7" s="64" t="s">
        <v>164</v>
      </c>
      <c r="I7" s="68"/>
      <c r="J7" s="64">
        <v>80</v>
      </c>
      <c r="K7" s="64" t="s">
        <v>53</v>
      </c>
    </row>
    <row r="8" spans="1:13" ht="17.399999999999999" customHeight="1" x14ac:dyDescent="0.45">
      <c r="A8" s="63" t="str">
        <f t="shared" si="0"/>
        <v>A</v>
      </c>
      <c r="B8" s="59">
        <f t="shared" si="1"/>
        <v>90.75</v>
      </c>
      <c r="C8" s="64">
        <v>93</v>
      </c>
      <c r="D8" s="64">
        <v>90</v>
      </c>
      <c r="E8" s="64">
        <v>90</v>
      </c>
      <c r="F8" s="64">
        <v>90</v>
      </c>
      <c r="G8" s="65" t="s">
        <v>166</v>
      </c>
      <c r="H8" s="64" t="s">
        <v>167</v>
      </c>
      <c r="I8" s="69"/>
      <c r="J8" s="64">
        <v>90</v>
      </c>
      <c r="K8" s="64" t="s">
        <v>57</v>
      </c>
    </row>
    <row r="9" spans="1:13" ht="17.399999999999999" customHeight="1" x14ac:dyDescent="0.45">
      <c r="A9" s="63" t="str">
        <f t="shared" si="0"/>
        <v>D</v>
      </c>
      <c r="B9" s="59">
        <f t="shared" si="1"/>
        <v>60.25</v>
      </c>
      <c r="C9" s="64">
        <v>52</v>
      </c>
      <c r="D9" s="64">
        <v>74</v>
      </c>
      <c r="E9" s="64">
        <v>90</v>
      </c>
      <c r="F9" s="64">
        <v>25</v>
      </c>
      <c r="G9" s="65" t="s">
        <v>379</v>
      </c>
      <c r="H9" s="64" t="s">
        <v>170</v>
      </c>
    </row>
    <row r="10" spans="1:13" ht="17.399999999999999" customHeight="1" x14ac:dyDescent="0.45">
      <c r="A10" s="63" t="str">
        <f t="shared" si="0"/>
        <v>B</v>
      </c>
      <c r="B10" s="59">
        <f t="shared" si="1"/>
        <v>89.5</v>
      </c>
      <c r="C10" s="64">
        <v>89</v>
      </c>
      <c r="D10" s="64">
        <v>87</v>
      </c>
      <c r="E10" s="64">
        <v>92</v>
      </c>
      <c r="F10" s="64">
        <v>90</v>
      </c>
      <c r="G10" s="65" t="s">
        <v>380</v>
      </c>
      <c r="H10" s="64" t="s">
        <v>173</v>
      </c>
      <c r="J10" s="66" t="s">
        <v>381</v>
      </c>
      <c r="K10" s="67"/>
    </row>
    <row r="11" spans="1:13" ht="17.399999999999999" customHeight="1" x14ac:dyDescent="0.45">
      <c r="A11" s="63" t="str">
        <f t="shared" si="0"/>
        <v>D</v>
      </c>
      <c r="B11" s="59">
        <f t="shared" si="1"/>
        <v>63.25</v>
      </c>
      <c r="C11" s="64">
        <v>56</v>
      </c>
      <c r="D11" s="64">
        <v>60</v>
      </c>
      <c r="E11" s="64">
        <v>81</v>
      </c>
      <c r="F11" s="64">
        <v>56</v>
      </c>
      <c r="G11" s="65" t="s">
        <v>175</v>
      </c>
      <c r="H11" s="64" t="s">
        <v>176</v>
      </c>
      <c r="J11" s="64" t="s">
        <v>57</v>
      </c>
      <c r="K11" s="64">
        <v>90</v>
      </c>
    </row>
    <row r="12" spans="1:13" ht="17.399999999999999" customHeight="1" x14ac:dyDescent="0.45">
      <c r="A12" s="63" t="str">
        <f t="shared" si="0"/>
        <v>D</v>
      </c>
      <c r="B12" s="59">
        <f t="shared" si="1"/>
        <v>63.5</v>
      </c>
      <c r="C12" s="64">
        <v>59</v>
      </c>
      <c r="D12" s="64">
        <v>45</v>
      </c>
      <c r="E12" s="64">
        <v>89</v>
      </c>
      <c r="F12" s="64">
        <v>61</v>
      </c>
      <c r="G12" s="65" t="s">
        <v>178</v>
      </c>
      <c r="H12" s="64" t="s">
        <v>179</v>
      </c>
      <c r="J12" s="64" t="s">
        <v>53</v>
      </c>
      <c r="K12" s="64">
        <v>80</v>
      </c>
    </row>
    <row r="13" spans="1:13" ht="17.399999999999999" customHeight="1" x14ac:dyDescent="0.45">
      <c r="A13" s="63" t="str">
        <f t="shared" si="0"/>
        <v>C</v>
      </c>
      <c r="B13" s="59">
        <f t="shared" si="1"/>
        <v>76</v>
      </c>
      <c r="C13" s="64">
        <v>64</v>
      </c>
      <c r="D13" s="64">
        <v>83</v>
      </c>
      <c r="E13" s="64">
        <v>87</v>
      </c>
      <c r="F13" s="64">
        <v>70</v>
      </c>
      <c r="G13" s="65" t="s">
        <v>236</v>
      </c>
      <c r="H13" s="64" t="s">
        <v>237</v>
      </c>
      <c r="J13" s="64" t="s">
        <v>49</v>
      </c>
      <c r="K13" s="64">
        <v>70</v>
      </c>
    </row>
    <row r="14" spans="1:13" ht="17.399999999999999" customHeight="1" x14ac:dyDescent="0.45">
      <c r="A14" s="63" t="str">
        <f t="shared" si="0"/>
        <v>C</v>
      </c>
      <c r="B14" s="59">
        <f t="shared" si="1"/>
        <v>78.25</v>
      </c>
      <c r="C14" s="64">
        <v>68</v>
      </c>
      <c r="D14" s="64">
        <v>77</v>
      </c>
      <c r="E14" s="64">
        <v>98</v>
      </c>
      <c r="F14" s="64">
        <v>70</v>
      </c>
      <c r="G14" s="65" t="s">
        <v>239</v>
      </c>
      <c r="H14" s="64" t="s">
        <v>240</v>
      </c>
      <c r="J14" s="64" t="s">
        <v>45</v>
      </c>
      <c r="K14" s="64">
        <v>60</v>
      </c>
    </row>
    <row r="15" spans="1:13" ht="17.399999999999999" customHeight="1" x14ac:dyDescent="0.45">
      <c r="A15" s="63" t="str">
        <f t="shared" si="0"/>
        <v>C</v>
      </c>
      <c r="B15" s="59">
        <f t="shared" si="1"/>
        <v>79.25</v>
      </c>
      <c r="C15" s="64">
        <v>72</v>
      </c>
      <c r="D15" s="64">
        <v>84</v>
      </c>
      <c r="E15" s="64">
        <v>91</v>
      </c>
      <c r="F15" s="64">
        <v>70</v>
      </c>
      <c r="G15" s="65" t="s">
        <v>242</v>
      </c>
      <c r="H15" s="64" t="s">
        <v>243</v>
      </c>
      <c r="J15" s="64" t="s">
        <v>41</v>
      </c>
      <c r="K15" s="64">
        <v>0</v>
      </c>
    </row>
    <row r="16" spans="1:13" ht="17.399999999999999" customHeight="1" x14ac:dyDescent="0.45">
      <c r="A16" s="63" t="str">
        <f t="shared" si="0"/>
        <v>C</v>
      </c>
      <c r="B16" s="59">
        <f t="shared" si="1"/>
        <v>78.75</v>
      </c>
      <c r="C16" s="64">
        <v>73</v>
      </c>
      <c r="D16" s="64">
        <v>84</v>
      </c>
      <c r="E16" s="64">
        <v>86</v>
      </c>
      <c r="F16" s="64">
        <v>72</v>
      </c>
      <c r="G16" s="65" t="s">
        <v>245</v>
      </c>
      <c r="H16" s="64" t="s">
        <v>246</v>
      </c>
    </row>
    <row r="17" spans="1:17" ht="17.399999999999999" customHeight="1" x14ac:dyDescent="0.45">
      <c r="A17" s="63" t="str">
        <f t="shared" si="0"/>
        <v>C</v>
      </c>
      <c r="B17" s="59">
        <f t="shared" si="1"/>
        <v>75.5</v>
      </c>
      <c r="C17" s="64">
        <v>74</v>
      </c>
      <c r="D17" s="64">
        <v>74</v>
      </c>
      <c r="E17" s="64">
        <v>81</v>
      </c>
      <c r="F17" s="64">
        <v>73</v>
      </c>
      <c r="G17" s="65" t="s">
        <v>248</v>
      </c>
      <c r="H17" s="64" t="s">
        <v>249</v>
      </c>
      <c r="K17" s="59" t="s">
        <v>8</v>
      </c>
      <c r="L17" s="59" t="s">
        <v>7</v>
      </c>
      <c r="M17" s="59" t="s">
        <v>3</v>
      </c>
      <c r="N17" s="59" t="s">
        <v>4</v>
      </c>
      <c r="O17" s="59" t="s">
        <v>5</v>
      </c>
      <c r="P17" s="59" t="s">
        <v>6</v>
      </c>
      <c r="Q17" s="59" t="s">
        <v>373</v>
      </c>
    </row>
    <row r="18" spans="1:17" ht="17.399999999999999" customHeight="1" x14ac:dyDescent="0.45">
      <c r="A18" s="63" t="str">
        <f t="shared" si="0"/>
        <v>D</v>
      </c>
      <c r="B18" s="59">
        <f t="shared" si="1"/>
        <v>64</v>
      </c>
      <c r="C18" s="64">
        <v>64</v>
      </c>
      <c r="D18" s="64">
        <v>57</v>
      </c>
      <c r="E18" s="64">
        <v>88</v>
      </c>
      <c r="F18" s="64">
        <v>47</v>
      </c>
      <c r="G18" s="65" t="s">
        <v>102</v>
      </c>
      <c r="H18" s="64" t="s">
        <v>181</v>
      </c>
      <c r="J18" s="64" t="s">
        <v>205</v>
      </c>
      <c r="K18" s="63" t="str" cm="1">
        <f t="array" ref="K18:Q18">_xlfn.XLOOKUP(J18,$H$2:$H$96,$A$2:$G$96,,0)</f>
        <v>F</v>
      </c>
      <c r="L18" s="59">
        <v>49.5</v>
      </c>
      <c r="M18" s="64">
        <v>54</v>
      </c>
      <c r="N18" s="64">
        <v>29</v>
      </c>
      <c r="O18" s="64">
        <v>83</v>
      </c>
      <c r="P18" s="64">
        <v>32</v>
      </c>
      <c r="Q18" s="64" t="str">
        <v>Rajesh</v>
      </c>
    </row>
    <row r="19" spans="1:17" ht="17.399999999999999" customHeight="1" x14ac:dyDescent="0.45">
      <c r="A19" s="63" t="str">
        <f t="shared" si="0"/>
        <v>D</v>
      </c>
      <c r="B19" s="59">
        <f t="shared" si="1"/>
        <v>60.5</v>
      </c>
      <c r="C19" s="64">
        <v>60</v>
      </c>
      <c r="D19" s="64">
        <v>47</v>
      </c>
      <c r="E19" s="64">
        <v>90</v>
      </c>
      <c r="F19" s="64">
        <v>45</v>
      </c>
      <c r="G19" s="65" t="s">
        <v>380</v>
      </c>
      <c r="H19" s="64" t="s">
        <v>184</v>
      </c>
    </row>
    <row r="20" spans="1:17" ht="17.399999999999999" customHeight="1" x14ac:dyDescent="0.45">
      <c r="A20" s="63" t="str">
        <f t="shared" si="0"/>
        <v>D</v>
      </c>
      <c r="B20" s="59">
        <f t="shared" si="1"/>
        <v>65</v>
      </c>
      <c r="C20" s="64">
        <v>56</v>
      </c>
      <c r="D20" s="64">
        <v>53</v>
      </c>
      <c r="E20" s="64">
        <v>97</v>
      </c>
      <c r="F20" s="64">
        <v>54</v>
      </c>
      <c r="G20" s="65" t="s">
        <v>186</v>
      </c>
      <c r="H20" s="64" t="s">
        <v>187</v>
      </c>
    </row>
    <row r="21" spans="1:17" ht="17.399999999999999" customHeight="1" x14ac:dyDescent="0.45">
      <c r="A21" s="63" t="str">
        <f t="shared" si="0"/>
        <v>D</v>
      </c>
      <c r="B21" s="59">
        <f t="shared" si="1"/>
        <v>60.25</v>
      </c>
      <c r="C21" s="64">
        <v>56</v>
      </c>
      <c r="D21" s="64">
        <v>47</v>
      </c>
      <c r="E21" s="64">
        <v>93</v>
      </c>
      <c r="F21" s="64">
        <v>45</v>
      </c>
      <c r="G21" s="65" t="s">
        <v>189</v>
      </c>
      <c r="H21" s="64" t="s">
        <v>190</v>
      </c>
      <c r="L21" s="60">
        <f>HLOOKUP(N17,A1:G96,2)</f>
        <v>87</v>
      </c>
    </row>
    <row r="22" spans="1:17" ht="17.399999999999999" customHeight="1" x14ac:dyDescent="0.45">
      <c r="A22" s="63" t="str">
        <f t="shared" si="0"/>
        <v>F</v>
      </c>
      <c r="B22" s="59">
        <f t="shared" si="1"/>
        <v>56</v>
      </c>
      <c r="C22" s="64">
        <v>53</v>
      </c>
      <c r="D22" s="64">
        <v>48</v>
      </c>
      <c r="E22" s="64">
        <v>87</v>
      </c>
      <c r="F22" s="64">
        <v>36</v>
      </c>
      <c r="G22" s="65" t="s">
        <v>192</v>
      </c>
      <c r="H22" s="64" t="s">
        <v>193</v>
      </c>
    </row>
    <row r="23" spans="1:17" ht="17.399999999999999" customHeight="1" x14ac:dyDescent="0.45">
      <c r="A23" s="63" t="str">
        <f t="shared" si="0"/>
        <v>F</v>
      </c>
      <c r="B23" s="59">
        <f t="shared" si="1"/>
        <v>56.75</v>
      </c>
      <c r="C23" s="64">
        <v>39</v>
      </c>
      <c r="D23" s="64">
        <v>42</v>
      </c>
      <c r="E23" s="64">
        <v>93</v>
      </c>
      <c r="F23" s="64">
        <v>53</v>
      </c>
      <c r="G23" s="65" t="s">
        <v>195</v>
      </c>
      <c r="H23" s="64" t="s">
        <v>196</v>
      </c>
    </row>
    <row r="24" spans="1:17" ht="17.399999999999999" customHeight="1" x14ac:dyDescent="0.45">
      <c r="A24" s="63" t="str">
        <f t="shared" si="0"/>
        <v>F</v>
      </c>
      <c r="B24" s="59">
        <f t="shared" si="1"/>
        <v>48.5</v>
      </c>
      <c r="C24" s="64">
        <v>47</v>
      </c>
      <c r="D24" s="64">
        <v>27</v>
      </c>
      <c r="E24" s="64">
        <v>86</v>
      </c>
      <c r="F24" s="64">
        <v>34</v>
      </c>
      <c r="G24" s="65" t="s">
        <v>198</v>
      </c>
      <c r="H24" s="64" t="s">
        <v>199</v>
      </c>
    </row>
    <row r="25" spans="1:17" ht="17.399999999999999" customHeight="1" x14ac:dyDescent="0.45">
      <c r="A25" s="63" t="str">
        <f t="shared" si="0"/>
        <v>F</v>
      </c>
      <c r="B25" s="59">
        <f t="shared" si="1"/>
        <v>50</v>
      </c>
      <c r="C25" s="64">
        <v>31</v>
      </c>
      <c r="D25" s="64">
        <v>33</v>
      </c>
      <c r="E25" s="64">
        <v>90</v>
      </c>
      <c r="F25" s="64">
        <v>46</v>
      </c>
      <c r="G25" s="65" t="s">
        <v>201</v>
      </c>
      <c r="H25" s="64" t="s">
        <v>202</v>
      </c>
    </row>
    <row r="26" spans="1:17" ht="17.399999999999999" customHeight="1" x14ac:dyDescent="0.45">
      <c r="A26" s="63" t="str">
        <f t="shared" si="0"/>
        <v>F</v>
      </c>
      <c r="B26" s="59">
        <f t="shared" si="1"/>
        <v>49.5</v>
      </c>
      <c r="C26" s="64">
        <v>54</v>
      </c>
      <c r="D26" s="64">
        <v>29</v>
      </c>
      <c r="E26" s="64">
        <v>83</v>
      </c>
      <c r="F26" s="64">
        <v>32</v>
      </c>
      <c r="G26" s="65" t="s">
        <v>204</v>
      </c>
      <c r="H26" s="64" t="s">
        <v>205</v>
      </c>
    </row>
    <row r="27" spans="1:17" ht="17.399999999999999" customHeight="1" x14ac:dyDescent="0.45">
      <c r="A27" s="63" t="str">
        <f t="shared" si="0"/>
        <v>F</v>
      </c>
      <c r="B27" s="59">
        <f t="shared" si="1"/>
        <v>50.5</v>
      </c>
      <c r="C27" s="64">
        <v>40</v>
      </c>
      <c r="D27" s="64">
        <v>32</v>
      </c>
      <c r="E27" s="64">
        <v>93</v>
      </c>
      <c r="F27" s="64">
        <v>37</v>
      </c>
      <c r="G27" s="65" t="s">
        <v>207</v>
      </c>
      <c r="H27" s="64" t="s">
        <v>208</v>
      </c>
    </row>
    <row r="28" spans="1:17" ht="17.399999999999999" customHeight="1" x14ac:dyDescent="0.45">
      <c r="A28" s="63" t="str">
        <f t="shared" si="0"/>
        <v>F</v>
      </c>
      <c r="B28" s="59">
        <f t="shared" si="1"/>
        <v>41.75</v>
      </c>
      <c r="C28" s="64">
        <v>25</v>
      </c>
      <c r="D28" s="64">
        <v>29</v>
      </c>
      <c r="E28" s="64">
        <v>86</v>
      </c>
      <c r="F28" s="64">
        <v>27</v>
      </c>
      <c r="G28" s="65" t="s">
        <v>210</v>
      </c>
      <c r="H28" s="64" t="s">
        <v>211</v>
      </c>
    </row>
    <row r="29" spans="1:17" ht="17.399999999999999" customHeight="1" x14ac:dyDescent="0.45">
      <c r="A29" s="63" t="str">
        <f t="shared" si="0"/>
        <v>F</v>
      </c>
      <c r="B29" s="59">
        <f t="shared" si="1"/>
        <v>41</v>
      </c>
      <c r="C29" s="64">
        <v>46</v>
      </c>
      <c r="D29" s="64">
        <v>30</v>
      </c>
      <c r="E29" s="64">
        <v>88</v>
      </c>
      <c r="F29" s="64">
        <v>0</v>
      </c>
      <c r="G29" s="65" t="s">
        <v>213</v>
      </c>
      <c r="H29" s="64" t="s">
        <v>214</v>
      </c>
    </row>
    <row r="30" spans="1:17" ht="17.399999999999999" customHeight="1" x14ac:dyDescent="0.45">
      <c r="A30" s="63" t="str">
        <f t="shared" si="0"/>
        <v>C</v>
      </c>
      <c r="B30" s="59">
        <f t="shared" si="1"/>
        <v>79.75</v>
      </c>
      <c r="C30" s="64">
        <v>96</v>
      </c>
      <c r="D30" s="64">
        <v>95</v>
      </c>
      <c r="E30" s="64">
        <v>93</v>
      </c>
      <c r="F30" s="64">
        <v>35</v>
      </c>
      <c r="G30" s="65" t="s">
        <v>216</v>
      </c>
      <c r="H30" s="64" t="s">
        <v>217</v>
      </c>
    </row>
    <row r="31" spans="1:17" ht="17.399999999999999" customHeight="1" x14ac:dyDescent="0.45">
      <c r="A31" s="63" t="str">
        <f t="shared" si="0"/>
        <v>C</v>
      </c>
      <c r="B31" s="59">
        <f t="shared" si="1"/>
        <v>74</v>
      </c>
      <c r="C31" s="64">
        <v>87</v>
      </c>
      <c r="D31" s="64">
        <v>82</v>
      </c>
      <c r="E31" s="64">
        <v>81</v>
      </c>
      <c r="F31" s="64">
        <v>46</v>
      </c>
      <c r="G31" s="65" t="s">
        <v>219</v>
      </c>
      <c r="H31" s="64" t="s">
        <v>220</v>
      </c>
    </row>
    <row r="32" spans="1:17" ht="17.399999999999999" customHeight="1" x14ac:dyDescent="0.45">
      <c r="A32" s="63" t="str">
        <f t="shared" si="0"/>
        <v>B</v>
      </c>
      <c r="B32" s="59">
        <f t="shared" si="1"/>
        <v>82.75</v>
      </c>
      <c r="C32" s="64">
        <v>93</v>
      </c>
      <c r="D32" s="64">
        <v>93</v>
      </c>
      <c r="E32" s="64">
        <v>98</v>
      </c>
      <c r="F32" s="64">
        <v>47</v>
      </c>
      <c r="G32" s="65" t="s">
        <v>222</v>
      </c>
      <c r="H32" s="64" t="s">
        <v>223</v>
      </c>
    </row>
    <row r="33" spans="1:8" ht="17.399999999999999" customHeight="1" x14ac:dyDescent="0.45">
      <c r="A33" s="63" t="str">
        <f t="shared" si="0"/>
        <v>C</v>
      </c>
      <c r="B33" s="59">
        <f t="shared" si="1"/>
        <v>79.5</v>
      </c>
      <c r="C33" s="64">
        <v>93</v>
      </c>
      <c r="D33" s="64">
        <v>90</v>
      </c>
      <c r="E33" s="64">
        <v>81</v>
      </c>
      <c r="F33" s="64">
        <v>54</v>
      </c>
      <c r="G33" s="65" t="s">
        <v>225</v>
      </c>
      <c r="H33" s="64" t="s">
        <v>226</v>
      </c>
    </row>
    <row r="34" spans="1:8" ht="17.399999999999999" customHeight="1" x14ac:dyDescent="0.45">
      <c r="A34" s="63" t="str">
        <f t="shared" si="0"/>
        <v>B</v>
      </c>
      <c r="B34" s="59">
        <f t="shared" si="1"/>
        <v>80.25</v>
      </c>
      <c r="C34" s="64">
        <v>85</v>
      </c>
      <c r="D34" s="64">
        <v>83</v>
      </c>
      <c r="E34" s="64">
        <v>87</v>
      </c>
      <c r="F34" s="64">
        <v>66</v>
      </c>
      <c r="G34" s="65" t="s">
        <v>228</v>
      </c>
      <c r="H34" s="64" t="s">
        <v>229</v>
      </c>
    </row>
    <row r="35" spans="1:8" ht="17.399999999999999" customHeight="1" x14ac:dyDescent="0.45">
      <c r="A35" s="63" t="str">
        <f t="shared" si="0"/>
        <v>D</v>
      </c>
      <c r="B35" s="59">
        <f t="shared" si="1"/>
        <v>67.75</v>
      </c>
      <c r="C35" s="64">
        <v>26</v>
      </c>
      <c r="D35" s="64">
        <v>87</v>
      </c>
      <c r="E35" s="64">
        <v>89</v>
      </c>
      <c r="F35" s="64">
        <v>69</v>
      </c>
      <c r="G35" s="65" t="s">
        <v>231</v>
      </c>
      <c r="H35" s="64" t="s">
        <v>232</v>
      </c>
    </row>
    <row r="36" spans="1:8" ht="17.399999999999999" customHeight="1" x14ac:dyDescent="0.45">
      <c r="A36" s="63" t="str">
        <f t="shared" si="0"/>
        <v>A</v>
      </c>
      <c r="B36" s="59">
        <f t="shared" si="1"/>
        <v>91.5</v>
      </c>
      <c r="C36" s="64">
        <v>90</v>
      </c>
      <c r="D36" s="64">
        <v>91</v>
      </c>
      <c r="E36" s="64">
        <v>96</v>
      </c>
      <c r="F36" s="64">
        <v>89</v>
      </c>
      <c r="G36" s="65" t="s">
        <v>234</v>
      </c>
      <c r="H36" s="64" t="s">
        <v>235</v>
      </c>
    </row>
    <row r="37" spans="1:8" ht="17.399999999999999" customHeight="1" x14ac:dyDescent="0.45">
      <c r="A37" s="63" t="str">
        <f t="shared" si="0"/>
        <v>C</v>
      </c>
      <c r="B37" s="59">
        <f t="shared" si="1"/>
        <v>77.5</v>
      </c>
      <c r="C37" s="64">
        <v>75</v>
      </c>
      <c r="D37" s="64">
        <v>81</v>
      </c>
      <c r="E37" s="64">
        <v>81</v>
      </c>
      <c r="F37" s="64">
        <v>73</v>
      </c>
      <c r="G37" s="65" t="s">
        <v>251</v>
      </c>
      <c r="H37" s="64" t="s">
        <v>252</v>
      </c>
    </row>
    <row r="38" spans="1:8" ht="17.399999999999999" customHeight="1" x14ac:dyDescent="0.45">
      <c r="A38" s="63" t="str">
        <f t="shared" si="0"/>
        <v>C</v>
      </c>
      <c r="B38" s="59">
        <f t="shared" si="1"/>
        <v>78.25</v>
      </c>
      <c r="C38" s="64">
        <v>76</v>
      </c>
      <c r="D38" s="64">
        <v>81</v>
      </c>
      <c r="E38" s="64">
        <v>83</v>
      </c>
      <c r="F38" s="64">
        <v>73</v>
      </c>
      <c r="G38" s="65" t="s">
        <v>254</v>
      </c>
      <c r="H38" s="64" t="s">
        <v>255</v>
      </c>
    </row>
    <row r="39" spans="1:8" ht="17.399999999999999" customHeight="1" x14ac:dyDescent="0.45">
      <c r="A39" s="63" t="str">
        <f t="shared" si="0"/>
        <v>C</v>
      </c>
      <c r="B39" s="59">
        <f t="shared" si="1"/>
        <v>78</v>
      </c>
      <c r="C39" s="64">
        <v>78</v>
      </c>
      <c r="D39" s="64">
        <v>64</v>
      </c>
      <c r="E39" s="64">
        <v>96</v>
      </c>
      <c r="F39" s="64">
        <v>74</v>
      </c>
      <c r="G39" s="65" t="s">
        <v>257</v>
      </c>
      <c r="H39" s="64" t="s">
        <v>258</v>
      </c>
    </row>
    <row r="40" spans="1:8" ht="17.399999999999999" customHeight="1" x14ac:dyDescent="0.45">
      <c r="A40" s="63" t="str">
        <f t="shared" si="0"/>
        <v>C</v>
      </c>
      <c r="B40" s="59">
        <f t="shared" si="1"/>
        <v>77.5</v>
      </c>
      <c r="C40" s="64">
        <v>79</v>
      </c>
      <c r="D40" s="64">
        <v>68</v>
      </c>
      <c r="E40" s="64">
        <v>87</v>
      </c>
      <c r="F40" s="64">
        <v>76</v>
      </c>
      <c r="G40" s="65" t="s">
        <v>260</v>
      </c>
      <c r="H40" s="64" t="s">
        <v>261</v>
      </c>
    </row>
    <row r="41" spans="1:8" ht="17.399999999999999" customHeight="1" x14ac:dyDescent="0.45">
      <c r="A41" s="63" t="str">
        <f t="shared" si="0"/>
        <v>B</v>
      </c>
      <c r="B41" s="59">
        <f t="shared" si="1"/>
        <v>81.5</v>
      </c>
      <c r="C41" s="64">
        <v>81</v>
      </c>
      <c r="D41" s="64">
        <v>78</v>
      </c>
      <c r="E41" s="64">
        <v>90</v>
      </c>
      <c r="F41" s="64">
        <v>77</v>
      </c>
      <c r="G41" s="65" t="s">
        <v>263</v>
      </c>
      <c r="H41" s="64" t="s">
        <v>264</v>
      </c>
    </row>
    <row r="42" spans="1:8" ht="17.399999999999999" customHeight="1" x14ac:dyDescent="0.45">
      <c r="A42" s="63" t="str">
        <f t="shared" si="0"/>
        <v>A</v>
      </c>
      <c r="B42" s="59">
        <f t="shared" si="1"/>
        <v>92.75</v>
      </c>
      <c r="C42" s="64">
        <v>91</v>
      </c>
      <c r="D42" s="64">
        <v>93</v>
      </c>
      <c r="E42" s="64">
        <v>93</v>
      </c>
      <c r="F42" s="64">
        <v>94</v>
      </c>
      <c r="G42" s="65" t="s">
        <v>29</v>
      </c>
      <c r="H42" s="64" t="s">
        <v>30</v>
      </c>
    </row>
    <row r="43" spans="1:8" ht="17.399999999999999" customHeight="1" x14ac:dyDescent="0.45">
      <c r="A43" s="63" t="str">
        <f t="shared" si="0"/>
        <v>B</v>
      </c>
      <c r="B43" s="59">
        <f t="shared" si="1"/>
        <v>85.25</v>
      </c>
      <c r="C43" s="64">
        <v>94</v>
      </c>
      <c r="D43" s="64">
        <v>89</v>
      </c>
      <c r="E43" s="64">
        <v>86</v>
      </c>
      <c r="F43" s="64">
        <v>72</v>
      </c>
      <c r="G43" s="65" t="s">
        <v>32</v>
      </c>
      <c r="H43" s="64" t="s">
        <v>33</v>
      </c>
    </row>
    <row r="44" spans="1:8" ht="17.399999999999999" customHeight="1" x14ac:dyDescent="0.45">
      <c r="A44" s="63" t="str">
        <f t="shared" si="0"/>
        <v>B</v>
      </c>
      <c r="B44" s="59">
        <f t="shared" si="1"/>
        <v>84.25</v>
      </c>
      <c r="C44" s="64">
        <v>92</v>
      </c>
      <c r="D44" s="64">
        <v>90</v>
      </c>
      <c r="E44" s="64">
        <v>87</v>
      </c>
      <c r="F44" s="64">
        <v>68</v>
      </c>
      <c r="G44" s="65" t="s">
        <v>35</v>
      </c>
      <c r="H44" s="64" t="s">
        <v>36</v>
      </c>
    </row>
    <row r="45" spans="1:8" ht="17.399999999999999" customHeight="1" x14ac:dyDescent="0.45">
      <c r="A45" s="63" t="str">
        <f t="shared" si="0"/>
        <v>B</v>
      </c>
      <c r="B45" s="59">
        <f t="shared" si="1"/>
        <v>86.75</v>
      </c>
      <c r="C45" s="64">
        <v>80</v>
      </c>
      <c r="D45" s="64">
        <v>90</v>
      </c>
      <c r="E45" s="64">
        <v>86</v>
      </c>
      <c r="F45" s="64">
        <v>91</v>
      </c>
      <c r="G45" s="65" t="s">
        <v>39</v>
      </c>
      <c r="H45" s="64" t="s">
        <v>40</v>
      </c>
    </row>
    <row r="46" spans="1:8" ht="17.399999999999999" customHeight="1" x14ac:dyDescent="0.45">
      <c r="A46" s="63" t="str">
        <f t="shared" si="0"/>
        <v>B</v>
      </c>
      <c r="B46" s="59">
        <f t="shared" si="1"/>
        <v>88.25</v>
      </c>
      <c r="C46" s="64">
        <v>96</v>
      </c>
      <c r="D46" s="64">
        <v>82</v>
      </c>
      <c r="E46" s="64">
        <v>97</v>
      </c>
      <c r="F46" s="64">
        <v>78</v>
      </c>
      <c r="G46" s="65" t="s">
        <v>43</v>
      </c>
      <c r="H46" s="64" t="s">
        <v>44</v>
      </c>
    </row>
    <row r="47" spans="1:8" ht="17.399999999999999" customHeight="1" x14ac:dyDescent="0.45">
      <c r="A47" s="63" t="str">
        <f t="shared" si="0"/>
        <v>B</v>
      </c>
      <c r="B47" s="59">
        <f t="shared" si="1"/>
        <v>83.25</v>
      </c>
      <c r="C47" s="64">
        <v>91</v>
      </c>
      <c r="D47" s="64">
        <v>84</v>
      </c>
      <c r="E47" s="64">
        <v>81</v>
      </c>
      <c r="F47" s="64">
        <v>77</v>
      </c>
      <c r="G47" s="65" t="s">
        <v>47</v>
      </c>
      <c r="H47" s="64" t="s">
        <v>48</v>
      </c>
    </row>
    <row r="48" spans="1:8" ht="17.399999999999999" customHeight="1" x14ac:dyDescent="0.45">
      <c r="A48" s="63" t="str">
        <f t="shared" si="0"/>
        <v>B</v>
      </c>
      <c r="B48" s="59">
        <f t="shared" si="1"/>
        <v>84</v>
      </c>
      <c r="C48" s="64">
        <v>91</v>
      </c>
      <c r="D48" s="64">
        <v>77</v>
      </c>
      <c r="E48" s="64">
        <v>83</v>
      </c>
      <c r="F48" s="64">
        <v>85</v>
      </c>
      <c r="G48" s="65" t="s">
        <v>51</v>
      </c>
      <c r="H48" s="64" t="s">
        <v>52</v>
      </c>
    </row>
    <row r="49" spans="1:8" ht="17.399999999999999" customHeight="1" x14ac:dyDescent="0.45">
      <c r="A49" s="63" t="str">
        <f t="shared" si="0"/>
        <v>B</v>
      </c>
      <c r="B49" s="59">
        <f t="shared" si="1"/>
        <v>85.75</v>
      </c>
      <c r="C49" s="64">
        <v>86</v>
      </c>
      <c r="D49" s="64">
        <v>79</v>
      </c>
      <c r="E49" s="64">
        <v>90</v>
      </c>
      <c r="F49" s="64">
        <v>88</v>
      </c>
      <c r="G49" s="65" t="s">
        <v>55</v>
      </c>
      <c r="H49" s="64" t="s">
        <v>56</v>
      </c>
    </row>
    <row r="50" spans="1:8" ht="17.399999999999999" customHeight="1" x14ac:dyDescent="0.45">
      <c r="A50" s="63" t="str">
        <f t="shared" si="0"/>
        <v>B</v>
      </c>
      <c r="B50" s="59">
        <f t="shared" si="1"/>
        <v>86.75</v>
      </c>
      <c r="C50" s="64">
        <v>85</v>
      </c>
      <c r="D50" s="64">
        <v>93</v>
      </c>
      <c r="E50" s="64">
        <v>87</v>
      </c>
      <c r="F50" s="64">
        <v>82</v>
      </c>
      <c r="G50" s="65" t="s">
        <v>59</v>
      </c>
      <c r="H50" s="64" t="s">
        <v>60</v>
      </c>
    </row>
    <row r="51" spans="1:8" ht="17.399999999999999" customHeight="1" x14ac:dyDescent="0.45">
      <c r="A51" s="63" t="str">
        <f t="shared" si="0"/>
        <v>B</v>
      </c>
      <c r="B51" s="59">
        <f t="shared" si="1"/>
        <v>81.25</v>
      </c>
      <c r="C51" s="64">
        <v>89</v>
      </c>
      <c r="D51" s="64">
        <v>68</v>
      </c>
      <c r="E51" s="64">
        <v>80</v>
      </c>
      <c r="F51" s="64">
        <v>88</v>
      </c>
      <c r="G51" s="65" t="s">
        <v>62</v>
      </c>
      <c r="H51" s="64" t="s">
        <v>63</v>
      </c>
    </row>
    <row r="52" spans="1:8" ht="17.399999999999999" customHeight="1" x14ac:dyDescent="0.45">
      <c r="A52" s="63" t="str">
        <f t="shared" si="0"/>
        <v>B</v>
      </c>
      <c r="B52" s="59">
        <f t="shared" si="1"/>
        <v>80.5</v>
      </c>
      <c r="C52" s="64">
        <v>95</v>
      </c>
      <c r="D52" s="64">
        <v>73</v>
      </c>
      <c r="E52" s="64">
        <v>88</v>
      </c>
      <c r="F52" s="64">
        <v>66</v>
      </c>
      <c r="G52" s="65" t="s">
        <v>66</v>
      </c>
      <c r="H52" s="64" t="s">
        <v>67</v>
      </c>
    </row>
    <row r="53" spans="1:8" ht="17.399999999999999" customHeight="1" x14ac:dyDescent="0.45">
      <c r="A53" s="63" t="str">
        <f t="shared" si="0"/>
        <v>B</v>
      </c>
      <c r="B53" s="59">
        <f t="shared" si="1"/>
        <v>81.75</v>
      </c>
      <c r="C53" s="64">
        <v>89</v>
      </c>
      <c r="D53" s="64">
        <v>78</v>
      </c>
      <c r="E53" s="64">
        <v>89</v>
      </c>
      <c r="F53" s="64">
        <v>71</v>
      </c>
      <c r="G53" s="65" t="s">
        <v>70</v>
      </c>
      <c r="H53" s="64" t="s">
        <v>71</v>
      </c>
    </row>
    <row r="54" spans="1:8" ht="17.399999999999999" customHeight="1" x14ac:dyDescent="0.45">
      <c r="A54" s="63" t="str">
        <f t="shared" si="0"/>
        <v>B</v>
      </c>
      <c r="B54" s="59">
        <f t="shared" si="1"/>
        <v>80.5</v>
      </c>
      <c r="C54" s="64">
        <v>83</v>
      </c>
      <c r="D54" s="64">
        <v>78</v>
      </c>
      <c r="E54" s="64">
        <v>80</v>
      </c>
      <c r="F54" s="64">
        <v>81</v>
      </c>
      <c r="G54" s="65" t="s">
        <v>73</v>
      </c>
      <c r="H54" s="64" t="s">
        <v>74</v>
      </c>
    </row>
    <row r="55" spans="1:8" ht="17.399999999999999" customHeight="1" x14ac:dyDescent="0.45">
      <c r="A55" s="63" t="str">
        <f t="shared" si="0"/>
        <v>C</v>
      </c>
      <c r="B55" s="59">
        <f t="shared" si="1"/>
        <v>71.75</v>
      </c>
      <c r="C55" s="64">
        <v>76</v>
      </c>
      <c r="D55" s="64">
        <v>70</v>
      </c>
      <c r="E55" s="64">
        <v>86</v>
      </c>
      <c r="F55" s="64">
        <v>55</v>
      </c>
      <c r="G55" s="65" t="s">
        <v>76</v>
      </c>
      <c r="H55" s="64" t="s">
        <v>141</v>
      </c>
    </row>
    <row r="56" spans="1:8" ht="17.399999999999999" customHeight="1" x14ac:dyDescent="0.45">
      <c r="A56" s="63" t="str">
        <f t="shared" si="0"/>
        <v>C</v>
      </c>
      <c r="B56" s="59">
        <f t="shared" si="1"/>
        <v>75.5</v>
      </c>
      <c r="C56" s="64">
        <v>71</v>
      </c>
      <c r="D56" s="64">
        <v>75</v>
      </c>
      <c r="E56" s="64">
        <v>83</v>
      </c>
      <c r="F56" s="64">
        <v>73</v>
      </c>
      <c r="G56" s="65" t="s">
        <v>143</v>
      </c>
      <c r="H56" s="64" t="s">
        <v>144</v>
      </c>
    </row>
    <row r="57" spans="1:8" ht="17.399999999999999" customHeight="1" x14ac:dyDescent="0.45">
      <c r="A57" s="63" t="str">
        <f t="shared" si="0"/>
        <v>C</v>
      </c>
      <c r="B57" s="59">
        <f t="shared" si="1"/>
        <v>74.25</v>
      </c>
      <c r="C57" s="64">
        <v>69</v>
      </c>
      <c r="D57" s="64">
        <v>79</v>
      </c>
      <c r="E57" s="64">
        <v>87</v>
      </c>
      <c r="F57" s="64">
        <v>62</v>
      </c>
      <c r="G57" s="65" t="s">
        <v>146</v>
      </c>
      <c r="H57" s="64" t="s">
        <v>147</v>
      </c>
    </row>
    <row r="58" spans="1:8" ht="17.399999999999999" customHeight="1" x14ac:dyDescent="0.45">
      <c r="A58" s="63" t="str">
        <f t="shared" si="0"/>
        <v>B</v>
      </c>
      <c r="B58" s="59">
        <f t="shared" si="1"/>
        <v>80.25</v>
      </c>
      <c r="C58" s="64">
        <v>83</v>
      </c>
      <c r="D58" s="64">
        <v>70</v>
      </c>
      <c r="E58" s="64">
        <v>91</v>
      </c>
      <c r="F58" s="64">
        <v>77</v>
      </c>
      <c r="G58" s="65" t="s">
        <v>266</v>
      </c>
      <c r="H58" s="64" t="s">
        <v>267</v>
      </c>
    </row>
    <row r="59" spans="1:8" ht="17.399999999999999" customHeight="1" x14ac:dyDescent="0.45">
      <c r="A59" s="63" t="str">
        <f t="shared" si="0"/>
        <v>C</v>
      </c>
      <c r="B59" s="59">
        <f t="shared" si="1"/>
        <v>76.25</v>
      </c>
      <c r="C59" s="64">
        <v>83</v>
      </c>
      <c r="D59" s="64">
        <v>60</v>
      </c>
      <c r="E59" s="64">
        <v>84</v>
      </c>
      <c r="F59" s="64">
        <v>78</v>
      </c>
      <c r="G59" s="65" t="s">
        <v>269</v>
      </c>
      <c r="H59" s="64" t="s">
        <v>270</v>
      </c>
    </row>
    <row r="60" spans="1:8" ht="17.399999999999999" customHeight="1" x14ac:dyDescent="0.45">
      <c r="A60" s="63" t="str">
        <f t="shared" si="0"/>
        <v>B</v>
      </c>
      <c r="B60" s="59">
        <f t="shared" si="1"/>
        <v>82</v>
      </c>
      <c r="C60" s="64">
        <v>83</v>
      </c>
      <c r="D60" s="64">
        <v>85</v>
      </c>
      <c r="E60" s="64">
        <v>80</v>
      </c>
      <c r="F60" s="64">
        <v>80</v>
      </c>
      <c r="G60" s="65" t="s">
        <v>272</v>
      </c>
      <c r="H60" s="64" t="s">
        <v>273</v>
      </c>
    </row>
    <row r="61" spans="1:8" ht="17.399999999999999" customHeight="1" x14ac:dyDescent="0.45">
      <c r="A61" s="63" t="str">
        <f t="shared" si="0"/>
        <v>B</v>
      </c>
      <c r="B61" s="59">
        <f t="shared" si="1"/>
        <v>85.25</v>
      </c>
      <c r="C61" s="64">
        <v>84</v>
      </c>
      <c r="D61" s="64">
        <v>81</v>
      </c>
      <c r="E61" s="64">
        <v>95</v>
      </c>
      <c r="F61" s="64">
        <v>81</v>
      </c>
      <c r="G61" s="65" t="s">
        <v>275</v>
      </c>
      <c r="H61" s="64" t="s">
        <v>276</v>
      </c>
    </row>
    <row r="62" spans="1:8" ht="17.399999999999999" customHeight="1" x14ac:dyDescent="0.45">
      <c r="A62" s="63" t="str">
        <f t="shared" si="0"/>
        <v>B</v>
      </c>
      <c r="B62" s="59">
        <f t="shared" si="1"/>
        <v>85</v>
      </c>
      <c r="C62" s="64">
        <v>84</v>
      </c>
      <c r="D62" s="64">
        <v>82</v>
      </c>
      <c r="E62" s="64">
        <v>92</v>
      </c>
      <c r="F62" s="64">
        <v>82</v>
      </c>
      <c r="G62" s="65" t="s">
        <v>278</v>
      </c>
      <c r="H62" s="64" t="s">
        <v>279</v>
      </c>
    </row>
    <row r="63" spans="1:8" ht="17.399999999999999" customHeight="1" x14ac:dyDescent="0.45">
      <c r="A63" s="63" t="str">
        <f t="shared" si="0"/>
        <v>B</v>
      </c>
      <c r="B63" s="59">
        <f t="shared" si="1"/>
        <v>82.25</v>
      </c>
      <c r="C63" s="64">
        <v>85</v>
      </c>
      <c r="D63" s="64">
        <v>79</v>
      </c>
      <c r="E63" s="64">
        <v>83</v>
      </c>
      <c r="F63" s="64">
        <v>82</v>
      </c>
      <c r="G63" s="65" t="s">
        <v>281</v>
      </c>
      <c r="H63" s="64" t="s">
        <v>282</v>
      </c>
    </row>
    <row r="64" spans="1:8" ht="17.399999999999999" customHeight="1" x14ac:dyDescent="0.45">
      <c r="A64" s="63" t="str">
        <f t="shared" si="0"/>
        <v>B</v>
      </c>
      <c r="B64" s="59">
        <f t="shared" si="1"/>
        <v>83.5</v>
      </c>
      <c r="C64" s="64">
        <v>85</v>
      </c>
      <c r="D64" s="64">
        <v>69</v>
      </c>
      <c r="E64" s="64">
        <v>97</v>
      </c>
      <c r="F64" s="64">
        <v>83</v>
      </c>
      <c r="G64" s="65" t="s">
        <v>284</v>
      </c>
      <c r="H64" s="64" t="s">
        <v>285</v>
      </c>
    </row>
    <row r="65" spans="1:8" ht="17.399999999999999" customHeight="1" x14ac:dyDescent="0.45">
      <c r="A65" s="63" t="str">
        <f t="shared" si="0"/>
        <v>B</v>
      </c>
      <c r="B65" s="59">
        <f t="shared" si="1"/>
        <v>88.75</v>
      </c>
      <c r="C65" s="64">
        <v>88</v>
      </c>
      <c r="D65" s="64">
        <v>96</v>
      </c>
      <c r="E65" s="64">
        <v>92</v>
      </c>
      <c r="F65" s="64">
        <v>79</v>
      </c>
      <c r="G65" s="65" t="s">
        <v>14</v>
      </c>
      <c r="H65" s="64" t="s">
        <v>15</v>
      </c>
    </row>
    <row r="66" spans="1:8" ht="17.399999999999999" customHeight="1" x14ac:dyDescent="0.45">
      <c r="A66" s="63" t="str">
        <f t="shared" si="0"/>
        <v>A</v>
      </c>
      <c r="B66" s="59">
        <f t="shared" si="1"/>
        <v>91</v>
      </c>
      <c r="C66" s="64">
        <v>92</v>
      </c>
      <c r="D66" s="64">
        <v>87</v>
      </c>
      <c r="E66" s="64">
        <v>95</v>
      </c>
      <c r="F66" s="64">
        <v>90</v>
      </c>
      <c r="G66" s="65" t="s">
        <v>18</v>
      </c>
      <c r="H66" s="64" t="s">
        <v>19</v>
      </c>
    </row>
    <row r="67" spans="1:8" ht="17.399999999999999" customHeight="1" x14ac:dyDescent="0.45">
      <c r="A67" s="63" t="str">
        <f t="shared" ref="A67:A96" si="2">_xlfn.XLOOKUP(B67,$K$11:$K$15,$J$11:$J$15,,-1)</f>
        <v>A</v>
      </c>
      <c r="B67" s="59">
        <f t="shared" ref="B67:B96" si="3">AVERAGE(C67:F67)</f>
        <v>92</v>
      </c>
      <c r="C67" s="64">
        <v>92</v>
      </c>
      <c r="D67" s="64">
        <v>90</v>
      </c>
      <c r="E67" s="64">
        <v>95</v>
      </c>
      <c r="F67" s="64">
        <v>91</v>
      </c>
      <c r="G67" s="65" t="s">
        <v>22</v>
      </c>
      <c r="H67" s="64" t="s">
        <v>23</v>
      </c>
    </row>
    <row r="68" spans="1:8" ht="17.399999999999999" customHeight="1" x14ac:dyDescent="0.45">
      <c r="A68" s="63" t="str">
        <f t="shared" si="2"/>
        <v>A</v>
      </c>
      <c r="B68" s="59">
        <f t="shared" si="3"/>
        <v>91.5</v>
      </c>
      <c r="C68" s="64">
        <v>92</v>
      </c>
      <c r="D68" s="64">
        <v>88</v>
      </c>
      <c r="E68" s="64">
        <v>96</v>
      </c>
      <c r="F68" s="64">
        <v>90</v>
      </c>
      <c r="G68" s="65" t="s">
        <v>26</v>
      </c>
      <c r="H68" s="64" t="s">
        <v>27</v>
      </c>
    </row>
    <row r="69" spans="1:8" ht="17.399999999999999" customHeight="1" x14ac:dyDescent="0.45">
      <c r="A69" s="63" t="str">
        <f t="shared" si="2"/>
        <v>B</v>
      </c>
      <c r="B69" s="59">
        <f t="shared" si="3"/>
        <v>80.5</v>
      </c>
      <c r="C69" s="64">
        <v>87</v>
      </c>
      <c r="D69" s="64">
        <v>79</v>
      </c>
      <c r="E69" s="64">
        <v>83</v>
      </c>
      <c r="F69" s="64">
        <v>73</v>
      </c>
      <c r="G69" s="65" t="s">
        <v>76</v>
      </c>
      <c r="H69" s="64" t="s">
        <v>77</v>
      </c>
    </row>
    <row r="70" spans="1:8" ht="17.399999999999999" customHeight="1" x14ac:dyDescent="0.45">
      <c r="A70" s="63" t="str">
        <f t="shared" si="2"/>
        <v>B</v>
      </c>
      <c r="B70" s="59">
        <f t="shared" si="3"/>
        <v>82.75</v>
      </c>
      <c r="C70" s="64">
        <v>89</v>
      </c>
      <c r="D70" s="64">
        <v>79</v>
      </c>
      <c r="E70" s="64">
        <v>80</v>
      </c>
      <c r="F70" s="64">
        <v>83</v>
      </c>
      <c r="G70" s="65" t="s">
        <v>79</v>
      </c>
      <c r="H70" s="64" t="s">
        <v>80</v>
      </c>
    </row>
    <row r="71" spans="1:8" ht="17.399999999999999" customHeight="1" x14ac:dyDescent="0.45">
      <c r="A71" s="63" t="str">
        <f t="shared" si="2"/>
        <v>C</v>
      </c>
      <c r="B71" s="59">
        <f t="shared" si="3"/>
        <v>79</v>
      </c>
      <c r="C71" s="64">
        <v>85</v>
      </c>
      <c r="D71" s="64">
        <v>79</v>
      </c>
      <c r="E71" s="64">
        <v>82</v>
      </c>
      <c r="F71" s="64">
        <v>70</v>
      </c>
      <c r="G71" s="65" t="s">
        <v>83</v>
      </c>
      <c r="H71" s="64" t="s">
        <v>84</v>
      </c>
    </row>
    <row r="72" spans="1:8" ht="17.399999999999999" customHeight="1" x14ac:dyDescent="0.45">
      <c r="A72" s="63" t="str">
        <f t="shared" si="2"/>
        <v>B</v>
      </c>
      <c r="B72" s="59">
        <f t="shared" si="3"/>
        <v>86</v>
      </c>
      <c r="C72" s="64">
        <v>88</v>
      </c>
      <c r="D72" s="64">
        <v>80</v>
      </c>
      <c r="E72" s="64">
        <v>91</v>
      </c>
      <c r="F72" s="64">
        <v>85</v>
      </c>
      <c r="G72" s="65" t="s">
        <v>86</v>
      </c>
      <c r="H72" s="64" t="s">
        <v>87</v>
      </c>
    </row>
    <row r="73" spans="1:8" ht="17.399999999999999" customHeight="1" x14ac:dyDescent="0.45">
      <c r="A73" s="63" t="str">
        <f t="shared" si="2"/>
        <v>B</v>
      </c>
      <c r="B73" s="59">
        <f t="shared" si="3"/>
        <v>81</v>
      </c>
      <c r="C73" s="64">
        <v>89</v>
      </c>
      <c r="D73" s="64">
        <v>80</v>
      </c>
      <c r="E73" s="64">
        <v>93</v>
      </c>
      <c r="F73" s="64">
        <v>62</v>
      </c>
      <c r="G73" s="65" t="s">
        <v>89</v>
      </c>
      <c r="H73" s="64" t="s">
        <v>90</v>
      </c>
    </row>
    <row r="74" spans="1:8" ht="17.399999999999999" customHeight="1" x14ac:dyDescent="0.45">
      <c r="A74" s="63" t="str">
        <f t="shared" si="2"/>
        <v>B</v>
      </c>
      <c r="B74" s="59">
        <f t="shared" si="3"/>
        <v>84</v>
      </c>
      <c r="C74" s="64">
        <v>84</v>
      </c>
      <c r="D74" s="64">
        <v>81</v>
      </c>
      <c r="E74" s="64">
        <v>88</v>
      </c>
      <c r="F74" s="64">
        <v>83</v>
      </c>
      <c r="G74" s="65" t="s">
        <v>92</v>
      </c>
      <c r="H74" s="64" t="s">
        <v>93</v>
      </c>
    </row>
    <row r="75" spans="1:8" ht="17.399999999999999" customHeight="1" x14ac:dyDescent="0.45">
      <c r="A75" s="63" t="str">
        <f t="shared" si="2"/>
        <v>C</v>
      </c>
      <c r="B75" s="59">
        <f t="shared" si="3"/>
        <v>79.5</v>
      </c>
      <c r="C75" s="64">
        <v>81</v>
      </c>
      <c r="D75" s="64">
        <v>83</v>
      </c>
      <c r="E75" s="64">
        <v>81</v>
      </c>
      <c r="F75" s="64">
        <v>73</v>
      </c>
      <c r="G75" s="65" t="s">
        <v>96</v>
      </c>
      <c r="H75" s="64" t="s">
        <v>97</v>
      </c>
    </row>
    <row r="76" spans="1:8" ht="17.399999999999999" customHeight="1" x14ac:dyDescent="0.45">
      <c r="A76" s="63" t="str">
        <f t="shared" si="2"/>
        <v>B</v>
      </c>
      <c r="B76" s="59">
        <f t="shared" si="3"/>
        <v>81</v>
      </c>
      <c r="C76" s="64">
        <v>86</v>
      </c>
      <c r="D76" s="64">
        <v>84</v>
      </c>
      <c r="E76" s="64">
        <v>85</v>
      </c>
      <c r="F76" s="64">
        <v>69</v>
      </c>
      <c r="G76" s="65" t="s">
        <v>99</v>
      </c>
      <c r="H76" s="64" t="s">
        <v>100</v>
      </c>
    </row>
    <row r="77" spans="1:8" ht="17.399999999999999" customHeight="1" x14ac:dyDescent="0.45">
      <c r="A77" s="63" t="str">
        <f t="shared" si="2"/>
        <v>B</v>
      </c>
      <c r="B77" s="59">
        <f t="shared" si="3"/>
        <v>81</v>
      </c>
      <c r="C77" s="64">
        <v>87</v>
      </c>
      <c r="D77" s="64">
        <v>85</v>
      </c>
      <c r="E77" s="64">
        <v>80</v>
      </c>
      <c r="F77" s="64">
        <v>72</v>
      </c>
      <c r="G77" s="65" t="s">
        <v>102</v>
      </c>
      <c r="H77" s="64" t="s">
        <v>103</v>
      </c>
    </row>
    <row r="78" spans="1:8" ht="17.399999999999999" customHeight="1" x14ac:dyDescent="0.45">
      <c r="A78" s="63" t="str">
        <f t="shared" si="2"/>
        <v>B</v>
      </c>
      <c r="B78" s="59">
        <f t="shared" si="3"/>
        <v>83.75</v>
      </c>
      <c r="C78" s="64">
        <v>88</v>
      </c>
      <c r="D78" s="64">
        <v>85</v>
      </c>
      <c r="E78" s="64">
        <v>87</v>
      </c>
      <c r="F78" s="64">
        <v>75</v>
      </c>
      <c r="G78" s="65" t="s">
        <v>105</v>
      </c>
      <c r="H78" s="64" t="s">
        <v>106</v>
      </c>
    </row>
    <row r="79" spans="1:8" ht="17.399999999999999" customHeight="1" x14ac:dyDescent="0.45">
      <c r="A79" s="63" t="str">
        <f t="shared" si="2"/>
        <v>B</v>
      </c>
      <c r="B79" s="59">
        <f t="shared" si="3"/>
        <v>82</v>
      </c>
      <c r="C79" s="64">
        <v>90</v>
      </c>
      <c r="D79" s="64">
        <v>86</v>
      </c>
      <c r="E79" s="64">
        <v>86</v>
      </c>
      <c r="F79" s="64">
        <v>66</v>
      </c>
      <c r="G79" s="65" t="s">
        <v>108</v>
      </c>
      <c r="H79" s="64" t="s">
        <v>109</v>
      </c>
    </row>
    <row r="80" spans="1:8" ht="17.399999999999999" customHeight="1" x14ac:dyDescent="0.45">
      <c r="A80" s="63" t="str">
        <f t="shared" si="2"/>
        <v>C</v>
      </c>
      <c r="B80" s="59">
        <f t="shared" si="3"/>
        <v>77.25</v>
      </c>
      <c r="C80" s="64">
        <v>86</v>
      </c>
      <c r="D80" s="64">
        <v>86</v>
      </c>
      <c r="E80" s="64">
        <v>83</v>
      </c>
      <c r="F80" s="64">
        <v>54</v>
      </c>
      <c r="G80" s="65" t="s">
        <v>111</v>
      </c>
      <c r="H80" s="64" t="s">
        <v>112</v>
      </c>
    </row>
    <row r="81" spans="1:8" ht="17.399999999999999" customHeight="1" x14ac:dyDescent="0.45">
      <c r="A81" s="63" t="str">
        <f t="shared" si="2"/>
        <v>C</v>
      </c>
      <c r="B81" s="59">
        <f t="shared" si="3"/>
        <v>74.5</v>
      </c>
      <c r="C81" s="64">
        <v>76</v>
      </c>
      <c r="D81" s="64">
        <v>86</v>
      </c>
      <c r="E81" s="64">
        <v>80</v>
      </c>
      <c r="F81" s="64">
        <v>56</v>
      </c>
      <c r="G81" s="65" t="s">
        <v>114</v>
      </c>
      <c r="H81" s="64" t="s">
        <v>115</v>
      </c>
    </row>
    <row r="82" spans="1:8" ht="17.399999999999999" customHeight="1" x14ac:dyDescent="0.45">
      <c r="A82" s="63" t="str">
        <f t="shared" si="2"/>
        <v>B</v>
      </c>
      <c r="B82" s="59">
        <f t="shared" si="3"/>
        <v>80</v>
      </c>
      <c r="C82" s="64">
        <v>94</v>
      </c>
      <c r="D82" s="64">
        <v>49</v>
      </c>
      <c r="E82" s="64">
        <v>83</v>
      </c>
      <c r="F82" s="64">
        <v>94</v>
      </c>
      <c r="G82" s="65" t="s">
        <v>117</v>
      </c>
      <c r="H82" s="64" t="s">
        <v>118</v>
      </c>
    </row>
    <row r="83" spans="1:8" ht="17.399999999999999" customHeight="1" x14ac:dyDescent="0.45">
      <c r="A83" s="63" t="str">
        <f t="shared" si="2"/>
        <v>B</v>
      </c>
      <c r="B83" s="59">
        <f t="shared" si="3"/>
        <v>81.25</v>
      </c>
      <c r="C83" s="64">
        <v>82</v>
      </c>
      <c r="D83" s="64">
        <v>87</v>
      </c>
      <c r="E83" s="64">
        <v>85</v>
      </c>
      <c r="F83" s="64">
        <v>71</v>
      </c>
      <c r="G83" s="65" t="s">
        <v>120</v>
      </c>
      <c r="H83" s="64" t="s">
        <v>121</v>
      </c>
    </row>
    <row r="84" spans="1:8" ht="17.399999999999999" customHeight="1" x14ac:dyDescent="0.45">
      <c r="A84" s="63" t="str">
        <f t="shared" si="2"/>
        <v>C</v>
      </c>
      <c r="B84" s="59">
        <f t="shared" si="3"/>
        <v>79.75</v>
      </c>
      <c r="C84" s="64">
        <v>81</v>
      </c>
      <c r="D84" s="64">
        <v>87</v>
      </c>
      <c r="E84" s="64">
        <v>88</v>
      </c>
      <c r="F84" s="64">
        <v>63</v>
      </c>
      <c r="G84" s="65" t="s">
        <v>123</v>
      </c>
      <c r="H84" s="64" t="s">
        <v>124</v>
      </c>
    </row>
    <row r="85" spans="1:8" ht="17.399999999999999" customHeight="1" x14ac:dyDescent="0.45">
      <c r="A85" s="63" t="str">
        <f t="shared" si="2"/>
        <v>B</v>
      </c>
      <c r="B85" s="59">
        <f t="shared" si="3"/>
        <v>83.25</v>
      </c>
      <c r="C85" s="64">
        <v>79</v>
      </c>
      <c r="D85" s="64">
        <v>92</v>
      </c>
      <c r="E85" s="64">
        <v>90</v>
      </c>
      <c r="F85" s="64">
        <v>72</v>
      </c>
      <c r="G85" s="65" t="s">
        <v>126</v>
      </c>
      <c r="H85" s="64" t="s">
        <v>127</v>
      </c>
    </row>
    <row r="86" spans="1:8" ht="17.399999999999999" customHeight="1" x14ac:dyDescent="0.45">
      <c r="A86" s="63" t="str">
        <f t="shared" si="2"/>
        <v>C</v>
      </c>
      <c r="B86" s="59">
        <f t="shared" si="3"/>
        <v>77.5</v>
      </c>
      <c r="C86" s="64">
        <v>76</v>
      </c>
      <c r="D86" s="64">
        <v>75</v>
      </c>
      <c r="E86" s="64">
        <v>95</v>
      </c>
      <c r="F86" s="64">
        <v>64</v>
      </c>
      <c r="G86" s="65" t="s">
        <v>129</v>
      </c>
      <c r="H86" s="64" t="s">
        <v>130</v>
      </c>
    </row>
    <row r="87" spans="1:8" ht="17.399999999999999" customHeight="1" x14ac:dyDescent="0.45">
      <c r="A87" s="63" t="str">
        <f t="shared" si="2"/>
        <v>C</v>
      </c>
      <c r="B87" s="59">
        <f t="shared" si="3"/>
        <v>73.75</v>
      </c>
      <c r="C87" s="64">
        <v>74</v>
      </c>
      <c r="D87" s="64">
        <v>65</v>
      </c>
      <c r="E87" s="64">
        <v>81</v>
      </c>
      <c r="F87" s="64">
        <v>75</v>
      </c>
      <c r="G87" s="65" t="s">
        <v>132</v>
      </c>
      <c r="H87" s="64" t="s">
        <v>133</v>
      </c>
    </row>
    <row r="88" spans="1:8" ht="17.399999999999999" customHeight="1" x14ac:dyDescent="0.45">
      <c r="A88" s="63" t="str">
        <f t="shared" si="2"/>
        <v>C</v>
      </c>
      <c r="B88" s="59">
        <f t="shared" si="3"/>
        <v>71.5</v>
      </c>
      <c r="C88" s="64">
        <v>60</v>
      </c>
      <c r="D88" s="64">
        <v>80</v>
      </c>
      <c r="E88" s="64">
        <v>80</v>
      </c>
      <c r="F88" s="64">
        <v>66</v>
      </c>
      <c r="G88" s="65" t="s">
        <v>135</v>
      </c>
      <c r="H88" s="64" t="s">
        <v>136</v>
      </c>
    </row>
    <row r="89" spans="1:8" ht="17.399999999999999" customHeight="1" x14ac:dyDescent="0.45">
      <c r="A89" s="63" t="str">
        <f t="shared" si="2"/>
        <v>C</v>
      </c>
      <c r="B89" s="59">
        <f t="shared" si="3"/>
        <v>71.25</v>
      </c>
      <c r="C89" s="64">
        <v>76</v>
      </c>
      <c r="D89" s="64">
        <v>73</v>
      </c>
      <c r="E89" s="64">
        <v>88</v>
      </c>
      <c r="F89" s="64">
        <v>48</v>
      </c>
      <c r="G89" s="65" t="s">
        <v>138</v>
      </c>
      <c r="H89" s="64" t="s">
        <v>139</v>
      </c>
    </row>
    <row r="90" spans="1:8" ht="17.399999999999999" customHeight="1" x14ac:dyDescent="0.45">
      <c r="A90" s="63" t="str">
        <f t="shared" si="2"/>
        <v>B</v>
      </c>
      <c r="B90" s="59">
        <f t="shared" si="3"/>
        <v>86.25</v>
      </c>
      <c r="C90" s="64">
        <v>88</v>
      </c>
      <c r="D90" s="64">
        <v>74</v>
      </c>
      <c r="E90" s="64">
        <v>97</v>
      </c>
      <c r="F90" s="64">
        <v>86</v>
      </c>
      <c r="G90" s="65" t="s">
        <v>287</v>
      </c>
      <c r="H90" s="64" t="s">
        <v>288</v>
      </c>
    </row>
    <row r="91" spans="1:8" ht="17.399999999999999" customHeight="1" x14ac:dyDescent="0.45">
      <c r="A91" s="63" t="str">
        <f t="shared" si="2"/>
        <v>B</v>
      </c>
      <c r="B91" s="59">
        <f t="shared" si="3"/>
        <v>82.75</v>
      </c>
      <c r="C91" s="64">
        <v>89</v>
      </c>
      <c r="D91" s="64">
        <v>73</v>
      </c>
      <c r="E91" s="64">
        <v>83</v>
      </c>
      <c r="F91" s="64">
        <v>86</v>
      </c>
      <c r="G91" s="65" t="s">
        <v>289</v>
      </c>
      <c r="H91" s="64" t="s">
        <v>290</v>
      </c>
    </row>
    <row r="92" spans="1:8" ht="17.399999999999999" customHeight="1" x14ac:dyDescent="0.45">
      <c r="A92" s="63" t="str">
        <f t="shared" si="2"/>
        <v>B</v>
      </c>
      <c r="B92" s="59">
        <f t="shared" si="3"/>
        <v>81.5</v>
      </c>
      <c r="C92" s="64">
        <v>89</v>
      </c>
      <c r="D92" s="64">
        <v>60</v>
      </c>
      <c r="E92" s="64">
        <v>87</v>
      </c>
      <c r="F92" s="64">
        <v>90</v>
      </c>
      <c r="G92" s="65" t="s">
        <v>292</v>
      </c>
      <c r="H92" s="64" t="s">
        <v>293</v>
      </c>
    </row>
    <row r="93" spans="1:8" ht="17.399999999999999" customHeight="1" x14ac:dyDescent="0.45">
      <c r="A93" s="63" t="str">
        <f t="shared" si="2"/>
        <v>B</v>
      </c>
      <c r="B93" s="59">
        <f t="shared" si="3"/>
        <v>83.25</v>
      </c>
      <c r="C93" s="64">
        <v>90</v>
      </c>
      <c r="D93" s="64">
        <v>73</v>
      </c>
      <c r="E93" s="64">
        <v>80</v>
      </c>
      <c r="F93" s="64">
        <v>90</v>
      </c>
      <c r="G93" s="65" t="s">
        <v>295</v>
      </c>
      <c r="H93" s="64" t="s">
        <v>296</v>
      </c>
    </row>
    <row r="94" spans="1:8" ht="17.399999999999999" customHeight="1" x14ac:dyDescent="0.45">
      <c r="A94" s="63" t="str">
        <f t="shared" si="2"/>
        <v>C</v>
      </c>
      <c r="B94" s="59">
        <f t="shared" si="3"/>
        <v>79.25</v>
      </c>
      <c r="C94" s="64">
        <v>90</v>
      </c>
      <c r="D94" s="64">
        <v>49</v>
      </c>
      <c r="E94" s="64">
        <v>84</v>
      </c>
      <c r="F94" s="64">
        <v>94</v>
      </c>
      <c r="G94" s="65" t="s">
        <v>298</v>
      </c>
      <c r="H94" s="64" t="s">
        <v>299</v>
      </c>
    </row>
    <row r="95" spans="1:8" ht="17.399999999999999" customHeight="1" x14ac:dyDescent="0.45">
      <c r="A95" s="63" t="str">
        <f t="shared" si="2"/>
        <v>C</v>
      </c>
      <c r="B95" s="59">
        <f t="shared" si="3"/>
        <v>74.25</v>
      </c>
      <c r="C95" s="64">
        <v>90</v>
      </c>
      <c r="D95" s="64">
        <v>23</v>
      </c>
      <c r="E95" s="64">
        <v>86</v>
      </c>
      <c r="F95" s="64">
        <v>98</v>
      </c>
      <c r="G95" s="65" t="s">
        <v>301</v>
      </c>
      <c r="H95" s="64" t="s">
        <v>302</v>
      </c>
    </row>
    <row r="96" spans="1:8" ht="17.399999999999999" customHeight="1" x14ac:dyDescent="0.45">
      <c r="A96" s="63" t="str">
        <f t="shared" si="2"/>
        <v>A</v>
      </c>
      <c r="B96" s="59">
        <f t="shared" si="3"/>
        <v>91</v>
      </c>
      <c r="C96" s="64">
        <v>97</v>
      </c>
      <c r="D96" s="64">
        <v>90</v>
      </c>
      <c r="E96" s="64">
        <v>84</v>
      </c>
      <c r="F96" s="64">
        <v>93</v>
      </c>
      <c r="G96" s="65" t="s">
        <v>11</v>
      </c>
      <c r="H96" s="64" t="s">
        <v>12</v>
      </c>
    </row>
    <row r="97" spans="2:2" ht="17.399999999999999" customHeight="1" x14ac:dyDescent="0.45">
      <c r="B97" s="70"/>
    </row>
    <row r="98" spans="2:2" ht="17.399999999999999" customHeight="1" x14ac:dyDescent="0.45">
      <c r="B98" s="70"/>
    </row>
    <row r="99" spans="2:2" ht="17.399999999999999" customHeight="1" x14ac:dyDescent="0.45">
      <c r="B99" s="70"/>
    </row>
    <row r="100" spans="2:2" ht="17.399999999999999" customHeight="1" x14ac:dyDescent="0.45">
      <c r="B100" s="70"/>
    </row>
    <row r="101" spans="2:2" ht="17.399999999999999" customHeight="1" x14ac:dyDescent="0.45">
      <c r="B101" s="70"/>
    </row>
    <row r="102" spans="2:2" ht="17.399999999999999" customHeight="1" x14ac:dyDescent="0.45">
      <c r="B102" s="70"/>
    </row>
    <row r="103" spans="2:2" ht="17.399999999999999" customHeight="1" x14ac:dyDescent="0.45">
      <c r="B103" s="70"/>
    </row>
    <row r="104" spans="2:2" ht="17.399999999999999" customHeight="1" x14ac:dyDescent="0.45">
      <c r="B104" s="70"/>
    </row>
    <row r="105" spans="2:2" ht="17.399999999999999" customHeight="1" x14ac:dyDescent="0.45">
      <c r="B105" s="70"/>
    </row>
    <row r="106" spans="2:2" ht="17.399999999999999" customHeight="1" x14ac:dyDescent="0.45">
      <c r="B106" s="70"/>
    </row>
    <row r="107" spans="2:2" ht="17.399999999999999" customHeight="1" x14ac:dyDescent="0.45">
      <c r="B107" s="70"/>
    </row>
    <row r="108" spans="2:2" ht="17.399999999999999" customHeight="1" x14ac:dyDescent="0.45">
      <c r="B108" s="70"/>
    </row>
    <row r="109" spans="2:2" ht="17.399999999999999" customHeight="1" x14ac:dyDescent="0.45">
      <c r="B109" s="70"/>
    </row>
    <row r="110" spans="2:2" ht="17.399999999999999" customHeight="1" x14ac:dyDescent="0.45">
      <c r="B110" s="70"/>
    </row>
    <row r="111" spans="2:2" ht="17.399999999999999" customHeight="1" x14ac:dyDescent="0.45">
      <c r="B111" s="70"/>
    </row>
    <row r="112" spans="2:2" ht="17.399999999999999" customHeight="1" x14ac:dyDescent="0.45">
      <c r="B112" s="70"/>
    </row>
    <row r="113" spans="2:2" ht="17.399999999999999" customHeight="1" x14ac:dyDescent="0.45">
      <c r="B113" s="70"/>
    </row>
    <row r="114" spans="2:2" ht="17.399999999999999" customHeight="1" x14ac:dyDescent="0.45">
      <c r="B114" s="70"/>
    </row>
    <row r="115" spans="2:2" ht="17.399999999999999" customHeight="1" x14ac:dyDescent="0.45">
      <c r="B115" s="70"/>
    </row>
    <row r="116" spans="2:2" ht="17.399999999999999" customHeight="1" x14ac:dyDescent="0.45">
      <c r="B116" s="70"/>
    </row>
    <row r="117" spans="2:2" ht="17.399999999999999" customHeight="1" x14ac:dyDescent="0.45">
      <c r="B117" s="70"/>
    </row>
    <row r="118" spans="2:2" ht="17.399999999999999" customHeight="1" x14ac:dyDescent="0.45">
      <c r="B118" s="70"/>
    </row>
    <row r="119" spans="2:2" ht="17.399999999999999" customHeight="1" x14ac:dyDescent="0.45">
      <c r="B119" s="70"/>
    </row>
    <row r="120" spans="2:2" ht="17.399999999999999" customHeight="1" x14ac:dyDescent="0.45">
      <c r="B120" s="70"/>
    </row>
    <row r="121" spans="2:2" ht="17.399999999999999" customHeight="1" x14ac:dyDescent="0.45">
      <c r="B121" s="70"/>
    </row>
    <row r="122" spans="2:2" ht="17.399999999999999" customHeight="1" x14ac:dyDescent="0.45">
      <c r="B122" s="70"/>
    </row>
    <row r="123" spans="2:2" ht="17.399999999999999" customHeight="1" x14ac:dyDescent="0.45">
      <c r="B123" s="70"/>
    </row>
    <row r="124" spans="2:2" ht="17.399999999999999" customHeight="1" x14ac:dyDescent="0.45">
      <c r="B124" s="70"/>
    </row>
    <row r="125" spans="2:2" ht="17.399999999999999" customHeight="1" x14ac:dyDescent="0.45">
      <c r="B125" s="70"/>
    </row>
    <row r="126" spans="2:2" ht="17.399999999999999" customHeight="1" x14ac:dyDescent="0.45">
      <c r="B126" s="70"/>
    </row>
    <row r="127" spans="2:2" ht="17.399999999999999" customHeight="1" x14ac:dyDescent="0.45">
      <c r="B127" s="70"/>
    </row>
    <row r="128" spans="2:2" ht="17.399999999999999" customHeight="1" x14ac:dyDescent="0.45">
      <c r="B128" s="70"/>
    </row>
    <row r="129" spans="2:2" ht="17.399999999999999" customHeight="1" x14ac:dyDescent="0.45">
      <c r="B129" s="70"/>
    </row>
    <row r="130" spans="2:2" ht="17.399999999999999" customHeight="1" x14ac:dyDescent="0.45">
      <c r="B130" s="70"/>
    </row>
    <row r="131" spans="2:2" ht="17.399999999999999" customHeight="1" x14ac:dyDescent="0.45">
      <c r="B131" s="70"/>
    </row>
    <row r="132" spans="2:2" ht="17.399999999999999" customHeight="1" x14ac:dyDescent="0.45">
      <c r="B132" s="70"/>
    </row>
    <row r="133" spans="2:2" ht="17.399999999999999" customHeight="1" x14ac:dyDescent="0.45">
      <c r="B133" s="70"/>
    </row>
    <row r="134" spans="2:2" ht="17.399999999999999" customHeight="1" x14ac:dyDescent="0.45">
      <c r="B134" s="70"/>
    </row>
    <row r="135" spans="2:2" ht="17.399999999999999" customHeight="1" x14ac:dyDescent="0.45">
      <c r="B135" s="70"/>
    </row>
    <row r="136" spans="2:2" ht="17.399999999999999" customHeight="1" x14ac:dyDescent="0.45">
      <c r="B136" s="70"/>
    </row>
    <row r="137" spans="2:2" ht="17.399999999999999" customHeight="1" x14ac:dyDescent="0.45">
      <c r="B137" s="70"/>
    </row>
    <row r="138" spans="2:2" ht="17.399999999999999" customHeight="1" x14ac:dyDescent="0.45">
      <c r="B138" s="70"/>
    </row>
    <row r="139" spans="2:2" ht="17.399999999999999" customHeight="1" x14ac:dyDescent="0.45">
      <c r="B139" s="70"/>
    </row>
    <row r="140" spans="2:2" ht="17.399999999999999" customHeight="1" x14ac:dyDescent="0.45">
      <c r="B140" s="70"/>
    </row>
    <row r="141" spans="2:2" ht="17.399999999999999" customHeight="1" x14ac:dyDescent="0.45">
      <c r="B141" s="70"/>
    </row>
    <row r="142" spans="2:2" ht="17.399999999999999" customHeight="1" x14ac:dyDescent="0.45">
      <c r="B142" s="70"/>
    </row>
    <row r="143" spans="2:2" ht="17.399999999999999" customHeight="1" x14ac:dyDescent="0.45">
      <c r="B143" s="70"/>
    </row>
    <row r="144" spans="2:2" ht="17.399999999999999" customHeight="1" x14ac:dyDescent="0.45">
      <c r="B144" s="70"/>
    </row>
    <row r="145" spans="2:2" ht="17.399999999999999" customHeight="1" x14ac:dyDescent="0.45">
      <c r="B145" s="70"/>
    </row>
    <row r="146" spans="2:2" ht="17.399999999999999" customHeight="1" x14ac:dyDescent="0.45">
      <c r="B146" s="70"/>
    </row>
    <row r="147" spans="2:2" ht="17.399999999999999" customHeight="1" x14ac:dyDescent="0.45">
      <c r="B147" s="70"/>
    </row>
    <row r="148" spans="2:2" ht="17.399999999999999" customHeight="1" x14ac:dyDescent="0.45">
      <c r="B148" s="70"/>
    </row>
    <row r="149" spans="2:2" ht="17.399999999999999" customHeight="1" x14ac:dyDescent="0.45">
      <c r="B149" s="70"/>
    </row>
    <row r="150" spans="2:2" ht="17.399999999999999" customHeight="1" x14ac:dyDescent="0.45">
      <c r="B150" s="70"/>
    </row>
    <row r="151" spans="2:2" ht="17.399999999999999" customHeight="1" x14ac:dyDescent="0.45">
      <c r="B151" s="70"/>
    </row>
    <row r="152" spans="2:2" ht="17.399999999999999" customHeight="1" x14ac:dyDescent="0.45">
      <c r="B152" s="70"/>
    </row>
    <row r="153" spans="2:2" ht="17.399999999999999" customHeight="1" x14ac:dyDescent="0.45">
      <c r="B153" s="70"/>
    </row>
    <row r="154" spans="2:2" ht="17.399999999999999" customHeight="1" x14ac:dyDescent="0.45">
      <c r="B154" s="70"/>
    </row>
    <row r="155" spans="2:2" ht="17.399999999999999" customHeight="1" x14ac:dyDescent="0.45">
      <c r="B155" s="70"/>
    </row>
    <row r="156" spans="2:2" ht="17.399999999999999" customHeight="1" x14ac:dyDescent="0.45">
      <c r="B156" s="70"/>
    </row>
    <row r="157" spans="2:2" ht="17.399999999999999" customHeight="1" x14ac:dyDescent="0.45">
      <c r="B157" s="70"/>
    </row>
    <row r="158" spans="2:2" ht="17.399999999999999" customHeight="1" x14ac:dyDescent="0.45">
      <c r="B158" s="70"/>
    </row>
    <row r="159" spans="2:2" ht="17.399999999999999" customHeight="1" x14ac:dyDescent="0.45">
      <c r="B159" s="70"/>
    </row>
    <row r="160" spans="2:2" ht="17.399999999999999" customHeight="1" x14ac:dyDescent="0.45">
      <c r="B160" s="70"/>
    </row>
    <row r="161" spans="2:2" ht="17.399999999999999" customHeight="1" x14ac:dyDescent="0.45">
      <c r="B161" s="70"/>
    </row>
    <row r="162" spans="2:2" ht="17.399999999999999" customHeight="1" x14ac:dyDescent="0.45">
      <c r="B162" s="70"/>
    </row>
    <row r="163" spans="2:2" ht="17.399999999999999" customHeight="1" x14ac:dyDescent="0.45">
      <c r="B163" s="70"/>
    </row>
    <row r="164" spans="2:2" ht="17.399999999999999" customHeight="1" x14ac:dyDescent="0.45">
      <c r="B164" s="70"/>
    </row>
    <row r="165" spans="2:2" ht="17.399999999999999" customHeight="1" x14ac:dyDescent="0.45">
      <c r="B165" s="70"/>
    </row>
    <row r="166" spans="2:2" ht="17.399999999999999" customHeight="1" x14ac:dyDescent="0.45">
      <c r="B166" s="70"/>
    </row>
    <row r="167" spans="2:2" ht="17.399999999999999" customHeight="1" x14ac:dyDescent="0.45">
      <c r="B167" s="70"/>
    </row>
    <row r="168" spans="2:2" ht="17.399999999999999" customHeight="1" x14ac:dyDescent="0.45">
      <c r="B168" s="70"/>
    </row>
    <row r="169" spans="2:2" ht="17.399999999999999" customHeight="1" x14ac:dyDescent="0.45">
      <c r="B169" s="70"/>
    </row>
    <row r="170" spans="2:2" ht="17.399999999999999" customHeight="1" x14ac:dyDescent="0.45">
      <c r="B170" s="70"/>
    </row>
    <row r="171" spans="2:2" ht="17.399999999999999" customHeight="1" x14ac:dyDescent="0.45">
      <c r="B171" s="70"/>
    </row>
    <row r="172" spans="2:2" ht="17.399999999999999" customHeight="1" x14ac:dyDescent="0.45">
      <c r="B172" s="70"/>
    </row>
    <row r="173" spans="2:2" ht="17.399999999999999" customHeight="1" x14ac:dyDescent="0.45">
      <c r="B173" s="70"/>
    </row>
    <row r="174" spans="2:2" ht="17.399999999999999" customHeight="1" x14ac:dyDescent="0.45">
      <c r="B174" s="70"/>
    </row>
    <row r="175" spans="2:2" ht="17.399999999999999" customHeight="1" x14ac:dyDescent="0.45">
      <c r="B175" s="70"/>
    </row>
    <row r="176" spans="2:2" ht="17.399999999999999" customHeight="1" x14ac:dyDescent="0.45">
      <c r="B176" s="70"/>
    </row>
    <row r="177" spans="2:2" ht="17.399999999999999" customHeight="1" x14ac:dyDescent="0.45">
      <c r="B177" s="70"/>
    </row>
    <row r="178" spans="2:2" ht="17.399999999999999" customHeight="1" x14ac:dyDescent="0.45">
      <c r="B178" s="70"/>
    </row>
    <row r="179" spans="2:2" ht="17.399999999999999" customHeight="1" x14ac:dyDescent="0.45">
      <c r="B179" s="70"/>
    </row>
    <row r="180" spans="2:2" ht="17.399999999999999" customHeight="1" x14ac:dyDescent="0.45">
      <c r="B180" s="70"/>
    </row>
    <row r="181" spans="2:2" ht="17.399999999999999" customHeight="1" x14ac:dyDescent="0.45">
      <c r="B181" s="70"/>
    </row>
    <row r="182" spans="2:2" ht="17.399999999999999" customHeight="1" x14ac:dyDescent="0.45">
      <c r="B182" s="70"/>
    </row>
    <row r="183" spans="2:2" ht="17.399999999999999" customHeight="1" x14ac:dyDescent="0.45">
      <c r="B183" s="70"/>
    </row>
    <row r="184" spans="2:2" ht="17.399999999999999" customHeight="1" x14ac:dyDescent="0.45">
      <c r="B184" s="70"/>
    </row>
    <row r="185" spans="2:2" ht="17.399999999999999" customHeight="1" x14ac:dyDescent="0.45">
      <c r="B185" s="70"/>
    </row>
    <row r="186" spans="2:2" ht="17.399999999999999" customHeight="1" x14ac:dyDescent="0.45">
      <c r="B186" s="70"/>
    </row>
    <row r="187" spans="2:2" ht="17.399999999999999" customHeight="1" x14ac:dyDescent="0.45">
      <c r="B187" s="70"/>
    </row>
    <row r="188" spans="2:2" ht="17.399999999999999" customHeight="1" x14ac:dyDescent="0.45">
      <c r="B188" s="70"/>
    </row>
    <row r="189" spans="2:2" ht="17.399999999999999" customHeight="1" x14ac:dyDescent="0.45">
      <c r="B189" s="70"/>
    </row>
    <row r="190" spans="2:2" ht="17.399999999999999" customHeight="1" x14ac:dyDescent="0.45">
      <c r="B190" s="70"/>
    </row>
    <row r="191" spans="2:2" ht="17.399999999999999" customHeight="1" x14ac:dyDescent="0.45">
      <c r="B191" s="70"/>
    </row>
    <row r="192" spans="2:2" ht="17.399999999999999" customHeight="1" x14ac:dyDescent="0.45">
      <c r="B192" s="70"/>
    </row>
    <row r="193" spans="2:2" ht="17.399999999999999" customHeight="1" x14ac:dyDescent="0.45">
      <c r="B193" s="70"/>
    </row>
    <row r="194" spans="2:2" ht="17.399999999999999" customHeight="1" x14ac:dyDescent="0.45">
      <c r="B194" s="70"/>
    </row>
    <row r="195" spans="2:2" ht="17.399999999999999" customHeight="1" x14ac:dyDescent="0.45">
      <c r="B195" s="70"/>
    </row>
    <row r="196" spans="2:2" ht="17.399999999999999" customHeight="1" x14ac:dyDescent="0.45">
      <c r="B196" s="70"/>
    </row>
    <row r="197" spans="2:2" ht="17.399999999999999" customHeight="1" x14ac:dyDescent="0.45">
      <c r="B197" s="70"/>
    </row>
    <row r="198" spans="2:2" ht="17.399999999999999" customHeight="1" x14ac:dyDescent="0.45">
      <c r="B198" s="70"/>
    </row>
    <row r="199" spans="2:2" ht="17.399999999999999" customHeight="1" x14ac:dyDescent="0.45">
      <c r="B199" s="70"/>
    </row>
    <row r="200" spans="2:2" ht="17.399999999999999" customHeight="1" x14ac:dyDescent="0.45">
      <c r="B200" s="70"/>
    </row>
    <row r="201" spans="2:2" ht="17.399999999999999" customHeight="1" x14ac:dyDescent="0.45">
      <c r="B201" s="70"/>
    </row>
    <row r="202" spans="2:2" ht="17.399999999999999" customHeight="1" x14ac:dyDescent="0.45">
      <c r="B202" s="70"/>
    </row>
    <row r="203" spans="2:2" ht="17.399999999999999" customHeight="1" x14ac:dyDescent="0.45">
      <c r="B203" s="70"/>
    </row>
    <row r="204" spans="2:2" ht="17.399999999999999" customHeight="1" x14ac:dyDescent="0.45">
      <c r="B204" s="70"/>
    </row>
    <row r="205" spans="2:2" ht="17.399999999999999" customHeight="1" x14ac:dyDescent="0.45">
      <c r="B205" s="70"/>
    </row>
    <row r="206" spans="2:2" ht="17.399999999999999" customHeight="1" x14ac:dyDescent="0.45">
      <c r="B206" s="70"/>
    </row>
    <row r="207" spans="2:2" ht="17.399999999999999" customHeight="1" x14ac:dyDescent="0.45">
      <c r="B207" s="70"/>
    </row>
    <row r="208" spans="2:2" ht="17.399999999999999" customHeight="1" x14ac:dyDescent="0.45">
      <c r="B208" s="70"/>
    </row>
    <row r="209" spans="2:2" ht="17.399999999999999" customHeight="1" x14ac:dyDescent="0.45">
      <c r="B209" s="70"/>
    </row>
    <row r="210" spans="2:2" ht="17.399999999999999" customHeight="1" x14ac:dyDescent="0.45">
      <c r="B210" s="70"/>
    </row>
    <row r="211" spans="2:2" ht="17.399999999999999" customHeight="1" x14ac:dyDescent="0.45">
      <c r="B211" s="70"/>
    </row>
    <row r="212" spans="2:2" ht="17.399999999999999" customHeight="1" x14ac:dyDescent="0.45">
      <c r="B212" s="70"/>
    </row>
    <row r="213" spans="2:2" ht="17.399999999999999" customHeight="1" x14ac:dyDescent="0.45">
      <c r="B213" s="70"/>
    </row>
    <row r="214" spans="2:2" ht="17.399999999999999" customHeight="1" x14ac:dyDescent="0.45">
      <c r="B214" s="70"/>
    </row>
    <row r="215" spans="2:2" ht="17.399999999999999" customHeight="1" x14ac:dyDescent="0.45">
      <c r="B215" s="70"/>
    </row>
    <row r="216" spans="2:2" ht="17.399999999999999" customHeight="1" x14ac:dyDescent="0.45">
      <c r="B216" s="70"/>
    </row>
    <row r="217" spans="2:2" ht="17.399999999999999" customHeight="1" x14ac:dyDescent="0.45">
      <c r="B217" s="70"/>
    </row>
    <row r="218" spans="2:2" ht="17.399999999999999" customHeight="1" x14ac:dyDescent="0.45">
      <c r="B218" s="70"/>
    </row>
    <row r="219" spans="2:2" ht="17.399999999999999" customHeight="1" x14ac:dyDescent="0.45">
      <c r="B219" s="70"/>
    </row>
    <row r="220" spans="2:2" ht="17.399999999999999" customHeight="1" x14ac:dyDescent="0.45">
      <c r="B220" s="70"/>
    </row>
    <row r="221" spans="2:2" ht="17.399999999999999" customHeight="1" x14ac:dyDescent="0.45">
      <c r="B221" s="70"/>
    </row>
    <row r="222" spans="2:2" ht="17.399999999999999" customHeight="1" x14ac:dyDescent="0.45">
      <c r="B222" s="70"/>
    </row>
    <row r="223" spans="2:2" ht="17.399999999999999" customHeight="1" x14ac:dyDescent="0.45">
      <c r="B223" s="70"/>
    </row>
    <row r="224" spans="2:2" ht="17.399999999999999" customHeight="1" x14ac:dyDescent="0.45">
      <c r="B224" s="70"/>
    </row>
    <row r="225" spans="2:2" ht="17.399999999999999" customHeight="1" x14ac:dyDescent="0.45">
      <c r="B225" s="70"/>
    </row>
    <row r="226" spans="2:2" ht="17.399999999999999" customHeight="1" x14ac:dyDescent="0.45">
      <c r="B226" s="70"/>
    </row>
    <row r="227" spans="2:2" ht="17.399999999999999" customHeight="1" x14ac:dyDescent="0.45">
      <c r="B227" s="70"/>
    </row>
    <row r="228" spans="2:2" ht="17.399999999999999" customHeight="1" x14ac:dyDescent="0.45">
      <c r="B228" s="70"/>
    </row>
    <row r="229" spans="2:2" ht="17.399999999999999" customHeight="1" x14ac:dyDescent="0.45">
      <c r="B229" s="70"/>
    </row>
    <row r="230" spans="2:2" ht="17.399999999999999" customHeight="1" x14ac:dyDescent="0.45">
      <c r="B230" s="70"/>
    </row>
    <row r="231" spans="2:2" ht="17.399999999999999" customHeight="1" x14ac:dyDescent="0.45">
      <c r="B231" s="70"/>
    </row>
    <row r="232" spans="2:2" ht="17.399999999999999" customHeight="1" x14ac:dyDescent="0.45">
      <c r="B232" s="70"/>
    </row>
    <row r="233" spans="2:2" ht="17.399999999999999" customHeight="1" x14ac:dyDescent="0.45">
      <c r="B233" s="70"/>
    </row>
    <row r="234" spans="2:2" ht="17.399999999999999" customHeight="1" x14ac:dyDescent="0.45">
      <c r="B234" s="70"/>
    </row>
    <row r="235" spans="2:2" ht="17.399999999999999" customHeight="1" x14ac:dyDescent="0.45">
      <c r="B235" s="70"/>
    </row>
    <row r="236" spans="2:2" ht="17.399999999999999" customHeight="1" x14ac:dyDescent="0.45">
      <c r="B236" s="70"/>
    </row>
    <row r="237" spans="2:2" ht="17.399999999999999" customHeight="1" x14ac:dyDescent="0.45">
      <c r="B237" s="70"/>
    </row>
    <row r="238" spans="2:2" ht="17.399999999999999" customHeight="1" x14ac:dyDescent="0.45">
      <c r="B238" s="70"/>
    </row>
    <row r="239" spans="2:2" ht="17.399999999999999" customHeight="1" x14ac:dyDescent="0.45">
      <c r="B239" s="70"/>
    </row>
    <row r="240" spans="2:2" ht="17.399999999999999" customHeight="1" x14ac:dyDescent="0.45">
      <c r="B240" s="70"/>
    </row>
    <row r="241" spans="2:2" ht="17.399999999999999" customHeight="1" x14ac:dyDescent="0.45">
      <c r="B241" s="70"/>
    </row>
    <row r="242" spans="2:2" ht="17.399999999999999" customHeight="1" x14ac:dyDescent="0.45">
      <c r="B242" s="70"/>
    </row>
    <row r="243" spans="2:2" ht="17.399999999999999" customHeight="1" x14ac:dyDescent="0.45">
      <c r="B243" s="70"/>
    </row>
    <row r="244" spans="2:2" ht="17.399999999999999" customHeight="1" x14ac:dyDescent="0.45">
      <c r="B244" s="70"/>
    </row>
    <row r="245" spans="2:2" ht="17.399999999999999" customHeight="1" x14ac:dyDescent="0.45">
      <c r="B245" s="70"/>
    </row>
    <row r="246" spans="2:2" ht="17.399999999999999" customHeight="1" x14ac:dyDescent="0.45">
      <c r="B246" s="70"/>
    </row>
    <row r="247" spans="2:2" ht="17.399999999999999" customHeight="1" x14ac:dyDescent="0.45">
      <c r="B247" s="70"/>
    </row>
    <row r="248" spans="2:2" ht="17.399999999999999" customHeight="1" x14ac:dyDescent="0.45">
      <c r="B248" s="70"/>
    </row>
    <row r="249" spans="2:2" ht="17.399999999999999" customHeight="1" x14ac:dyDescent="0.45">
      <c r="B249" s="70"/>
    </row>
    <row r="250" spans="2:2" ht="17.399999999999999" customHeight="1" x14ac:dyDescent="0.45">
      <c r="B250" s="70"/>
    </row>
    <row r="251" spans="2:2" ht="17.399999999999999" customHeight="1" x14ac:dyDescent="0.45">
      <c r="B251" s="70"/>
    </row>
    <row r="252" spans="2:2" ht="17.399999999999999" customHeight="1" x14ac:dyDescent="0.45">
      <c r="B252" s="70"/>
    </row>
    <row r="253" spans="2:2" ht="17.399999999999999" customHeight="1" x14ac:dyDescent="0.45">
      <c r="B253" s="70"/>
    </row>
    <row r="254" spans="2:2" ht="17.399999999999999" customHeight="1" x14ac:dyDescent="0.45">
      <c r="B254" s="70"/>
    </row>
    <row r="255" spans="2:2" ht="17.399999999999999" customHeight="1" x14ac:dyDescent="0.45">
      <c r="B255" s="70"/>
    </row>
    <row r="256" spans="2:2" ht="17.399999999999999" customHeight="1" x14ac:dyDescent="0.45">
      <c r="B256" s="70"/>
    </row>
    <row r="257" spans="2:2" ht="17.399999999999999" customHeight="1" x14ac:dyDescent="0.45">
      <c r="B257" s="70"/>
    </row>
    <row r="258" spans="2:2" ht="17.399999999999999" customHeight="1" x14ac:dyDescent="0.45">
      <c r="B258" s="70"/>
    </row>
    <row r="259" spans="2:2" ht="17.399999999999999" customHeight="1" x14ac:dyDescent="0.45">
      <c r="B259" s="70"/>
    </row>
    <row r="260" spans="2:2" ht="17.399999999999999" customHeight="1" x14ac:dyDescent="0.45">
      <c r="B260" s="70"/>
    </row>
    <row r="261" spans="2:2" ht="17.399999999999999" customHeight="1" x14ac:dyDescent="0.45">
      <c r="B261" s="70"/>
    </row>
    <row r="262" spans="2:2" ht="17.399999999999999" customHeight="1" x14ac:dyDescent="0.45">
      <c r="B262" s="70"/>
    </row>
    <row r="263" spans="2:2" ht="17.399999999999999" customHeight="1" x14ac:dyDescent="0.45">
      <c r="B263" s="70"/>
    </row>
    <row r="264" spans="2:2" ht="17.399999999999999" customHeight="1" x14ac:dyDescent="0.45">
      <c r="B264" s="70"/>
    </row>
    <row r="265" spans="2:2" ht="17.399999999999999" customHeight="1" x14ac:dyDescent="0.45">
      <c r="B265" s="70"/>
    </row>
    <row r="266" spans="2:2" ht="17.399999999999999" customHeight="1" x14ac:dyDescent="0.45">
      <c r="B266" s="70"/>
    </row>
    <row r="267" spans="2:2" ht="17.399999999999999" customHeight="1" x14ac:dyDescent="0.45">
      <c r="B267" s="70"/>
    </row>
    <row r="268" spans="2:2" ht="17.399999999999999" customHeight="1" x14ac:dyDescent="0.45">
      <c r="B268" s="70"/>
    </row>
    <row r="269" spans="2:2" ht="17.399999999999999" customHeight="1" x14ac:dyDescent="0.45">
      <c r="B269" s="70"/>
    </row>
    <row r="270" spans="2:2" ht="17.399999999999999" customHeight="1" x14ac:dyDescent="0.45">
      <c r="B270" s="70"/>
    </row>
    <row r="271" spans="2:2" ht="17.399999999999999" customHeight="1" x14ac:dyDescent="0.45">
      <c r="B271" s="70"/>
    </row>
    <row r="272" spans="2:2" ht="17.399999999999999" customHeight="1" x14ac:dyDescent="0.45">
      <c r="B272" s="70"/>
    </row>
    <row r="273" spans="2:2" ht="17.399999999999999" customHeight="1" x14ac:dyDescent="0.45">
      <c r="B273" s="70"/>
    </row>
    <row r="274" spans="2:2" ht="17.399999999999999" customHeight="1" x14ac:dyDescent="0.45">
      <c r="B274" s="70"/>
    </row>
    <row r="275" spans="2:2" ht="17.399999999999999" customHeight="1" x14ac:dyDescent="0.45">
      <c r="B275" s="70"/>
    </row>
    <row r="276" spans="2:2" ht="17.399999999999999" customHeight="1" x14ac:dyDescent="0.45">
      <c r="B276" s="70"/>
    </row>
    <row r="277" spans="2:2" ht="17.399999999999999" customHeight="1" x14ac:dyDescent="0.45">
      <c r="B277" s="70"/>
    </row>
    <row r="278" spans="2:2" ht="17.399999999999999" customHeight="1" x14ac:dyDescent="0.45">
      <c r="B278" s="70"/>
    </row>
    <row r="279" spans="2:2" ht="17.399999999999999" customHeight="1" x14ac:dyDescent="0.45">
      <c r="B279" s="70"/>
    </row>
    <row r="280" spans="2:2" ht="17.399999999999999" customHeight="1" x14ac:dyDescent="0.45">
      <c r="B280" s="70"/>
    </row>
    <row r="281" spans="2:2" ht="17.399999999999999" customHeight="1" x14ac:dyDescent="0.45">
      <c r="B281" s="70"/>
    </row>
    <row r="282" spans="2:2" ht="17.399999999999999" customHeight="1" x14ac:dyDescent="0.45">
      <c r="B282" s="70"/>
    </row>
    <row r="283" spans="2:2" ht="17.399999999999999" customHeight="1" x14ac:dyDescent="0.45">
      <c r="B283" s="70"/>
    </row>
    <row r="284" spans="2:2" ht="17.399999999999999" customHeight="1" x14ac:dyDescent="0.45">
      <c r="B284" s="70"/>
    </row>
    <row r="285" spans="2:2" ht="17.399999999999999" customHeight="1" x14ac:dyDescent="0.45">
      <c r="B285" s="70"/>
    </row>
    <row r="286" spans="2:2" ht="17.399999999999999" customHeight="1" x14ac:dyDescent="0.45">
      <c r="B286" s="70"/>
    </row>
    <row r="287" spans="2:2" ht="17.399999999999999" customHeight="1" x14ac:dyDescent="0.45">
      <c r="B287" s="70"/>
    </row>
    <row r="288" spans="2:2" ht="17.399999999999999" customHeight="1" x14ac:dyDescent="0.45">
      <c r="B288" s="70"/>
    </row>
    <row r="289" spans="2:2" ht="17.399999999999999" customHeight="1" x14ac:dyDescent="0.45">
      <c r="B289" s="70"/>
    </row>
    <row r="290" spans="2:2" ht="17.399999999999999" customHeight="1" x14ac:dyDescent="0.45">
      <c r="B290" s="70"/>
    </row>
    <row r="291" spans="2:2" ht="17.399999999999999" customHeight="1" x14ac:dyDescent="0.45">
      <c r="B291" s="70"/>
    </row>
    <row r="292" spans="2:2" ht="17.399999999999999" customHeight="1" x14ac:dyDescent="0.45">
      <c r="B292" s="70"/>
    </row>
    <row r="293" spans="2:2" ht="17.399999999999999" customHeight="1" x14ac:dyDescent="0.45">
      <c r="B293" s="70"/>
    </row>
    <row r="294" spans="2:2" ht="17.399999999999999" customHeight="1" x14ac:dyDescent="0.45">
      <c r="B294" s="70"/>
    </row>
    <row r="295" spans="2:2" ht="17.399999999999999" customHeight="1" x14ac:dyDescent="0.45">
      <c r="B295" s="70"/>
    </row>
    <row r="296" spans="2:2" ht="17.399999999999999" customHeight="1" x14ac:dyDescent="0.45">
      <c r="B296" s="70"/>
    </row>
    <row r="297" spans="2:2" ht="17.399999999999999" customHeight="1" x14ac:dyDescent="0.45">
      <c r="B297" s="70"/>
    </row>
    <row r="298" spans="2:2" ht="17.399999999999999" customHeight="1" x14ac:dyDescent="0.45">
      <c r="B298" s="70"/>
    </row>
    <row r="299" spans="2:2" ht="17.399999999999999" customHeight="1" x14ac:dyDescent="0.45">
      <c r="B299" s="70"/>
    </row>
    <row r="300" spans="2:2" ht="17.399999999999999" customHeight="1" x14ac:dyDescent="0.45">
      <c r="B300" s="70"/>
    </row>
    <row r="301" spans="2:2" ht="17.399999999999999" customHeight="1" x14ac:dyDescent="0.45">
      <c r="B301" s="70"/>
    </row>
    <row r="302" spans="2:2" ht="17.399999999999999" customHeight="1" x14ac:dyDescent="0.45">
      <c r="B302" s="70"/>
    </row>
    <row r="303" spans="2:2" ht="17.399999999999999" customHeight="1" x14ac:dyDescent="0.45">
      <c r="B303" s="70"/>
    </row>
    <row r="304" spans="2:2" ht="17.399999999999999" customHeight="1" x14ac:dyDescent="0.45">
      <c r="B304" s="70"/>
    </row>
    <row r="305" spans="2:2" ht="17.399999999999999" customHeight="1" x14ac:dyDescent="0.45">
      <c r="B305" s="70"/>
    </row>
    <row r="306" spans="2:2" ht="17.399999999999999" customHeight="1" x14ac:dyDescent="0.45">
      <c r="B306" s="70"/>
    </row>
    <row r="307" spans="2:2" ht="17.399999999999999" customHeight="1" x14ac:dyDescent="0.45">
      <c r="B307" s="70"/>
    </row>
    <row r="308" spans="2:2" ht="17.399999999999999" customHeight="1" x14ac:dyDescent="0.45">
      <c r="B308" s="70"/>
    </row>
    <row r="309" spans="2:2" ht="17.399999999999999" customHeight="1" x14ac:dyDescent="0.45">
      <c r="B309" s="70"/>
    </row>
    <row r="310" spans="2:2" ht="17.399999999999999" customHeight="1" x14ac:dyDescent="0.45">
      <c r="B310" s="70"/>
    </row>
    <row r="311" spans="2:2" ht="17.399999999999999" customHeight="1" x14ac:dyDescent="0.45">
      <c r="B311" s="70"/>
    </row>
    <row r="312" spans="2:2" ht="17.399999999999999" customHeight="1" x14ac:dyDescent="0.45">
      <c r="B312" s="70"/>
    </row>
    <row r="313" spans="2:2" ht="17.399999999999999" customHeight="1" x14ac:dyDescent="0.45">
      <c r="B313" s="70"/>
    </row>
    <row r="314" spans="2:2" ht="17.399999999999999" customHeight="1" x14ac:dyDescent="0.45">
      <c r="B314" s="70"/>
    </row>
    <row r="315" spans="2:2" ht="17.399999999999999" customHeight="1" x14ac:dyDescent="0.45">
      <c r="B315" s="70"/>
    </row>
    <row r="316" spans="2:2" ht="17.399999999999999" customHeight="1" x14ac:dyDescent="0.45">
      <c r="B316" s="70"/>
    </row>
    <row r="317" spans="2:2" ht="17.399999999999999" customHeight="1" x14ac:dyDescent="0.45">
      <c r="B317" s="70"/>
    </row>
    <row r="318" spans="2:2" ht="17.399999999999999" customHeight="1" x14ac:dyDescent="0.45">
      <c r="B318" s="70"/>
    </row>
    <row r="319" spans="2:2" ht="17.399999999999999" customHeight="1" x14ac:dyDescent="0.45">
      <c r="B319" s="70"/>
    </row>
    <row r="320" spans="2:2" ht="17.399999999999999" customHeight="1" x14ac:dyDescent="0.45">
      <c r="B320" s="70"/>
    </row>
    <row r="321" spans="2:2" ht="17.399999999999999" customHeight="1" x14ac:dyDescent="0.45">
      <c r="B321" s="70"/>
    </row>
    <row r="322" spans="2:2" ht="17.399999999999999" customHeight="1" x14ac:dyDescent="0.45">
      <c r="B322" s="70"/>
    </row>
    <row r="323" spans="2:2" ht="17.399999999999999" customHeight="1" x14ac:dyDescent="0.45">
      <c r="B323" s="70"/>
    </row>
    <row r="324" spans="2:2" ht="17.399999999999999" customHeight="1" x14ac:dyDescent="0.45">
      <c r="B324" s="70"/>
    </row>
    <row r="325" spans="2:2" ht="17.399999999999999" customHeight="1" x14ac:dyDescent="0.45">
      <c r="B325" s="70"/>
    </row>
    <row r="326" spans="2:2" ht="17.399999999999999" customHeight="1" x14ac:dyDescent="0.45">
      <c r="B326" s="70"/>
    </row>
    <row r="327" spans="2:2" ht="17.399999999999999" customHeight="1" x14ac:dyDescent="0.45">
      <c r="B327" s="70"/>
    </row>
    <row r="328" spans="2:2" ht="17.399999999999999" customHeight="1" x14ac:dyDescent="0.45">
      <c r="B328" s="70"/>
    </row>
    <row r="329" spans="2:2" ht="17.399999999999999" customHeight="1" x14ac:dyDescent="0.45">
      <c r="B329" s="70"/>
    </row>
    <row r="330" spans="2:2" ht="17.399999999999999" customHeight="1" x14ac:dyDescent="0.45">
      <c r="B330" s="70"/>
    </row>
    <row r="331" spans="2:2" ht="17.399999999999999" customHeight="1" x14ac:dyDescent="0.45">
      <c r="B331" s="70"/>
    </row>
    <row r="332" spans="2:2" ht="17.399999999999999" customHeight="1" x14ac:dyDescent="0.45">
      <c r="B332" s="70"/>
    </row>
    <row r="333" spans="2:2" ht="17.399999999999999" customHeight="1" x14ac:dyDescent="0.45">
      <c r="B333" s="70"/>
    </row>
    <row r="334" spans="2:2" ht="17.399999999999999" customHeight="1" x14ac:dyDescent="0.45">
      <c r="B334" s="70"/>
    </row>
    <row r="335" spans="2:2" ht="17.399999999999999" customHeight="1" x14ac:dyDescent="0.45">
      <c r="B335" s="70"/>
    </row>
    <row r="336" spans="2:2" ht="17.399999999999999" customHeight="1" x14ac:dyDescent="0.45">
      <c r="B336" s="70"/>
    </row>
    <row r="337" spans="2:2" ht="17.399999999999999" customHeight="1" x14ac:dyDescent="0.45">
      <c r="B337" s="70"/>
    </row>
    <row r="338" spans="2:2" ht="17.399999999999999" customHeight="1" x14ac:dyDescent="0.45">
      <c r="B338" s="70"/>
    </row>
    <row r="339" spans="2:2" ht="17.399999999999999" customHeight="1" x14ac:dyDescent="0.45">
      <c r="B339" s="70"/>
    </row>
    <row r="340" spans="2:2" ht="17.399999999999999" customHeight="1" x14ac:dyDescent="0.45">
      <c r="B340" s="70"/>
    </row>
    <row r="341" spans="2:2" ht="17.399999999999999" customHeight="1" x14ac:dyDescent="0.45">
      <c r="B341" s="70"/>
    </row>
    <row r="342" spans="2:2" ht="17.399999999999999" customHeight="1" x14ac:dyDescent="0.45">
      <c r="B342" s="70"/>
    </row>
    <row r="343" spans="2:2" ht="17.399999999999999" customHeight="1" x14ac:dyDescent="0.45">
      <c r="B343" s="70"/>
    </row>
    <row r="344" spans="2:2" ht="17.399999999999999" customHeight="1" x14ac:dyDescent="0.45">
      <c r="B344" s="70"/>
    </row>
    <row r="345" spans="2:2" ht="17.399999999999999" customHeight="1" x14ac:dyDescent="0.45">
      <c r="B345" s="70"/>
    </row>
    <row r="346" spans="2:2" ht="17.399999999999999" customHeight="1" x14ac:dyDescent="0.45">
      <c r="B346" s="70"/>
    </row>
    <row r="347" spans="2:2" ht="17.399999999999999" customHeight="1" x14ac:dyDescent="0.45">
      <c r="B347" s="70"/>
    </row>
    <row r="348" spans="2:2" ht="17.399999999999999" customHeight="1" x14ac:dyDescent="0.45">
      <c r="B348" s="70"/>
    </row>
    <row r="349" spans="2:2" ht="17.399999999999999" customHeight="1" x14ac:dyDescent="0.45">
      <c r="B349" s="70"/>
    </row>
    <row r="350" spans="2:2" ht="17.399999999999999" customHeight="1" x14ac:dyDescent="0.45">
      <c r="B350" s="70"/>
    </row>
    <row r="351" spans="2:2" ht="17.399999999999999" customHeight="1" x14ac:dyDescent="0.45">
      <c r="B351" s="70"/>
    </row>
    <row r="352" spans="2:2" ht="17.399999999999999" customHeight="1" x14ac:dyDescent="0.45">
      <c r="B352" s="70"/>
    </row>
    <row r="353" spans="2:2" ht="17.399999999999999" customHeight="1" x14ac:dyDescent="0.45">
      <c r="B353" s="70"/>
    </row>
    <row r="354" spans="2:2" ht="17.399999999999999" customHeight="1" x14ac:dyDescent="0.45">
      <c r="B354" s="70"/>
    </row>
    <row r="355" spans="2:2" ht="17.399999999999999" customHeight="1" x14ac:dyDescent="0.45">
      <c r="B355" s="70"/>
    </row>
    <row r="356" spans="2:2" ht="17.399999999999999" customHeight="1" x14ac:dyDescent="0.45">
      <c r="B356" s="70"/>
    </row>
    <row r="357" spans="2:2" ht="17.399999999999999" customHeight="1" x14ac:dyDescent="0.45">
      <c r="B357" s="70"/>
    </row>
    <row r="358" spans="2:2" ht="17.399999999999999" customHeight="1" x14ac:dyDescent="0.45">
      <c r="B358" s="70"/>
    </row>
    <row r="359" spans="2:2" ht="17.399999999999999" customHeight="1" x14ac:dyDescent="0.45">
      <c r="B359" s="70"/>
    </row>
    <row r="360" spans="2:2" ht="17.399999999999999" customHeight="1" x14ac:dyDescent="0.45">
      <c r="B360" s="70"/>
    </row>
    <row r="361" spans="2:2" ht="17.399999999999999" customHeight="1" x14ac:dyDescent="0.45">
      <c r="B361" s="70"/>
    </row>
    <row r="362" spans="2:2" ht="17.399999999999999" customHeight="1" x14ac:dyDescent="0.45">
      <c r="B362" s="70"/>
    </row>
    <row r="363" spans="2:2" ht="17.399999999999999" customHeight="1" x14ac:dyDescent="0.45">
      <c r="B363" s="70"/>
    </row>
    <row r="364" spans="2:2" ht="17.399999999999999" customHeight="1" x14ac:dyDescent="0.45">
      <c r="B364" s="70"/>
    </row>
    <row r="365" spans="2:2" ht="17.399999999999999" customHeight="1" x14ac:dyDescent="0.45">
      <c r="B365" s="70"/>
    </row>
    <row r="366" spans="2:2" ht="17.399999999999999" customHeight="1" x14ac:dyDescent="0.45">
      <c r="B366" s="70"/>
    </row>
    <row r="367" spans="2:2" ht="17.399999999999999" customHeight="1" x14ac:dyDescent="0.45">
      <c r="B367" s="70"/>
    </row>
    <row r="368" spans="2:2" ht="17.399999999999999" customHeight="1" x14ac:dyDescent="0.45">
      <c r="B368" s="70"/>
    </row>
    <row r="369" spans="2:2" ht="17.399999999999999" customHeight="1" x14ac:dyDescent="0.45">
      <c r="B369" s="70"/>
    </row>
    <row r="370" spans="2:2" ht="17.399999999999999" customHeight="1" x14ac:dyDescent="0.45">
      <c r="B370" s="70"/>
    </row>
    <row r="371" spans="2:2" ht="17.399999999999999" customHeight="1" x14ac:dyDescent="0.45">
      <c r="B371" s="70"/>
    </row>
    <row r="372" spans="2:2" ht="17.399999999999999" customHeight="1" x14ac:dyDescent="0.45">
      <c r="B372" s="70"/>
    </row>
    <row r="373" spans="2:2" ht="17.399999999999999" customHeight="1" x14ac:dyDescent="0.45">
      <c r="B373" s="70"/>
    </row>
    <row r="374" spans="2:2" ht="17.399999999999999" customHeight="1" x14ac:dyDescent="0.45">
      <c r="B374" s="70"/>
    </row>
    <row r="375" spans="2:2" ht="17.399999999999999" customHeight="1" x14ac:dyDescent="0.45">
      <c r="B375" s="70"/>
    </row>
    <row r="376" spans="2:2" ht="17.399999999999999" customHeight="1" x14ac:dyDescent="0.45">
      <c r="B376" s="70"/>
    </row>
    <row r="377" spans="2:2" ht="17.399999999999999" customHeight="1" x14ac:dyDescent="0.45">
      <c r="B377" s="70"/>
    </row>
    <row r="378" spans="2:2" ht="17.399999999999999" customHeight="1" x14ac:dyDescent="0.45">
      <c r="B378" s="70"/>
    </row>
    <row r="379" spans="2:2" ht="17.399999999999999" customHeight="1" x14ac:dyDescent="0.45">
      <c r="B379" s="70"/>
    </row>
    <row r="380" spans="2:2" ht="17.399999999999999" customHeight="1" x14ac:dyDescent="0.45">
      <c r="B380" s="70"/>
    </row>
    <row r="381" spans="2:2" ht="17.399999999999999" customHeight="1" x14ac:dyDescent="0.45">
      <c r="B381" s="70"/>
    </row>
    <row r="382" spans="2:2" ht="17.399999999999999" customHeight="1" x14ac:dyDescent="0.45">
      <c r="B382" s="70"/>
    </row>
    <row r="383" spans="2:2" ht="17.399999999999999" customHeight="1" x14ac:dyDescent="0.45">
      <c r="B383" s="70"/>
    </row>
    <row r="384" spans="2:2" ht="17.399999999999999" customHeight="1" x14ac:dyDescent="0.45">
      <c r="B384" s="70"/>
    </row>
    <row r="385" spans="2:2" ht="17.399999999999999" customHeight="1" x14ac:dyDescent="0.45">
      <c r="B385" s="70"/>
    </row>
    <row r="386" spans="2:2" ht="17.399999999999999" customHeight="1" x14ac:dyDescent="0.45">
      <c r="B386" s="70"/>
    </row>
    <row r="387" spans="2:2" ht="17.399999999999999" customHeight="1" x14ac:dyDescent="0.45">
      <c r="B387" s="70"/>
    </row>
    <row r="388" spans="2:2" ht="17.399999999999999" customHeight="1" x14ac:dyDescent="0.45">
      <c r="B388" s="70"/>
    </row>
    <row r="389" spans="2:2" ht="17.399999999999999" customHeight="1" x14ac:dyDescent="0.45">
      <c r="B389" s="70"/>
    </row>
    <row r="390" spans="2:2" ht="17.399999999999999" customHeight="1" x14ac:dyDescent="0.45">
      <c r="B390" s="70"/>
    </row>
    <row r="391" spans="2:2" ht="17.399999999999999" customHeight="1" x14ac:dyDescent="0.45">
      <c r="B391" s="70"/>
    </row>
    <row r="392" spans="2:2" ht="17.399999999999999" customHeight="1" x14ac:dyDescent="0.45">
      <c r="B392" s="70"/>
    </row>
    <row r="393" spans="2:2" ht="17.399999999999999" customHeight="1" x14ac:dyDescent="0.45">
      <c r="B393" s="70"/>
    </row>
    <row r="394" spans="2:2" ht="17.399999999999999" customHeight="1" x14ac:dyDescent="0.45">
      <c r="B394" s="70"/>
    </row>
    <row r="395" spans="2:2" ht="17.399999999999999" customHeight="1" x14ac:dyDescent="0.45">
      <c r="B395" s="70"/>
    </row>
    <row r="396" spans="2:2" ht="17.399999999999999" customHeight="1" x14ac:dyDescent="0.45">
      <c r="B396" s="70"/>
    </row>
    <row r="397" spans="2:2" ht="17.399999999999999" customHeight="1" x14ac:dyDescent="0.45">
      <c r="B397" s="70"/>
    </row>
    <row r="398" spans="2:2" ht="17.399999999999999" customHeight="1" x14ac:dyDescent="0.45">
      <c r="B398" s="70"/>
    </row>
    <row r="399" spans="2:2" ht="17.399999999999999" customHeight="1" x14ac:dyDescent="0.45">
      <c r="B399" s="70"/>
    </row>
    <row r="400" spans="2:2" ht="17.399999999999999" customHeight="1" x14ac:dyDescent="0.45">
      <c r="B400" s="70"/>
    </row>
    <row r="401" spans="2:2" ht="17.399999999999999" customHeight="1" x14ac:dyDescent="0.45">
      <c r="B401" s="70"/>
    </row>
    <row r="402" spans="2:2" ht="17.399999999999999" customHeight="1" x14ac:dyDescent="0.45">
      <c r="B402" s="70"/>
    </row>
    <row r="403" spans="2:2" ht="17.399999999999999" customHeight="1" x14ac:dyDescent="0.45">
      <c r="B403" s="70"/>
    </row>
    <row r="404" spans="2:2" ht="17.399999999999999" customHeight="1" x14ac:dyDescent="0.45">
      <c r="B404" s="70"/>
    </row>
    <row r="405" spans="2:2" ht="17.399999999999999" customHeight="1" x14ac:dyDescent="0.45">
      <c r="B405" s="70"/>
    </row>
    <row r="406" spans="2:2" ht="17.399999999999999" customHeight="1" x14ac:dyDescent="0.45">
      <c r="B406" s="70"/>
    </row>
    <row r="407" spans="2:2" ht="17.399999999999999" customHeight="1" x14ac:dyDescent="0.45">
      <c r="B407" s="70"/>
    </row>
    <row r="408" spans="2:2" ht="17.399999999999999" customHeight="1" x14ac:dyDescent="0.45">
      <c r="B408" s="70"/>
    </row>
    <row r="409" spans="2:2" ht="17.399999999999999" customHeight="1" x14ac:dyDescent="0.45">
      <c r="B409" s="70"/>
    </row>
    <row r="410" spans="2:2" ht="17.399999999999999" customHeight="1" x14ac:dyDescent="0.45">
      <c r="B410" s="70"/>
    </row>
    <row r="411" spans="2:2" ht="17.399999999999999" customHeight="1" x14ac:dyDescent="0.45">
      <c r="B411" s="70"/>
    </row>
    <row r="412" spans="2:2" ht="17.399999999999999" customHeight="1" x14ac:dyDescent="0.45">
      <c r="B412" s="70"/>
    </row>
    <row r="413" spans="2:2" ht="17.399999999999999" customHeight="1" x14ac:dyDescent="0.45">
      <c r="B413" s="70"/>
    </row>
    <row r="414" spans="2:2" ht="17.399999999999999" customHeight="1" x14ac:dyDescent="0.45">
      <c r="B414" s="70"/>
    </row>
    <row r="415" spans="2:2" ht="17.399999999999999" customHeight="1" x14ac:dyDescent="0.45">
      <c r="B415" s="70"/>
    </row>
    <row r="416" spans="2:2" ht="17.399999999999999" customHeight="1" x14ac:dyDescent="0.45">
      <c r="B416" s="70"/>
    </row>
    <row r="417" spans="2:2" ht="17.399999999999999" customHeight="1" x14ac:dyDescent="0.45">
      <c r="B417" s="70"/>
    </row>
    <row r="418" spans="2:2" ht="17.399999999999999" customHeight="1" x14ac:dyDescent="0.45">
      <c r="B418" s="70"/>
    </row>
    <row r="419" spans="2:2" ht="17.399999999999999" customHeight="1" x14ac:dyDescent="0.45">
      <c r="B419" s="70"/>
    </row>
    <row r="420" spans="2:2" ht="17.399999999999999" customHeight="1" x14ac:dyDescent="0.45">
      <c r="B420" s="70"/>
    </row>
    <row r="421" spans="2:2" ht="17.399999999999999" customHeight="1" x14ac:dyDescent="0.45">
      <c r="B421" s="70"/>
    </row>
    <row r="422" spans="2:2" ht="17.399999999999999" customHeight="1" x14ac:dyDescent="0.45">
      <c r="B422" s="70"/>
    </row>
    <row r="423" spans="2:2" ht="17.399999999999999" customHeight="1" x14ac:dyDescent="0.45">
      <c r="B423" s="70"/>
    </row>
    <row r="424" spans="2:2" ht="17.399999999999999" customHeight="1" x14ac:dyDescent="0.45">
      <c r="B424" s="70"/>
    </row>
    <row r="425" spans="2:2" ht="17.399999999999999" customHeight="1" x14ac:dyDescent="0.45">
      <c r="B425" s="70"/>
    </row>
    <row r="426" spans="2:2" ht="17.399999999999999" customHeight="1" x14ac:dyDescent="0.45">
      <c r="B426" s="70"/>
    </row>
    <row r="427" spans="2:2" ht="17.399999999999999" customHeight="1" x14ac:dyDescent="0.45">
      <c r="B427" s="70"/>
    </row>
    <row r="428" spans="2:2" ht="17.399999999999999" customHeight="1" x14ac:dyDescent="0.45">
      <c r="B428" s="70"/>
    </row>
    <row r="429" spans="2:2" ht="17.399999999999999" customHeight="1" x14ac:dyDescent="0.45">
      <c r="B429" s="70"/>
    </row>
    <row r="430" spans="2:2" ht="17.399999999999999" customHeight="1" x14ac:dyDescent="0.45">
      <c r="B430" s="70"/>
    </row>
    <row r="431" spans="2:2" ht="17.399999999999999" customHeight="1" x14ac:dyDescent="0.45">
      <c r="B431" s="70"/>
    </row>
    <row r="432" spans="2:2" ht="17.399999999999999" customHeight="1" x14ac:dyDescent="0.45">
      <c r="B432" s="70"/>
    </row>
    <row r="433" spans="2:2" ht="17.399999999999999" customHeight="1" x14ac:dyDescent="0.45">
      <c r="B433" s="70"/>
    </row>
    <row r="434" spans="2:2" ht="17.399999999999999" customHeight="1" x14ac:dyDescent="0.45">
      <c r="B434" s="70"/>
    </row>
    <row r="435" spans="2:2" ht="17.399999999999999" customHeight="1" x14ac:dyDescent="0.45">
      <c r="B435" s="70"/>
    </row>
    <row r="436" spans="2:2" ht="17.399999999999999" customHeight="1" x14ac:dyDescent="0.45">
      <c r="B436" s="70"/>
    </row>
    <row r="437" spans="2:2" ht="17.399999999999999" customHeight="1" x14ac:dyDescent="0.45">
      <c r="B437" s="70"/>
    </row>
    <row r="438" spans="2:2" ht="17.399999999999999" customHeight="1" x14ac:dyDescent="0.45">
      <c r="B438" s="70"/>
    </row>
    <row r="439" spans="2:2" ht="17.399999999999999" customHeight="1" x14ac:dyDescent="0.45">
      <c r="B439" s="70"/>
    </row>
    <row r="440" spans="2:2" ht="17.399999999999999" customHeight="1" x14ac:dyDescent="0.45">
      <c r="B440" s="70"/>
    </row>
    <row r="441" spans="2:2" ht="17.399999999999999" customHeight="1" x14ac:dyDescent="0.45">
      <c r="B441" s="70"/>
    </row>
    <row r="442" spans="2:2" ht="17.399999999999999" customHeight="1" x14ac:dyDescent="0.45">
      <c r="B442" s="70"/>
    </row>
    <row r="443" spans="2:2" ht="17.399999999999999" customHeight="1" x14ac:dyDescent="0.45">
      <c r="B443" s="70"/>
    </row>
    <row r="444" spans="2:2" ht="17.399999999999999" customHeight="1" x14ac:dyDescent="0.45">
      <c r="B444" s="70"/>
    </row>
    <row r="445" spans="2:2" ht="17.399999999999999" customHeight="1" x14ac:dyDescent="0.45">
      <c r="B445" s="70"/>
    </row>
    <row r="446" spans="2:2" ht="17.399999999999999" customHeight="1" x14ac:dyDescent="0.45">
      <c r="B446" s="70"/>
    </row>
    <row r="447" spans="2:2" ht="17.399999999999999" customHeight="1" x14ac:dyDescent="0.45">
      <c r="B447" s="70"/>
    </row>
    <row r="448" spans="2:2" ht="17.399999999999999" customHeight="1" x14ac:dyDescent="0.45">
      <c r="B448" s="70"/>
    </row>
    <row r="449" spans="2:2" ht="17.399999999999999" customHeight="1" x14ac:dyDescent="0.45">
      <c r="B449" s="70"/>
    </row>
    <row r="450" spans="2:2" ht="17.399999999999999" customHeight="1" x14ac:dyDescent="0.45">
      <c r="B450" s="70"/>
    </row>
    <row r="451" spans="2:2" ht="17.399999999999999" customHeight="1" x14ac:dyDescent="0.45">
      <c r="B451" s="70"/>
    </row>
    <row r="452" spans="2:2" ht="17.399999999999999" customHeight="1" x14ac:dyDescent="0.45">
      <c r="B452" s="70"/>
    </row>
    <row r="453" spans="2:2" ht="17.399999999999999" customHeight="1" x14ac:dyDescent="0.45">
      <c r="B453" s="70"/>
    </row>
    <row r="454" spans="2:2" ht="17.399999999999999" customHeight="1" x14ac:dyDescent="0.45">
      <c r="B454" s="70"/>
    </row>
    <row r="455" spans="2:2" ht="17.399999999999999" customHeight="1" x14ac:dyDescent="0.45">
      <c r="B455" s="70"/>
    </row>
    <row r="456" spans="2:2" ht="17.399999999999999" customHeight="1" x14ac:dyDescent="0.45">
      <c r="B456" s="70"/>
    </row>
    <row r="457" spans="2:2" ht="17.399999999999999" customHeight="1" x14ac:dyDescent="0.45">
      <c r="B457" s="70"/>
    </row>
    <row r="458" spans="2:2" ht="17.399999999999999" customHeight="1" x14ac:dyDescent="0.45">
      <c r="B458" s="70"/>
    </row>
    <row r="459" spans="2:2" ht="17.399999999999999" customHeight="1" x14ac:dyDescent="0.45">
      <c r="B459" s="70"/>
    </row>
    <row r="460" spans="2:2" ht="17.399999999999999" customHeight="1" x14ac:dyDescent="0.45">
      <c r="B460" s="70"/>
    </row>
    <row r="461" spans="2:2" ht="17.399999999999999" customHeight="1" x14ac:dyDescent="0.45">
      <c r="B461" s="70"/>
    </row>
    <row r="462" spans="2:2" ht="17.399999999999999" customHeight="1" x14ac:dyDescent="0.45">
      <c r="B462" s="70"/>
    </row>
    <row r="463" spans="2:2" ht="17.399999999999999" customHeight="1" x14ac:dyDescent="0.45">
      <c r="B463" s="70"/>
    </row>
    <row r="464" spans="2:2" ht="17.399999999999999" customHeight="1" x14ac:dyDescent="0.45">
      <c r="B464" s="70"/>
    </row>
    <row r="465" spans="2:2" ht="17.399999999999999" customHeight="1" x14ac:dyDescent="0.45">
      <c r="B465" s="70"/>
    </row>
    <row r="466" spans="2:2" ht="17.399999999999999" customHeight="1" x14ac:dyDescent="0.45">
      <c r="B466" s="70"/>
    </row>
    <row r="467" spans="2:2" ht="17.399999999999999" customHeight="1" x14ac:dyDescent="0.45">
      <c r="B467" s="70"/>
    </row>
    <row r="468" spans="2:2" ht="17.399999999999999" customHeight="1" x14ac:dyDescent="0.45">
      <c r="B468" s="70"/>
    </row>
    <row r="469" spans="2:2" ht="17.399999999999999" customHeight="1" x14ac:dyDescent="0.45">
      <c r="B469" s="70"/>
    </row>
    <row r="470" spans="2:2" ht="17.399999999999999" customHeight="1" x14ac:dyDescent="0.45">
      <c r="B470" s="70"/>
    </row>
    <row r="471" spans="2:2" ht="17.399999999999999" customHeight="1" x14ac:dyDescent="0.45">
      <c r="B471" s="70"/>
    </row>
    <row r="472" spans="2:2" ht="17.399999999999999" customHeight="1" x14ac:dyDescent="0.45">
      <c r="B472" s="70"/>
    </row>
    <row r="473" spans="2:2" ht="17.399999999999999" customHeight="1" x14ac:dyDescent="0.45">
      <c r="B473" s="70"/>
    </row>
    <row r="474" spans="2:2" ht="17.399999999999999" customHeight="1" x14ac:dyDescent="0.45">
      <c r="B474" s="70"/>
    </row>
    <row r="475" spans="2:2" ht="17.399999999999999" customHeight="1" x14ac:dyDescent="0.45">
      <c r="B475" s="70"/>
    </row>
    <row r="476" spans="2:2" ht="17.399999999999999" customHeight="1" x14ac:dyDescent="0.45">
      <c r="B476" s="70"/>
    </row>
    <row r="477" spans="2:2" ht="17.399999999999999" customHeight="1" x14ac:dyDescent="0.45">
      <c r="B477" s="70"/>
    </row>
    <row r="478" spans="2:2" ht="17.399999999999999" customHeight="1" x14ac:dyDescent="0.45">
      <c r="B478" s="70"/>
    </row>
    <row r="479" spans="2:2" ht="17.399999999999999" customHeight="1" x14ac:dyDescent="0.45">
      <c r="B479" s="70"/>
    </row>
    <row r="480" spans="2:2" ht="17.399999999999999" customHeight="1" x14ac:dyDescent="0.45">
      <c r="B480" s="70"/>
    </row>
    <row r="481" spans="2:2" ht="17.399999999999999" customHeight="1" x14ac:dyDescent="0.45">
      <c r="B481" s="70"/>
    </row>
    <row r="482" spans="2:2" ht="17.399999999999999" customHeight="1" x14ac:dyDescent="0.45">
      <c r="B482" s="70"/>
    </row>
    <row r="483" spans="2:2" ht="17.399999999999999" customHeight="1" x14ac:dyDescent="0.45">
      <c r="B483" s="70"/>
    </row>
    <row r="484" spans="2:2" ht="17.399999999999999" customHeight="1" x14ac:dyDescent="0.45">
      <c r="B484" s="70"/>
    </row>
    <row r="485" spans="2:2" ht="17.399999999999999" customHeight="1" x14ac:dyDescent="0.45">
      <c r="B485" s="70"/>
    </row>
    <row r="486" spans="2:2" ht="17.399999999999999" customHeight="1" x14ac:dyDescent="0.45">
      <c r="B486" s="70"/>
    </row>
    <row r="487" spans="2:2" ht="17.399999999999999" customHeight="1" x14ac:dyDescent="0.45">
      <c r="B487" s="70"/>
    </row>
    <row r="488" spans="2:2" ht="17.399999999999999" customHeight="1" x14ac:dyDescent="0.45">
      <c r="B488" s="70"/>
    </row>
    <row r="489" spans="2:2" ht="17.399999999999999" customHeight="1" x14ac:dyDescent="0.45">
      <c r="B489" s="70"/>
    </row>
    <row r="490" spans="2:2" ht="17.399999999999999" customHeight="1" x14ac:dyDescent="0.45">
      <c r="B490" s="70"/>
    </row>
    <row r="491" spans="2:2" ht="17.399999999999999" customHeight="1" x14ac:dyDescent="0.45">
      <c r="B491" s="70"/>
    </row>
    <row r="492" spans="2:2" ht="17.399999999999999" customHeight="1" x14ac:dyDescent="0.45">
      <c r="B492" s="70"/>
    </row>
    <row r="493" spans="2:2" ht="17.399999999999999" customHeight="1" x14ac:dyDescent="0.45">
      <c r="B493" s="70"/>
    </row>
    <row r="494" spans="2:2" ht="17.399999999999999" customHeight="1" x14ac:dyDescent="0.45">
      <c r="B494" s="70"/>
    </row>
    <row r="495" spans="2:2" ht="17.399999999999999" customHeight="1" x14ac:dyDescent="0.45">
      <c r="B495" s="70"/>
    </row>
    <row r="496" spans="2:2" ht="17.399999999999999" customHeight="1" x14ac:dyDescent="0.45">
      <c r="B496" s="70"/>
    </row>
    <row r="497" spans="2:2" ht="17.399999999999999" customHeight="1" x14ac:dyDescent="0.45">
      <c r="B497" s="70"/>
    </row>
    <row r="498" spans="2:2" ht="17.399999999999999" customHeight="1" x14ac:dyDescent="0.45">
      <c r="B498" s="70"/>
    </row>
    <row r="499" spans="2:2" ht="17.399999999999999" customHeight="1" x14ac:dyDescent="0.45">
      <c r="B499" s="70"/>
    </row>
    <row r="500" spans="2:2" ht="17.399999999999999" customHeight="1" x14ac:dyDescent="0.45">
      <c r="B500" s="70"/>
    </row>
    <row r="501" spans="2:2" ht="17.399999999999999" customHeight="1" x14ac:dyDescent="0.45">
      <c r="B501" s="70"/>
    </row>
    <row r="502" spans="2:2" ht="17.399999999999999" customHeight="1" x14ac:dyDescent="0.45">
      <c r="B502" s="70"/>
    </row>
    <row r="503" spans="2:2" ht="17.399999999999999" customHeight="1" x14ac:dyDescent="0.45">
      <c r="B503" s="70"/>
    </row>
    <row r="504" spans="2:2" ht="17.399999999999999" customHeight="1" x14ac:dyDescent="0.45">
      <c r="B504" s="70"/>
    </row>
    <row r="505" spans="2:2" ht="17.399999999999999" customHeight="1" x14ac:dyDescent="0.45">
      <c r="B505" s="70"/>
    </row>
    <row r="506" spans="2:2" ht="17.399999999999999" customHeight="1" x14ac:dyDescent="0.45">
      <c r="B506" s="70"/>
    </row>
    <row r="507" spans="2:2" ht="17.399999999999999" customHeight="1" x14ac:dyDescent="0.45">
      <c r="B507" s="70"/>
    </row>
    <row r="508" spans="2:2" ht="17.399999999999999" customHeight="1" x14ac:dyDescent="0.45">
      <c r="B508" s="70"/>
    </row>
    <row r="509" spans="2:2" ht="17.399999999999999" customHeight="1" x14ac:dyDescent="0.45">
      <c r="B509" s="70"/>
    </row>
    <row r="510" spans="2:2" ht="17.399999999999999" customHeight="1" x14ac:dyDescent="0.45">
      <c r="B510" s="70"/>
    </row>
    <row r="511" spans="2:2" ht="17.399999999999999" customHeight="1" x14ac:dyDescent="0.45">
      <c r="B511" s="70"/>
    </row>
    <row r="512" spans="2:2" ht="17.399999999999999" customHeight="1" x14ac:dyDescent="0.45">
      <c r="B512" s="70"/>
    </row>
    <row r="513" spans="2:2" ht="17.399999999999999" customHeight="1" x14ac:dyDescent="0.45">
      <c r="B513" s="70"/>
    </row>
    <row r="514" spans="2:2" ht="17.399999999999999" customHeight="1" x14ac:dyDescent="0.45">
      <c r="B514" s="70"/>
    </row>
    <row r="515" spans="2:2" ht="17.399999999999999" customHeight="1" x14ac:dyDescent="0.45">
      <c r="B515" s="70"/>
    </row>
    <row r="516" spans="2:2" ht="17.399999999999999" customHeight="1" x14ac:dyDescent="0.45">
      <c r="B516" s="70"/>
    </row>
    <row r="517" spans="2:2" ht="17.399999999999999" customHeight="1" x14ac:dyDescent="0.45">
      <c r="B517" s="70"/>
    </row>
    <row r="518" spans="2:2" ht="17.399999999999999" customHeight="1" x14ac:dyDescent="0.45">
      <c r="B518" s="70"/>
    </row>
    <row r="519" spans="2:2" ht="17.399999999999999" customHeight="1" x14ac:dyDescent="0.45">
      <c r="B519" s="70"/>
    </row>
    <row r="520" spans="2:2" ht="17.399999999999999" customHeight="1" x14ac:dyDescent="0.45">
      <c r="B520" s="70"/>
    </row>
    <row r="521" spans="2:2" ht="17.399999999999999" customHeight="1" x14ac:dyDescent="0.45">
      <c r="B521" s="70"/>
    </row>
    <row r="522" spans="2:2" ht="17.399999999999999" customHeight="1" x14ac:dyDescent="0.45">
      <c r="B522" s="70"/>
    </row>
    <row r="523" spans="2:2" ht="17.399999999999999" customHeight="1" x14ac:dyDescent="0.45">
      <c r="B523" s="70"/>
    </row>
    <row r="524" spans="2:2" ht="17.399999999999999" customHeight="1" x14ac:dyDescent="0.45">
      <c r="B524" s="70"/>
    </row>
    <row r="525" spans="2:2" ht="17.399999999999999" customHeight="1" x14ac:dyDescent="0.45">
      <c r="B525" s="70"/>
    </row>
    <row r="526" spans="2:2" ht="17.399999999999999" customHeight="1" x14ac:dyDescent="0.45">
      <c r="B526" s="70"/>
    </row>
    <row r="527" spans="2:2" ht="17.399999999999999" customHeight="1" x14ac:dyDescent="0.45">
      <c r="B527" s="70"/>
    </row>
    <row r="528" spans="2:2" ht="17.399999999999999" customHeight="1" x14ac:dyDescent="0.45">
      <c r="B528" s="70"/>
    </row>
    <row r="529" spans="2:2" ht="17.399999999999999" customHeight="1" x14ac:dyDescent="0.45">
      <c r="B529" s="70"/>
    </row>
    <row r="530" spans="2:2" ht="17.399999999999999" customHeight="1" x14ac:dyDescent="0.45">
      <c r="B530" s="70"/>
    </row>
    <row r="531" spans="2:2" ht="17.399999999999999" customHeight="1" x14ac:dyDescent="0.45">
      <c r="B531" s="70"/>
    </row>
    <row r="532" spans="2:2" ht="17.399999999999999" customHeight="1" x14ac:dyDescent="0.45">
      <c r="B532" s="70"/>
    </row>
    <row r="533" spans="2:2" ht="17.399999999999999" customHeight="1" x14ac:dyDescent="0.45">
      <c r="B533" s="70"/>
    </row>
    <row r="534" spans="2:2" ht="17.399999999999999" customHeight="1" x14ac:dyDescent="0.45">
      <c r="B534" s="70"/>
    </row>
    <row r="535" spans="2:2" ht="17.399999999999999" customHeight="1" x14ac:dyDescent="0.45">
      <c r="B535" s="70"/>
    </row>
    <row r="536" spans="2:2" ht="17.399999999999999" customHeight="1" x14ac:dyDescent="0.45">
      <c r="B536" s="70"/>
    </row>
    <row r="537" spans="2:2" ht="17.399999999999999" customHeight="1" x14ac:dyDescent="0.45">
      <c r="B537" s="70"/>
    </row>
    <row r="538" spans="2:2" ht="17.399999999999999" customHeight="1" x14ac:dyDescent="0.45">
      <c r="B538" s="70"/>
    </row>
    <row r="539" spans="2:2" ht="17.399999999999999" customHeight="1" x14ac:dyDescent="0.45">
      <c r="B539" s="70"/>
    </row>
    <row r="540" spans="2:2" ht="17.399999999999999" customHeight="1" x14ac:dyDescent="0.45">
      <c r="B540" s="70"/>
    </row>
    <row r="541" spans="2:2" ht="17.399999999999999" customHeight="1" x14ac:dyDescent="0.45">
      <c r="B541" s="70"/>
    </row>
    <row r="542" spans="2:2" ht="17.399999999999999" customHeight="1" x14ac:dyDescent="0.45">
      <c r="B542" s="70"/>
    </row>
    <row r="543" spans="2:2" ht="17.399999999999999" customHeight="1" x14ac:dyDescent="0.45">
      <c r="B543" s="70"/>
    </row>
    <row r="544" spans="2:2" ht="17.399999999999999" customHeight="1" x14ac:dyDescent="0.45">
      <c r="B544" s="70"/>
    </row>
    <row r="545" spans="2:2" ht="17.399999999999999" customHeight="1" x14ac:dyDescent="0.45">
      <c r="B545" s="70"/>
    </row>
    <row r="546" spans="2:2" ht="17.399999999999999" customHeight="1" x14ac:dyDescent="0.45">
      <c r="B546" s="70"/>
    </row>
    <row r="547" spans="2:2" ht="17.399999999999999" customHeight="1" x14ac:dyDescent="0.45">
      <c r="B547" s="70"/>
    </row>
    <row r="548" spans="2:2" ht="17.399999999999999" customHeight="1" x14ac:dyDescent="0.45">
      <c r="B548" s="70"/>
    </row>
    <row r="549" spans="2:2" ht="17.399999999999999" customHeight="1" x14ac:dyDescent="0.45">
      <c r="B549" s="70"/>
    </row>
    <row r="550" spans="2:2" ht="17.399999999999999" customHeight="1" x14ac:dyDescent="0.45">
      <c r="B550" s="70"/>
    </row>
    <row r="551" spans="2:2" ht="17.399999999999999" customHeight="1" x14ac:dyDescent="0.45">
      <c r="B551" s="70"/>
    </row>
    <row r="552" spans="2:2" ht="17.399999999999999" customHeight="1" x14ac:dyDescent="0.45">
      <c r="B552" s="70"/>
    </row>
    <row r="553" spans="2:2" ht="17.399999999999999" customHeight="1" x14ac:dyDescent="0.45">
      <c r="B553" s="70"/>
    </row>
    <row r="554" spans="2:2" ht="17.399999999999999" customHeight="1" x14ac:dyDescent="0.45">
      <c r="B554" s="70"/>
    </row>
    <row r="555" spans="2:2" ht="17.399999999999999" customHeight="1" x14ac:dyDescent="0.45">
      <c r="B555" s="70"/>
    </row>
    <row r="556" spans="2:2" ht="17.399999999999999" customHeight="1" x14ac:dyDescent="0.45">
      <c r="B556" s="70"/>
    </row>
    <row r="557" spans="2:2" ht="17.399999999999999" customHeight="1" x14ac:dyDescent="0.45">
      <c r="B557" s="70"/>
    </row>
    <row r="558" spans="2:2" ht="17.399999999999999" customHeight="1" x14ac:dyDescent="0.45">
      <c r="B558" s="70"/>
    </row>
    <row r="559" spans="2:2" ht="17.399999999999999" customHeight="1" x14ac:dyDescent="0.45">
      <c r="B559" s="70"/>
    </row>
    <row r="560" spans="2:2" ht="17.399999999999999" customHeight="1" x14ac:dyDescent="0.45">
      <c r="B560" s="70"/>
    </row>
    <row r="561" spans="2:2" ht="17.399999999999999" customHeight="1" x14ac:dyDescent="0.45">
      <c r="B561" s="70"/>
    </row>
    <row r="562" spans="2:2" ht="17.399999999999999" customHeight="1" x14ac:dyDescent="0.45">
      <c r="B562" s="70"/>
    </row>
    <row r="563" spans="2:2" ht="17.399999999999999" customHeight="1" x14ac:dyDescent="0.45">
      <c r="B563" s="70"/>
    </row>
    <row r="564" spans="2:2" ht="17.399999999999999" customHeight="1" x14ac:dyDescent="0.45">
      <c r="B564" s="70"/>
    </row>
    <row r="565" spans="2:2" ht="17.399999999999999" customHeight="1" x14ac:dyDescent="0.45">
      <c r="B565" s="70"/>
    </row>
    <row r="566" spans="2:2" ht="17.399999999999999" customHeight="1" x14ac:dyDescent="0.45">
      <c r="B566" s="70"/>
    </row>
    <row r="567" spans="2:2" ht="17.399999999999999" customHeight="1" x14ac:dyDescent="0.45">
      <c r="B567" s="70"/>
    </row>
    <row r="568" spans="2:2" ht="17.399999999999999" customHeight="1" x14ac:dyDescent="0.45">
      <c r="B568" s="70"/>
    </row>
    <row r="569" spans="2:2" ht="17.399999999999999" customHeight="1" x14ac:dyDescent="0.45">
      <c r="B569" s="70"/>
    </row>
    <row r="570" spans="2:2" ht="17.399999999999999" customHeight="1" x14ac:dyDescent="0.45">
      <c r="B570" s="70"/>
    </row>
    <row r="571" spans="2:2" ht="17.399999999999999" customHeight="1" x14ac:dyDescent="0.45">
      <c r="B571" s="70"/>
    </row>
    <row r="572" spans="2:2" ht="17.399999999999999" customHeight="1" x14ac:dyDescent="0.45">
      <c r="B572" s="70"/>
    </row>
    <row r="573" spans="2:2" ht="17.399999999999999" customHeight="1" x14ac:dyDescent="0.45">
      <c r="B573" s="70"/>
    </row>
    <row r="574" spans="2:2" ht="17.399999999999999" customHeight="1" x14ac:dyDescent="0.45">
      <c r="B574" s="70"/>
    </row>
    <row r="575" spans="2:2" ht="17.399999999999999" customHeight="1" x14ac:dyDescent="0.45">
      <c r="B575" s="70"/>
    </row>
    <row r="576" spans="2:2" ht="17.399999999999999" customHeight="1" x14ac:dyDescent="0.45">
      <c r="B576" s="70"/>
    </row>
    <row r="577" spans="2:2" ht="17.399999999999999" customHeight="1" x14ac:dyDescent="0.45">
      <c r="B577" s="70"/>
    </row>
    <row r="578" spans="2:2" ht="17.399999999999999" customHeight="1" x14ac:dyDescent="0.45">
      <c r="B578" s="70"/>
    </row>
    <row r="579" spans="2:2" ht="17.399999999999999" customHeight="1" x14ac:dyDescent="0.45">
      <c r="B579" s="70"/>
    </row>
    <row r="580" spans="2:2" ht="17.399999999999999" customHeight="1" x14ac:dyDescent="0.45">
      <c r="B580" s="70"/>
    </row>
    <row r="581" spans="2:2" ht="17.399999999999999" customHeight="1" x14ac:dyDescent="0.45">
      <c r="B581" s="70"/>
    </row>
    <row r="582" spans="2:2" ht="17.399999999999999" customHeight="1" x14ac:dyDescent="0.45">
      <c r="B582" s="70"/>
    </row>
    <row r="583" spans="2:2" ht="17.399999999999999" customHeight="1" x14ac:dyDescent="0.45">
      <c r="B583" s="70"/>
    </row>
    <row r="584" spans="2:2" ht="17.399999999999999" customHeight="1" x14ac:dyDescent="0.45">
      <c r="B584" s="70"/>
    </row>
    <row r="585" spans="2:2" ht="17.399999999999999" customHeight="1" x14ac:dyDescent="0.45">
      <c r="B585" s="70"/>
    </row>
    <row r="586" spans="2:2" ht="17.399999999999999" customHeight="1" x14ac:dyDescent="0.45">
      <c r="B586" s="70"/>
    </row>
    <row r="587" spans="2:2" ht="17.399999999999999" customHeight="1" x14ac:dyDescent="0.45">
      <c r="B587" s="70"/>
    </row>
    <row r="588" spans="2:2" ht="17.399999999999999" customHeight="1" x14ac:dyDescent="0.45">
      <c r="B588" s="70"/>
    </row>
    <row r="589" spans="2:2" ht="17.399999999999999" customHeight="1" x14ac:dyDescent="0.45">
      <c r="B589" s="70"/>
    </row>
    <row r="590" spans="2:2" ht="17.399999999999999" customHeight="1" x14ac:dyDescent="0.45">
      <c r="B590" s="70"/>
    </row>
    <row r="591" spans="2:2" ht="17.399999999999999" customHeight="1" x14ac:dyDescent="0.45">
      <c r="B591" s="70"/>
    </row>
    <row r="592" spans="2:2" ht="17.399999999999999" customHeight="1" x14ac:dyDescent="0.45">
      <c r="B592" s="70"/>
    </row>
    <row r="593" spans="2:2" ht="17.399999999999999" customHeight="1" x14ac:dyDescent="0.45">
      <c r="B593" s="70"/>
    </row>
    <row r="594" spans="2:2" ht="17.399999999999999" customHeight="1" x14ac:dyDescent="0.45">
      <c r="B594" s="70"/>
    </row>
    <row r="595" spans="2:2" ht="17.399999999999999" customHeight="1" x14ac:dyDescent="0.45">
      <c r="B595" s="70"/>
    </row>
    <row r="596" spans="2:2" ht="17.399999999999999" customHeight="1" x14ac:dyDescent="0.45">
      <c r="B596" s="70"/>
    </row>
    <row r="597" spans="2:2" ht="17.399999999999999" customHeight="1" x14ac:dyDescent="0.45">
      <c r="B597" s="70"/>
    </row>
    <row r="598" spans="2:2" ht="17.399999999999999" customHeight="1" x14ac:dyDescent="0.45">
      <c r="B598" s="70"/>
    </row>
    <row r="599" spans="2:2" ht="17.399999999999999" customHeight="1" x14ac:dyDescent="0.45">
      <c r="B599" s="70"/>
    </row>
    <row r="600" spans="2:2" ht="17.399999999999999" customHeight="1" x14ac:dyDescent="0.45">
      <c r="B600" s="70"/>
    </row>
    <row r="601" spans="2:2" ht="17.399999999999999" customHeight="1" x14ac:dyDescent="0.45">
      <c r="B601" s="70"/>
    </row>
    <row r="602" spans="2:2" ht="17.399999999999999" customHeight="1" x14ac:dyDescent="0.45">
      <c r="B602" s="70"/>
    </row>
    <row r="603" spans="2:2" ht="17.399999999999999" customHeight="1" x14ac:dyDescent="0.45">
      <c r="B603" s="70"/>
    </row>
    <row r="604" spans="2:2" ht="17.399999999999999" customHeight="1" x14ac:dyDescent="0.45">
      <c r="B604" s="70"/>
    </row>
    <row r="605" spans="2:2" ht="17.399999999999999" customHeight="1" x14ac:dyDescent="0.45">
      <c r="B605" s="70"/>
    </row>
    <row r="606" spans="2:2" ht="17.399999999999999" customHeight="1" x14ac:dyDescent="0.45">
      <c r="B606" s="70"/>
    </row>
    <row r="607" spans="2:2" ht="17.399999999999999" customHeight="1" x14ac:dyDescent="0.45">
      <c r="B607" s="70"/>
    </row>
    <row r="608" spans="2:2" ht="17.399999999999999" customHeight="1" x14ac:dyDescent="0.45">
      <c r="B608" s="70"/>
    </row>
    <row r="609" spans="2:2" ht="17.399999999999999" customHeight="1" x14ac:dyDescent="0.45">
      <c r="B609" s="70"/>
    </row>
    <row r="610" spans="2:2" ht="17.399999999999999" customHeight="1" x14ac:dyDescent="0.45">
      <c r="B610" s="70"/>
    </row>
    <row r="611" spans="2:2" ht="17.399999999999999" customHeight="1" x14ac:dyDescent="0.45">
      <c r="B611" s="70"/>
    </row>
    <row r="612" spans="2:2" ht="17.399999999999999" customHeight="1" x14ac:dyDescent="0.45">
      <c r="B612" s="70"/>
    </row>
    <row r="613" spans="2:2" ht="17.399999999999999" customHeight="1" x14ac:dyDescent="0.45">
      <c r="B613" s="70"/>
    </row>
    <row r="614" spans="2:2" ht="17.399999999999999" customHeight="1" x14ac:dyDescent="0.45">
      <c r="B614" s="70"/>
    </row>
    <row r="615" spans="2:2" ht="17.399999999999999" customHeight="1" x14ac:dyDescent="0.45">
      <c r="B615" s="70"/>
    </row>
    <row r="616" spans="2:2" ht="17.399999999999999" customHeight="1" x14ac:dyDescent="0.45">
      <c r="B616" s="70"/>
    </row>
    <row r="617" spans="2:2" ht="17.399999999999999" customHeight="1" x14ac:dyDescent="0.45">
      <c r="B617" s="70"/>
    </row>
    <row r="618" spans="2:2" ht="17.399999999999999" customHeight="1" x14ac:dyDescent="0.45">
      <c r="B618" s="70"/>
    </row>
    <row r="619" spans="2:2" ht="17.399999999999999" customHeight="1" x14ac:dyDescent="0.45">
      <c r="B619" s="70"/>
    </row>
    <row r="620" spans="2:2" ht="17.399999999999999" customHeight="1" x14ac:dyDescent="0.45">
      <c r="B620" s="70"/>
    </row>
    <row r="621" spans="2:2" ht="17.399999999999999" customHeight="1" x14ac:dyDescent="0.45">
      <c r="B621" s="70"/>
    </row>
    <row r="622" spans="2:2" ht="17.399999999999999" customHeight="1" x14ac:dyDescent="0.45">
      <c r="B622" s="70"/>
    </row>
    <row r="623" spans="2:2" ht="17.399999999999999" customHeight="1" x14ac:dyDescent="0.45">
      <c r="B623" s="70"/>
    </row>
    <row r="624" spans="2:2" ht="17.399999999999999" customHeight="1" x14ac:dyDescent="0.45">
      <c r="B624" s="70"/>
    </row>
    <row r="625" spans="2:2" ht="17.399999999999999" customHeight="1" x14ac:dyDescent="0.45">
      <c r="B625" s="70"/>
    </row>
    <row r="626" spans="2:2" ht="17.399999999999999" customHeight="1" x14ac:dyDescent="0.45">
      <c r="B626" s="70"/>
    </row>
    <row r="627" spans="2:2" ht="17.399999999999999" customHeight="1" x14ac:dyDescent="0.45">
      <c r="B627" s="70"/>
    </row>
    <row r="628" spans="2:2" ht="17.399999999999999" customHeight="1" x14ac:dyDescent="0.45">
      <c r="B628" s="70"/>
    </row>
    <row r="629" spans="2:2" ht="17.399999999999999" customHeight="1" x14ac:dyDescent="0.45">
      <c r="B629" s="70"/>
    </row>
    <row r="630" spans="2:2" ht="17.399999999999999" customHeight="1" x14ac:dyDescent="0.45">
      <c r="B630" s="70"/>
    </row>
    <row r="631" spans="2:2" ht="17.399999999999999" customHeight="1" x14ac:dyDescent="0.45">
      <c r="B631" s="70"/>
    </row>
    <row r="632" spans="2:2" ht="17.399999999999999" customHeight="1" x14ac:dyDescent="0.45">
      <c r="B632" s="70"/>
    </row>
    <row r="633" spans="2:2" ht="17.399999999999999" customHeight="1" x14ac:dyDescent="0.45">
      <c r="B633" s="70"/>
    </row>
    <row r="634" spans="2:2" ht="17.399999999999999" customHeight="1" x14ac:dyDescent="0.45">
      <c r="B634" s="70"/>
    </row>
    <row r="635" spans="2:2" ht="17.399999999999999" customHeight="1" x14ac:dyDescent="0.45">
      <c r="B635" s="70"/>
    </row>
    <row r="636" spans="2:2" ht="17.399999999999999" customHeight="1" x14ac:dyDescent="0.45">
      <c r="B636" s="70"/>
    </row>
    <row r="637" spans="2:2" ht="17.399999999999999" customHeight="1" x14ac:dyDescent="0.45">
      <c r="B637" s="70"/>
    </row>
    <row r="638" spans="2:2" ht="17.399999999999999" customHeight="1" x14ac:dyDescent="0.45">
      <c r="B638" s="70"/>
    </row>
    <row r="639" spans="2:2" ht="17.399999999999999" customHeight="1" x14ac:dyDescent="0.45">
      <c r="B639" s="70"/>
    </row>
    <row r="640" spans="2:2" ht="17.399999999999999" customHeight="1" x14ac:dyDescent="0.45">
      <c r="B640" s="70"/>
    </row>
    <row r="641" spans="2:2" ht="17.399999999999999" customHeight="1" x14ac:dyDescent="0.45">
      <c r="B641" s="70"/>
    </row>
    <row r="642" spans="2:2" ht="17.399999999999999" customHeight="1" x14ac:dyDescent="0.45">
      <c r="B642" s="70"/>
    </row>
    <row r="643" spans="2:2" ht="17.399999999999999" customHeight="1" x14ac:dyDescent="0.45">
      <c r="B643" s="70"/>
    </row>
    <row r="644" spans="2:2" ht="17.399999999999999" customHeight="1" x14ac:dyDescent="0.45">
      <c r="B644" s="70"/>
    </row>
    <row r="645" spans="2:2" ht="17.399999999999999" customHeight="1" x14ac:dyDescent="0.45">
      <c r="B645" s="70"/>
    </row>
    <row r="646" spans="2:2" ht="17.399999999999999" customHeight="1" x14ac:dyDescent="0.45">
      <c r="B646" s="70"/>
    </row>
    <row r="647" spans="2:2" ht="17.399999999999999" customHeight="1" x14ac:dyDescent="0.45">
      <c r="B647" s="70"/>
    </row>
    <row r="648" spans="2:2" ht="17.399999999999999" customHeight="1" x14ac:dyDescent="0.45">
      <c r="B648" s="70"/>
    </row>
    <row r="649" spans="2:2" ht="17.399999999999999" customHeight="1" x14ac:dyDescent="0.45">
      <c r="B649" s="70"/>
    </row>
    <row r="650" spans="2:2" ht="17.399999999999999" customHeight="1" x14ac:dyDescent="0.45">
      <c r="B650" s="70"/>
    </row>
    <row r="651" spans="2:2" ht="17.399999999999999" customHeight="1" x14ac:dyDescent="0.45">
      <c r="B651" s="70"/>
    </row>
    <row r="652" spans="2:2" ht="17.399999999999999" customHeight="1" x14ac:dyDescent="0.45">
      <c r="B652" s="70"/>
    </row>
    <row r="653" spans="2:2" ht="17.399999999999999" customHeight="1" x14ac:dyDescent="0.45">
      <c r="B653" s="70"/>
    </row>
    <row r="654" spans="2:2" ht="17.399999999999999" customHeight="1" x14ac:dyDescent="0.45">
      <c r="B654" s="70"/>
    </row>
    <row r="655" spans="2:2" ht="17.399999999999999" customHeight="1" x14ac:dyDescent="0.45">
      <c r="B655" s="70"/>
    </row>
    <row r="656" spans="2:2" ht="17.399999999999999" customHeight="1" x14ac:dyDescent="0.45">
      <c r="B656" s="70"/>
    </row>
    <row r="657" spans="2:2" ht="17.399999999999999" customHeight="1" x14ac:dyDescent="0.45">
      <c r="B657" s="70"/>
    </row>
    <row r="658" spans="2:2" ht="17.399999999999999" customHeight="1" x14ac:dyDescent="0.45">
      <c r="B658" s="70"/>
    </row>
    <row r="659" spans="2:2" ht="17.399999999999999" customHeight="1" x14ac:dyDescent="0.45">
      <c r="B659" s="70"/>
    </row>
    <row r="660" spans="2:2" ht="17.399999999999999" customHeight="1" x14ac:dyDescent="0.45">
      <c r="B660" s="70"/>
    </row>
    <row r="661" spans="2:2" ht="17.399999999999999" customHeight="1" x14ac:dyDescent="0.45">
      <c r="B661" s="70"/>
    </row>
    <row r="662" spans="2:2" ht="17.399999999999999" customHeight="1" x14ac:dyDescent="0.45">
      <c r="B662" s="70"/>
    </row>
    <row r="663" spans="2:2" ht="17.399999999999999" customHeight="1" x14ac:dyDescent="0.45">
      <c r="B663" s="70"/>
    </row>
    <row r="664" spans="2:2" ht="17.399999999999999" customHeight="1" x14ac:dyDescent="0.45">
      <c r="B664" s="70"/>
    </row>
    <row r="665" spans="2:2" ht="17.399999999999999" customHeight="1" x14ac:dyDescent="0.45">
      <c r="B665" s="70"/>
    </row>
    <row r="666" spans="2:2" ht="17.399999999999999" customHeight="1" x14ac:dyDescent="0.45">
      <c r="B666" s="70"/>
    </row>
    <row r="667" spans="2:2" ht="17.399999999999999" customHeight="1" x14ac:dyDescent="0.45">
      <c r="B667" s="70"/>
    </row>
    <row r="668" spans="2:2" ht="17.399999999999999" customHeight="1" x14ac:dyDescent="0.45">
      <c r="B668" s="70"/>
    </row>
    <row r="669" spans="2:2" ht="17.399999999999999" customHeight="1" x14ac:dyDescent="0.45">
      <c r="B669" s="70"/>
    </row>
    <row r="670" spans="2:2" ht="17.399999999999999" customHeight="1" x14ac:dyDescent="0.45">
      <c r="B670" s="70"/>
    </row>
    <row r="671" spans="2:2" ht="17.399999999999999" customHeight="1" x14ac:dyDescent="0.45">
      <c r="B671" s="70"/>
    </row>
    <row r="672" spans="2:2" ht="17.399999999999999" customHeight="1" x14ac:dyDescent="0.45">
      <c r="B672" s="70"/>
    </row>
    <row r="673" spans="2:2" ht="17.399999999999999" customHeight="1" x14ac:dyDescent="0.45">
      <c r="B673" s="70"/>
    </row>
    <row r="674" spans="2:2" ht="17.399999999999999" customHeight="1" x14ac:dyDescent="0.45">
      <c r="B674" s="70"/>
    </row>
    <row r="675" spans="2:2" ht="17.399999999999999" customHeight="1" x14ac:dyDescent="0.45">
      <c r="B675" s="70"/>
    </row>
    <row r="676" spans="2:2" ht="17.399999999999999" customHeight="1" x14ac:dyDescent="0.45">
      <c r="B676" s="70"/>
    </row>
    <row r="677" spans="2:2" ht="17.399999999999999" customHeight="1" x14ac:dyDescent="0.45">
      <c r="B677" s="70"/>
    </row>
    <row r="678" spans="2:2" ht="17.399999999999999" customHeight="1" x14ac:dyDescent="0.45">
      <c r="B678" s="70"/>
    </row>
    <row r="679" spans="2:2" ht="17.399999999999999" customHeight="1" x14ac:dyDescent="0.45">
      <c r="B679" s="70"/>
    </row>
    <row r="680" spans="2:2" ht="17.399999999999999" customHeight="1" x14ac:dyDescent="0.45">
      <c r="B680" s="70"/>
    </row>
    <row r="681" spans="2:2" ht="17.399999999999999" customHeight="1" x14ac:dyDescent="0.45">
      <c r="B681" s="70"/>
    </row>
    <row r="682" spans="2:2" ht="17.399999999999999" customHeight="1" x14ac:dyDescent="0.45">
      <c r="B682" s="70"/>
    </row>
    <row r="683" spans="2:2" ht="17.399999999999999" customHeight="1" x14ac:dyDescent="0.45">
      <c r="B683" s="70"/>
    </row>
    <row r="684" spans="2:2" ht="17.399999999999999" customHeight="1" x14ac:dyDescent="0.45">
      <c r="B684" s="70"/>
    </row>
    <row r="685" spans="2:2" ht="17.399999999999999" customHeight="1" x14ac:dyDescent="0.45">
      <c r="B685" s="70"/>
    </row>
    <row r="686" spans="2:2" ht="17.399999999999999" customHeight="1" x14ac:dyDescent="0.45">
      <c r="B686" s="70"/>
    </row>
    <row r="687" spans="2:2" ht="17.399999999999999" customHeight="1" x14ac:dyDescent="0.45">
      <c r="B687" s="70"/>
    </row>
    <row r="688" spans="2:2" ht="17.399999999999999" customHeight="1" x14ac:dyDescent="0.45">
      <c r="B688" s="70"/>
    </row>
    <row r="689" spans="2:2" ht="17.399999999999999" customHeight="1" x14ac:dyDescent="0.45">
      <c r="B689" s="70"/>
    </row>
    <row r="690" spans="2:2" ht="17.399999999999999" customHeight="1" x14ac:dyDescent="0.45">
      <c r="B690" s="70"/>
    </row>
    <row r="691" spans="2:2" ht="17.399999999999999" customHeight="1" x14ac:dyDescent="0.45">
      <c r="B691" s="70"/>
    </row>
    <row r="692" spans="2:2" ht="17.399999999999999" customHeight="1" x14ac:dyDescent="0.45">
      <c r="B692" s="70"/>
    </row>
    <row r="693" spans="2:2" ht="17.399999999999999" customHeight="1" x14ac:dyDescent="0.45">
      <c r="B693" s="70"/>
    </row>
    <row r="694" spans="2:2" ht="17.399999999999999" customHeight="1" x14ac:dyDescent="0.45">
      <c r="B694" s="70"/>
    </row>
    <row r="695" spans="2:2" ht="17.399999999999999" customHeight="1" x14ac:dyDescent="0.45">
      <c r="B695" s="70"/>
    </row>
    <row r="696" spans="2:2" ht="17.399999999999999" customHeight="1" x14ac:dyDescent="0.45">
      <c r="B696" s="70"/>
    </row>
    <row r="697" spans="2:2" ht="17.399999999999999" customHeight="1" x14ac:dyDescent="0.45">
      <c r="B697" s="70"/>
    </row>
    <row r="698" spans="2:2" ht="17.399999999999999" customHeight="1" x14ac:dyDescent="0.45">
      <c r="B698" s="70"/>
    </row>
    <row r="699" spans="2:2" ht="17.399999999999999" customHeight="1" x14ac:dyDescent="0.45">
      <c r="B699" s="70"/>
    </row>
    <row r="700" spans="2:2" ht="17.399999999999999" customHeight="1" x14ac:dyDescent="0.45">
      <c r="B700" s="70"/>
    </row>
    <row r="701" spans="2:2" ht="17.399999999999999" customHeight="1" x14ac:dyDescent="0.45">
      <c r="B701" s="70"/>
    </row>
    <row r="702" spans="2:2" ht="17.399999999999999" customHeight="1" x14ac:dyDescent="0.45">
      <c r="B702" s="70"/>
    </row>
    <row r="703" spans="2:2" ht="17.399999999999999" customHeight="1" x14ac:dyDescent="0.45">
      <c r="B703" s="70"/>
    </row>
    <row r="704" spans="2:2" ht="17.399999999999999" customHeight="1" x14ac:dyDescent="0.45">
      <c r="B704" s="70"/>
    </row>
    <row r="705" spans="2:2" ht="17.399999999999999" customHeight="1" x14ac:dyDescent="0.45">
      <c r="B705" s="70"/>
    </row>
    <row r="706" spans="2:2" ht="17.399999999999999" customHeight="1" x14ac:dyDescent="0.45">
      <c r="B706" s="70"/>
    </row>
    <row r="707" spans="2:2" ht="17.399999999999999" customHeight="1" x14ac:dyDescent="0.45">
      <c r="B707" s="70"/>
    </row>
    <row r="708" spans="2:2" ht="17.399999999999999" customHeight="1" x14ac:dyDescent="0.45">
      <c r="B708" s="70"/>
    </row>
    <row r="709" spans="2:2" ht="17.399999999999999" customHeight="1" x14ac:dyDescent="0.45">
      <c r="B709" s="70"/>
    </row>
    <row r="710" spans="2:2" ht="17.399999999999999" customHeight="1" x14ac:dyDescent="0.45">
      <c r="B710" s="70"/>
    </row>
    <row r="711" spans="2:2" ht="17.399999999999999" customHeight="1" x14ac:dyDescent="0.45">
      <c r="B711" s="70"/>
    </row>
    <row r="712" spans="2:2" ht="17.399999999999999" customHeight="1" x14ac:dyDescent="0.45">
      <c r="B712" s="70"/>
    </row>
    <row r="713" spans="2:2" ht="17.399999999999999" customHeight="1" x14ac:dyDescent="0.45">
      <c r="B713" s="70"/>
    </row>
    <row r="714" spans="2:2" ht="17.399999999999999" customHeight="1" x14ac:dyDescent="0.45">
      <c r="B714" s="70"/>
    </row>
    <row r="715" spans="2:2" ht="17.399999999999999" customHeight="1" x14ac:dyDescent="0.45">
      <c r="B715" s="70"/>
    </row>
    <row r="716" spans="2:2" ht="17.399999999999999" customHeight="1" x14ac:dyDescent="0.45">
      <c r="B716" s="70"/>
    </row>
    <row r="717" spans="2:2" ht="17.399999999999999" customHeight="1" x14ac:dyDescent="0.45">
      <c r="B717" s="70"/>
    </row>
    <row r="718" spans="2:2" ht="17.399999999999999" customHeight="1" x14ac:dyDescent="0.45">
      <c r="B718" s="70"/>
    </row>
    <row r="719" spans="2:2" ht="17.399999999999999" customHeight="1" x14ac:dyDescent="0.45">
      <c r="B719" s="70"/>
    </row>
    <row r="720" spans="2:2" ht="17.399999999999999" customHeight="1" x14ac:dyDescent="0.45">
      <c r="B720" s="70"/>
    </row>
    <row r="721" spans="2:2" ht="17.399999999999999" customHeight="1" x14ac:dyDescent="0.45">
      <c r="B721" s="70"/>
    </row>
    <row r="722" spans="2:2" ht="17.399999999999999" customHeight="1" x14ac:dyDescent="0.45">
      <c r="B722" s="70"/>
    </row>
    <row r="723" spans="2:2" ht="17.399999999999999" customHeight="1" x14ac:dyDescent="0.45">
      <c r="B723" s="70"/>
    </row>
    <row r="724" spans="2:2" ht="17.399999999999999" customHeight="1" x14ac:dyDescent="0.45">
      <c r="B724" s="70"/>
    </row>
    <row r="725" spans="2:2" ht="17.399999999999999" customHeight="1" x14ac:dyDescent="0.45">
      <c r="B725" s="70"/>
    </row>
    <row r="726" spans="2:2" ht="17.399999999999999" customHeight="1" x14ac:dyDescent="0.45">
      <c r="B726" s="70"/>
    </row>
    <row r="727" spans="2:2" ht="17.399999999999999" customHeight="1" x14ac:dyDescent="0.45">
      <c r="B727" s="70"/>
    </row>
    <row r="728" spans="2:2" ht="17.399999999999999" customHeight="1" x14ac:dyDescent="0.45">
      <c r="B728" s="70"/>
    </row>
    <row r="729" spans="2:2" ht="17.399999999999999" customHeight="1" x14ac:dyDescent="0.45">
      <c r="B729" s="70"/>
    </row>
    <row r="730" spans="2:2" ht="17.399999999999999" customHeight="1" x14ac:dyDescent="0.45">
      <c r="B730" s="70"/>
    </row>
    <row r="731" spans="2:2" ht="17.399999999999999" customHeight="1" x14ac:dyDescent="0.45">
      <c r="B731" s="70"/>
    </row>
    <row r="732" spans="2:2" ht="17.399999999999999" customHeight="1" x14ac:dyDescent="0.45">
      <c r="B732" s="70"/>
    </row>
    <row r="733" spans="2:2" ht="17.399999999999999" customHeight="1" x14ac:dyDescent="0.45">
      <c r="B733" s="70"/>
    </row>
    <row r="734" spans="2:2" ht="17.399999999999999" customHeight="1" x14ac:dyDescent="0.45">
      <c r="B734" s="70"/>
    </row>
    <row r="735" spans="2:2" ht="17.399999999999999" customHeight="1" x14ac:dyDescent="0.45">
      <c r="B735" s="70"/>
    </row>
    <row r="736" spans="2:2" ht="17.399999999999999" customHeight="1" x14ac:dyDescent="0.45">
      <c r="B736" s="70"/>
    </row>
    <row r="737" spans="2:2" ht="17.399999999999999" customHeight="1" x14ac:dyDescent="0.45">
      <c r="B737" s="70"/>
    </row>
    <row r="738" spans="2:2" ht="17.399999999999999" customHeight="1" x14ac:dyDescent="0.45">
      <c r="B738" s="70"/>
    </row>
    <row r="739" spans="2:2" ht="17.399999999999999" customHeight="1" x14ac:dyDescent="0.45">
      <c r="B739" s="70"/>
    </row>
    <row r="740" spans="2:2" ht="17.399999999999999" customHeight="1" x14ac:dyDescent="0.45">
      <c r="B740" s="70"/>
    </row>
    <row r="741" spans="2:2" ht="17.399999999999999" customHeight="1" x14ac:dyDescent="0.45">
      <c r="B741" s="70"/>
    </row>
    <row r="742" spans="2:2" ht="17.399999999999999" customHeight="1" x14ac:dyDescent="0.45">
      <c r="B742" s="70"/>
    </row>
    <row r="743" spans="2:2" ht="17.399999999999999" customHeight="1" x14ac:dyDescent="0.45">
      <c r="B743" s="70"/>
    </row>
    <row r="744" spans="2:2" ht="17.399999999999999" customHeight="1" x14ac:dyDescent="0.45">
      <c r="B744" s="70"/>
    </row>
    <row r="745" spans="2:2" ht="17.399999999999999" customHeight="1" x14ac:dyDescent="0.45">
      <c r="B745" s="70"/>
    </row>
    <row r="746" spans="2:2" ht="17.399999999999999" customHeight="1" x14ac:dyDescent="0.45">
      <c r="B746" s="70"/>
    </row>
    <row r="747" spans="2:2" ht="17.399999999999999" customHeight="1" x14ac:dyDescent="0.45">
      <c r="B747" s="70"/>
    </row>
    <row r="748" spans="2:2" ht="17.399999999999999" customHeight="1" x14ac:dyDescent="0.45">
      <c r="B748" s="70"/>
    </row>
    <row r="749" spans="2:2" ht="17.399999999999999" customHeight="1" x14ac:dyDescent="0.45">
      <c r="B749" s="70"/>
    </row>
    <row r="750" spans="2:2" ht="17.399999999999999" customHeight="1" x14ac:dyDescent="0.45">
      <c r="B750" s="70"/>
    </row>
    <row r="751" spans="2:2" ht="17.399999999999999" customHeight="1" x14ac:dyDescent="0.45">
      <c r="B751" s="70"/>
    </row>
    <row r="752" spans="2:2" ht="17.399999999999999" customHeight="1" x14ac:dyDescent="0.45">
      <c r="B752" s="70"/>
    </row>
    <row r="753" spans="2:2" ht="17.399999999999999" customHeight="1" x14ac:dyDescent="0.45">
      <c r="B753" s="70"/>
    </row>
    <row r="754" spans="2:2" ht="17.399999999999999" customHeight="1" x14ac:dyDescent="0.45">
      <c r="B754" s="70"/>
    </row>
    <row r="755" spans="2:2" ht="17.399999999999999" customHeight="1" x14ac:dyDescent="0.45">
      <c r="B755" s="70"/>
    </row>
    <row r="756" spans="2:2" ht="17.399999999999999" customHeight="1" x14ac:dyDescent="0.45">
      <c r="B756" s="70"/>
    </row>
    <row r="757" spans="2:2" ht="17.399999999999999" customHeight="1" x14ac:dyDescent="0.45">
      <c r="B757" s="70"/>
    </row>
    <row r="758" spans="2:2" ht="17.399999999999999" customHeight="1" x14ac:dyDescent="0.45">
      <c r="B758" s="70"/>
    </row>
    <row r="759" spans="2:2" ht="17.399999999999999" customHeight="1" x14ac:dyDescent="0.45">
      <c r="B759" s="70"/>
    </row>
    <row r="760" spans="2:2" ht="17.399999999999999" customHeight="1" x14ac:dyDescent="0.45">
      <c r="B760" s="70"/>
    </row>
    <row r="761" spans="2:2" ht="17.399999999999999" customHeight="1" x14ac:dyDescent="0.45">
      <c r="B761" s="70"/>
    </row>
    <row r="762" spans="2:2" ht="17.399999999999999" customHeight="1" x14ac:dyDescent="0.45">
      <c r="B762" s="70"/>
    </row>
    <row r="763" spans="2:2" ht="17.399999999999999" customHeight="1" x14ac:dyDescent="0.45">
      <c r="B763" s="70"/>
    </row>
    <row r="764" spans="2:2" ht="17.399999999999999" customHeight="1" x14ac:dyDescent="0.45">
      <c r="B764" s="70"/>
    </row>
    <row r="765" spans="2:2" ht="17.399999999999999" customHeight="1" x14ac:dyDescent="0.45">
      <c r="B765" s="70"/>
    </row>
    <row r="766" spans="2:2" ht="17.399999999999999" customHeight="1" x14ac:dyDescent="0.45">
      <c r="B766" s="70"/>
    </row>
    <row r="767" spans="2:2" ht="17.399999999999999" customHeight="1" x14ac:dyDescent="0.45">
      <c r="B767" s="70"/>
    </row>
    <row r="768" spans="2:2" ht="17.399999999999999" customHeight="1" x14ac:dyDescent="0.45">
      <c r="B768" s="70"/>
    </row>
    <row r="769" spans="2:2" ht="17.399999999999999" customHeight="1" x14ac:dyDescent="0.45">
      <c r="B769" s="70"/>
    </row>
    <row r="770" spans="2:2" ht="17.399999999999999" customHeight="1" x14ac:dyDescent="0.45">
      <c r="B770" s="70"/>
    </row>
    <row r="771" spans="2:2" ht="17.399999999999999" customHeight="1" x14ac:dyDescent="0.45">
      <c r="B771" s="70"/>
    </row>
    <row r="772" spans="2:2" ht="17.399999999999999" customHeight="1" x14ac:dyDescent="0.45">
      <c r="B772" s="70"/>
    </row>
    <row r="773" spans="2:2" ht="17.399999999999999" customHeight="1" x14ac:dyDescent="0.45">
      <c r="B773" s="70"/>
    </row>
    <row r="774" spans="2:2" ht="17.399999999999999" customHeight="1" x14ac:dyDescent="0.45">
      <c r="B774" s="70"/>
    </row>
    <row r="775" spans="2:2" ht="17.399999999999999" customHeight="1" x14ac:dyDescent="0.45">
      <c r="B775" s="70"/>
    </row>
    <row r="776" spans="2:2" ht="17.399999999999999" customHeight="1" x14ac:dyDescent="0.45">
      <c r="B776" s="70"/>
    </row>
    <row r="777" spans="2:2" ht="17.399999999999999" customHeight="1" x14ac:dyDescent="0.45">
      <c r="B777" s="70"/>
    </row>
    <row r="778" spans="2:2" ht="17.399999999999999" customHeight="1" x14ac:dyDescent="0.45">
      <c r="B778" s="70"/>
    </row>
    <row r="779" spans="2:2" ht="17.399999999999999" customHeight="1" x14ac:dyDescent="0.45">
      <c r="B779" s="70"/>
    </row>
    <row r="780" spans="2:2" ht="17.399999999999999" customHeight="1" x14ac:dyDescent="0.45">
      <c r="B780" s="70"/>
    </row>
    <row r="781" spans="2:2" ht="17.399999999999999" customHeight="1" x14ac:dyDescent="0.45">
      <c r="B781" s="70"/>
    </row>
    <row r="782" spans="2:2" ht="17.399999999999999" customHeight="1" x14ac:dyDescent="0.45">
      <c r="B782" s="70"/>
    </row>
    <row r="783" spans="2:2" ht="17.399999999999999" customHeight="1" x14ac:dyDescent="0.45">
      <c r="B783" s="70"/>
    </row>
    <row r="784" spans="2:2" ht="17.399999999999999" customHeight="1" x14ac:dyDescent="0.45">
      <c r="B784" s="70"/>
    </row>
    <row r="785" spans="2:2" ht="17.399999999999999" customHeight="1" x14ac:dyDescent="0.45">
      <c r="B785" s="70"/>
    </row>
    <row r="786" spans="2:2" ht="17.399999999999999" customHeight="1" x14ac:dyDescent="0.45">
      <c r="B786" s="70"/>
    </row>
    <row r="787" spans="2:2" ht="17.399999999999999" customHeight="1" x14ac:dyDescent="0.45">
      <c r="B787" s="70"/>
    </row>
    <row r="788" spans="2:2" ht="17.399999999999999" customHeight="1" x14ac:dyDescent="0.45">
      <c r="B788" s="70"/>
    </row>
    <row r="789" spans="2:2" ht="17.399999999999999" customHeight="1" x14ac:dyDescent="0.45">
      <c r="B789" s="70"/>
    </row>
    <row r="790" spans="2:2" ht="17.399999999999999" customHeight="1" x14ac:dyDescent="0.45">
      <c r="B790" s="70"/>
    </row>
    <row r="791" spans="2:2" ht="17.399999999999999" customHeight="1" x14ac:dyDescent="0.45">
      <c r="B791" s="70"/>
    </row>
    <row r="792" spans="2:2" ht="17.399999999999999" customHeight="1" x14ac:dyDescent="0.45">
      <c r="B792" s="70"/>
    </row>
    <row r="793" spans="2:2" ht="17.399999999999999" customHeight="1" x14ac:dyDescent="0.45">
      <c r="B793" s="70"/>
    </row>
    <row r="794" spans="2:2" ht="17.399999999999999" customHeight="1" x14ac:dyDescent="0.45">
      <c r="B794" s="70"/>
    </row>
    <row r="795" spans="2:2" ht="17.399999999999999" customHeight="1" x14ac:dyDescent="0.45">
      <c r="B795" s="70"/>
    </row>
    <row r="796" spans="2:2" ht="17.399999999999999" customHeight="1" x14ac:dyDescent="0.45">
      <c r="B796" s="70"/>
    </row>
    <row r="797" spans="2:2" ht="17.399999999999999" customHeight="1" x14ac:dyDescent="0.45">
      <c r="B797" s="70"/>
    </row>
    <row r="798" spans="2:2" ht="17.399999999999999" customHeight="1" x14ac:dyDescent="0.45">
      <c r="B798" s="70"/>
    </row>
    <row r="799" spans="2:2" ht="17.399999999999999" customHeight="1" x14ac:dyDescent="0.45">
      <c r="B799" s="70"/>
    </row>
    <row r="800" spans="2:2" ht="17.399999999999999" customHeight="1" x14ac:dyDescent="0.45">
      <c r="B800" s="70"/>
    </row>
    <row r="801" spans="2:2" ht="17.399999999999999" customHeight="1" x14ac:dyDescent="0.45">
      <c r="B801" s="70"/>
    </row>
    <row r="802" spans="2:2" ht="17.399999999999999" customHeight="1" x14ac:dyDescent="0.45">
      <c r="B802" s="70"/>
    </row>
    <row r="803" spans="2:2" ht="17.399999999999999" customHeight="1" x14ac:dyDescent="0.45">
      <c r="B803" s="70"/>
    </row>
    <row r="804" spans="2:2" ht="17.399999999999999" customHeight="1" x14ac:dyDescent="0.45">
      <c r="B804" s="70"/>
    </row>
    <row r="805" spans="2:2" ht="17.399999999999999" customHeight="1" x14ac:dyDescent="0.45">
      <c r="B805" s="70"/>
    </row>
    <row r="806" spans="2:2" ht="17.399999999999999" customHeight="1" x14ac:dyDescent="0.45">
      <c r="B806" s="70"/>
    </row>
    <row r="807" spans="2:2" ht="17.399999999999999" customHeight="1" x14ac:dyDescent="0.45">
      <c r="B807" s="70"/>
    </row>
    <row r="808" spans="2:2" ht="17.399999999999999" customHeight="1" x14ac:dyDescent="0.45">
      <c r="B808" s="70"/>
    </row>
    <row r="809" spans="2:2" ht="17.399999999999999" customHeight="1" x14ac:dyDescent="0.45">
      <c r="B809" s="70"/>
    </row>
    <row r="810" spans="2:2" ht="17.399999999999999" customHeight="1" x14ac:dyDescent="0.45">
      <c r="B810" s="70"/>
    </row>
    <row r="811" spans="2:2" ht="17.399999999999999" customHeight="1" x14ac:dyDescent="0.45">
      <c r="B811" s="70"/>
    </row>
    <row r="812" spans="2:2" ht="17.399999999999999" customHeight="1" x14ac:dyDescent="0.45">
      <c r="B812" s="70"/>
    </row>
    <row r="813" spans="2:2" ht="17.399999999999999" customHeight="1" x14ac:dyDescent="0.45">
      <c r="B813" s="70"/>
    </row>
    <row r="814" spans="2:2" ht="17.399999999999999" customHeight="1" x14ac:dyDescent="0.45">
      <c r="B814" s="70"/>
    </row>
    <row r="815" spans="2:2" ht="17.399999999999999" customHeight="1" x14ac:dyDescent="0.45">
      <c r="B815" s="70"/>
    </row>
    <row r="816" spans="2:2" ht="17.399999999999999" customHeight="1" x14ac:dyDescent="0.45">
      <c r="B816" s="70"/>
    </row>
    <row r="817" spans="2:2" ht="17.399999999999999" customHeight="1" x14ac:dyDescent="0.45">
      <c r="B817" s="70"/>
    </row>
    <row r="818" spans="2:2" ht="17.399999999999999" customHeight="1" x14ac:dyDescent="0.45">
      <c r="B818" s="70"/>
    </row>
    <row r="819" spans="2:2" ht="17.399999999999999" customHeight="1" x14ac:dyDescent="0.45">
      <c r="B819" s="70"/>
    </row>
    <row r="820" spans="2:2" ht="17.399999999999999" customHeight="1" x14ac:dyDescent="0.45">
      <c r="B820" s="70"/>
    </row>
    <row r="821" spans="2:2" ht="17.399999999999999" customHeight="1" x14ac:dyDescent="0.45">
      <c r="B821" s="70"/>
    </row>
    <row r="822" spans="2:2" ht="17.399999999999999" customHeight="1" x14ac:dyDescent="0.45">
      <c r="B822" s="70"/>
    </row>
    <row r="823" spans="2:2" ht="17.399999999999999" customHeight="1" x14ac:dyDescent="0.45">
      <c r="B823" s="70"/>
    </row>
    <row r="824" spans="2:2" ht="17.399999999999999" customHeight="1" x14ac:dyDescent="0.45">
      <c r="B824" s="70"/>
    </row>
    <row r="825" spans="2:2" ht="17.399999999999999" customHeight="1" x14ac:dyDescent="0.45">
      <c r="B825" s="70"/>
    </row>
    <row r="826" spans="2:2" ht="17.399999999999999" customHeight="1" x14ac:dyDescent="0.45">
      <c r="B826" s="70"/>
    </row>
    <row r="827" spans="2:2" ht="17.399999999999999" customHeight="1" x14ac:dyDescent="0.45">
      <c r="B827" s="70"/>
    </row>
    <row r="828" spans="2:2" ht="17.399999999999999" customHeight="1" x14ac:dyDescent="0.45">
      <c r="B828" s="70"/>
    </row>
    <row r="829" spans="2:2" ht="17.399999999999999" customHeight="1" x14ac:dyDescent="0.45">
      <c r="B829" s="70"/>
    </row>
    <row r="830" spans="2:2" ht="17.399999999999999" customHeight="1" x14ac:dyDescent="0.45">
      <c r="B830" s="70"/>
    </row>
    <row r="831" spans="2:2" ht="17.399999999999999" customHeight="1" x14ac:dyDescent="0.45">
      <c r="B831" s="70"/>
    </row>
    <row r="832" spans="2:2" ht="17.399999999999999" customHeight="1" x14ac:dyDescent="0.45">
      <c r="B832" s="70"/>
    </row>
    <row r="833" spans="2:2" ht="17.399999999999999" customHeight="1" x14ac:dyDescent="0.45">
      <c r="B833" s="70"/>
    </row>
    <row r="834" spans="2:2" ht="17.399999999999999" customHeight="1" x14ac:dyDescent="0.45">
      <c r="B834" s="70"/>
    </row>
    <row r="835" spans="2:2" ht="17.399999999999999" customHeight="1" x14ac:dyDescent="0.45">
      <c r="B835" s="70"/>
    </row>
    <row r="836" spans="2:2" ht="17.399999999999999" customHeight="1" x14ac:dyDescent="0.45">
      <c r="B836" s="70"/>
    </row>
    <row r="837" spans="2:2" ht="17.399999999999999" customHeight="1" x14ac:dyDescent="0.45">
      <c r="B837" s="70"/>
    </row>
    <row r="838" spans="2:2" ht="17.399999999999999" customHeight="1" x14ac:dyDescent="0.45">
      <c r="B838" s="70"/>
    </row>
    <row r="839" spans="2:2" ht="17.399999999999999" customHeight="1" x14ac:dyDescent="0.45">
      <c r="B839" s="70"/>
    </row>
    <row r="840" spans="2:2" ht="17.399999999999999" customHeight="1" x14ac:dyDescent="0.45">
      <c r="B840" s="70"/>
    </row>
    <row r="841" spans="2:2" ht="17.399999999999999" customHeight="1" x14ac:dyDescent="0.45">
      <c r="B841" s="70"/>
    </row>
    <row r="842" spans="2:2" ht="17.399999999999999" customHeight="1" x14ac:dyDescent="0.45">
      <c r="B842" s="70"/>
    </row>
    <row r="843" spans="2:2" ht="17.399999999999999" customHeight="1" x14ac:dyDescent="0.45">
      <c r="B843" s="70"/>
    </row>
    <row r="844" spans="2:2" ht="17.399999999999999" customHeight="1" x14ac:dyDescent="0.45">
      <c r="B844" s="70"/>
    </row>
    <row r="845" spans="2:2" ht="17.399999999999999" customHeight="1" x14ac:dyDescent="0.45">
      <c r="B845" s="70"/>
    </row>
    <row r="846" spans="2:2" ht="17.399999999999999" customHeight="1" x14ac:dyDescent="0.45">
      <c r="B846" s="70"/>
    </row>
    <row r="847" spans="2:2" ht="17.399999999999999" customHeight="1" x14ac:dyDescent="0.45">
      <c r="B847" s="70"/>
    </row>
    <row r="848" spans="2:2" ht="17.399999999999999" customHeight="1" x14ac:dyDescent="0.45">
      <c r="B848" s="70"/>
    </row>
    <row r="849" spans="2:2" ht="17.399999999999999" customHeight="1" x14ac:dyDescent="0.45">
      <c r="B849" s="70"/>
    </row>
    <row r="850" spans="2:2" ht="17.399999999999999" customHeight="1" x14ac:dyDescent="0.45">
      <c r="B850" s="70"/>
    </row>
    <row r="851" spans="2:2" ht="17.399999999999999" customHeight="1" x14ac:dyDescent="0.45">
      <c r="B851" s="70"/>
    </row>
    <row r="852" spans="2:2" ht="17.399999999999999" customHeight="1" x14ac:dyDescent="0.45">
      <c r="B852" s="70"/>
    </row>
    <row r="853" spans="2:2" ht="17.399999999999999" customHeight="1" x14ac:dyDescent="0.45">
      <c r="B853" s="70"/>
    </row>
    <row r="854" spans="2:2" ht="17.399999999999999" customHeight="1" x14ac:dyDescent="0.45">
      <c r="B854" s="70"/>
    </row>
    <row r="855" spans="2:2" ht="17.399999999999999" customHeight="1" x14ac:dyDescent="0.45">
      <c r="B855" s="70"/>
    </row>
    <row r="856" spans="2:2" ht="17.399999999999999" customHeight="1" x14ac:dyDescent="0.45">
      <c r="B856" s="70"/>
    </row>
    <row r="857" spans="2:2" ht="17.399999999999999" customHeight="1" x14ac:dyDescent="0.45">
      <c r="B857" s="70"/>
    </row>
    <row r="858" spans="2:2" ht="17.399999999999999" customHeight="1" x14ac:dyDescent="0.45">
      <c r="B858" s="70"/>
    </row>
    <row r="859" spans="2:2" ht="17.399999999999999" customHeight="1" x14ac:dyDescent="0.45">
      <c r="B859" s="70"/>
    </row>
    <row r="860" spans="2:2" ht="17.399999999999999" customHeight="1" x14ac:dyDescent="0.45">
      <c r="B860" s="70"/>
    </row>
    <row r="861" spans="2:2" ht="17.399999999999999" customHeight="1" x14ac:dyDescent="0.45">
      <c r="B861" s="70"/>
    </row>
    <row r="862" spans="2:2" ht="17.399999999999999" customHeight="1" x14ac:dyDescent="0.45">
      <c r="B862" s="70"/>
    </row>
    <row r="863" spans="2:2" ht="17.399999999999999" customHeight="1" x14ac:dyDescent="0.45">
      <c r="B863" s="70"/>
    </row>
    <row r="864" spans="2:2" ht="17.399999999999999" customHeight="1" x14ac:dyDescent="0.45">
      <c r="B864" s="70"/>
    </row>
    <row r="865" spans="2:2" ht="17.399999999999999" customHeight="1" x14ac:dyDescent="0.45">
      <c r="B865" s="70"/>
    </row>
    <row r="866" spans="2:2" ht="17.399999999999999" customHeight="1" x14ac:dyDescent="0.45">
      <c r="B866" s="70"/>
    </row>
    <row r="867" spans="2:2" ht="17.399999999999999" customHeight="1" x14ac:dyDescent="0.45">
      <c r="B867" s="70"/>
    </row>
    <row r="868" spans="2:2" ht="17.399999999999999" customHeight="1" x14ac:dyDescent="0.45">
      <c r="B868" s="70"/>
    </row>
    <row r="869" spans="2:2" ht="17.399999999999999" customHeight="1" x14ac:dyDescent="0.45">
      <c r="B869" s="70"/>
    </row>
    <row r="870" spans="2:2" ht="17.399999999999999" customHeight="1" x14ac:dyDescent="0.45">
      <c r="B870" s="70"/>
    </row>
    <row r="871" spans="2:2" ht="17.399999999999999" customHeight="1" x14ac:dyDescent="0.45">
      <c r="B871" s="70"/>
    </row>
    <row r="872" spans="2:2" ht="17.399999999999999" customHeight="1" x14ac:dyDescent="0.45">
      <c r="B872" s="70"/>
    </row>
    <row r="873" spans="2:2" ht="17.399999999999999" customHeight="1" x14ac:dyDescent="0.45">
      <c r="B873" s="70"/>
    </row>
    <row r="874" spans="2:2" ht="17.399999999999999" customHeight="1" x14ac:dyDescent="0.45">
      <c r="B874" s="70"/>
    </row>
    <row r="875" spans="2:2" ht="17.399999999999999" customHeight="1" x14ac:dyDescent="0.45">
      <c r="B875" s="70"/>
    </row>
    <row r="876" spans="2:2" ht="17.399999999999999" customHeight="1" x14ac:dyDescent="0.45">
      <c r="B876" s="70"/>
    </row>
    <row r="877" spans="2:2" ht="17.399999999999999" customHeight="1" x14ac:dyDescent="0.45">
      <c r="B877" s="70"/>
    </row>
    <row r="878" spans="2:2" ht="17.399999999999999" customHeight="1" x14ac:dyDescent="0.45">
      <c r="B878" s="70"/>
    </row>
    <row r="879" spans="2:2" ht="17.399999999999999" customHeight="1" x14ac:dyDescent="0.45">
      <c r="B879" s="70"/>
    </row>
    <row r="880" spans="2:2" ht="17.399999999999999" customHeight="1" x14ac:dyDescent="0.45">
      <c r="B880" s="70"/>
    </row>
    <row r="881" spans="2:2" ht="17.399999999999999" customHeight="1" x14ac:dyDescent="0.45">
      <c r="B881" s="70"/>
    </row>
    <row r="882" spans="2:2" ht="17.399999999999999" customHeight="1" x14ac:dyDescent="0.45">
      <c r="B882" s="70"/>
    </row>
    <row r="883" spans="2:2" ht="17.399999999999999" customHeight="1" x14ac:dyDescent="0.45">
      <c r="B883" s="70"/>
    </row>
    <row r="884" spans="2:2" ht="17.399999999999999" customHeight="1" x14ac:dyDescent="0.45">
      <c r="B884" s="70"/>
    </row>
    <row r="885" spans="2:2" ht="17.399999999999999" customHeight="1" x14ac:dyDescent="0.45">
      <c r="B885" s="70"/>
    </row>
    <row r="886" spans="2:2" ht="17.399999999999999" customHeight="1" x14ac:dyDescent="0.45">
      <c r="B886" s="70"/>
    </row>
    <row r="887" spans="2:2" ht="17.399999999999999" customHeight="1" x14ac:dyDescent="0.45">
      <c r="B887" s="70"/>
    </row>
    <row r="888" spans="2:2" ht="17.399999999999999" customHeight="1" x14ac:dyDescent="0.45">
      <c r="B888" s="70"/>
    </row>
    <row r="889" spans="2:2" ht="17.399999999999999" customHeight="1" x14ac:dyDescent="0.45">
      <c r="B889" s="70"/>
    </row>
    <row r="890" spans="2:2" ht="17.399999999999999" customHeight="1" x14ac:dyDescent="0.45">
      <c r="B890" s="70"/>
    </row>
    <row r="891" spans="2:2" ht="17.399999999999999" customHeight="1" x14ac:dyDescent="0.45">
      <c r="B891" s="70"/>
    </row>
    <row r="892" spans="2:2" ht="17.399999999999999" customHeight="1" x14ac:dyDescent="0.45">
      <c r="B892" s="70"/>
    </row>
    <row r="893" spans="2:2" ht="17.399999999999999" customHeight="1" x14ac:dyDescent="0.45">
      <c r="B893" s="70"/>
    </row>
    <row r="894" spans="2:2" ht="17.399999999999999" customHeight="1" x14ac:dyDescent="0.45">
      <c r="B894" s="70"/>
    </row>
    <row r="895" spans="2:2" ht="17.399999999999999" customHeight="1" x14ac:dyDescent="0.45">
      <c r="B895" s="70"/>
    </row>
    <row r="896" spans="2:2" ht="17.399999999999999" customHeight="1" x14ac:dyDescent="0.45">
      <c r="B896" s="70"/>
    </row>
    <row r="897" spans="2:2" ht="17.399999999999999" customHeight="1" x14ac:dyDescent="0.45">
      <c r="B897" s="70"/>
    </row>
    <row r="898" spans="2:2" ht="17.399999999999999" customHeight="1" x14ac:dyDescent="0.45">
      <c r="B898" s="70"/>
    </row>
    <row r="899" spans="2:2" ht="17.399999999999999" customHeight="1" x14ac:dyDescent="0.45">
      <c r="B899" s="70"/>
    </row>
    <row r="900" spans="2:2" ht="17.399999999999999" customHeight="1" x14ac:dyDescent="0.45">
      <c r="B900" s="70"/>
    </row>
    <row r="901" spans="2:2" ht="17.399999999999999" customHeight="1" x14ac:dyDescent="0.45">
      <c r="B901" s="70"/>
    </row>
    <row r="902" spans="2:2" ht="17.399999999999999" customHeight="1" x14ac:dyDescent="0.45">
      <c r="B902" s="70"/>
    </row>
    <row r="903" spans="2:2" ht="17.399999999999999" customHeight="1" x14ac:dyDescent="0.45">
      <c r="B903" s="70"/>
    </row>
    <row r="904" spans="2:2" ht="17.399999999999999" customHeight="1" x14ac:dyDescent="0.45">
      <c r="B904" s="70"/>
    </row>
    <row r="905" spans="2:2" ht="17.399999999999999" customHeight="1" x14ac:dyDescent="0.45">
      <c r="B905" s="70"/>
    </row>
    <row r="906" spans="2:2" ht="17.399999999999999" customHeight="1" x14ac:dyDescent="0.45">
      <c r="B906" s="70"/>
    </row>
    <row r="907" spans="2:2" ht="17.399999999999999" customHeight="1" x14ac:dyDescent="0.45">
      <c r="B907" s="70"/>
    </row>
    <row r="908" spans="2:2" ht="17.399999999999999" customHeight="1" x14ac:dyDescent="0.45">
      <c r="B908" s="70"/>
    </row>
    <row r="909" spans="2:2" ht="17.399999999999999" customHeight="1" x14ac:dyDescent="0.45">
      <c r="B909" s="70"/>
    </row>
    <row r="910" spans="2:2" ht="17.399999999999999" customHeight="1" x14ac:dyDescent="0.45">
      <c r="B910" s="70"/>
    </row>
    <row r="911" spans="2:2" ht="17.399999999999999" customHeight="1" x14ac:dyDescent="0.45">
      <c r="B911" s="70"/>
    </row>
    <row r="912" spans="2:2" ht="17.399999999999999" customHeight="1" x14ac:dyDescent="0.45">
      <c r="B912" s="70"/>
    </row>
    <row r="913" spans="2:2" ht="17.399999999999999" customHeight="1" x14ac:dyDescent="0.45">
      <c r="B913" s="70"/>
    </row>
    <row r="914" spans="2:2" ht="17.399999999999999" customHeight="1" x14ac:dyDescent="0.45">
      <c r="B914" s="70"/>
    </row>
    <row r="915" spans="2:2" ht="17.399999999999999" customHeight="1" x14ac:dyDescent="0.45">
      <c r="B915" s="70"/>
    </row>
    <row r="916" spans="2:2" ht="17.399999999999999" customHeight="1" x14ac:dyDescent="0.45">
      <c r="B916" s="70"/>
    </row>
    <row r="917" spans="2:2" ht="17.399999999999999" customHeight="1" x14ac:dyDescent="0.45">
      <c r="B917" s="70"/>
    </row>
    <row r="918" spans="2:2" ht="17.399999999999999" customHeight="1" x14ac:dyDescent="0.45">
      <c r="B918" s="70"/>
    </row>
    <row r="919" spans="2:2" ht="17.399999999999999" customHeight="1" x14ac:dyDescent="0.45">
      <c r="B919" s="70"/>
    </row>
    <row r="920" spans="2:2" ht="17.399999999999999" customHeight="1" x14ac:dyDescent="0.45">
      <c r="B920" s="70"/>
    </row>
    <row r="921" spans="2:2" ht="17.399999999999999" customHeight="1" x14ac:dyDescent="0.45">
      <c r="B921" s="70"/>
    </row>
    <row r="922" spans="2:2" ht="17.399999999999999" customHeight="1" x14ac:dyDescent="0.45">
      <c r="B922" s="70"/>
    </row>
    <row r="923" spans="2:2" ht="17.399999999999999" customHeight="1" x14ac:dyDescent="0.45">
      <c r="B923" s="70"/>
    </row>
    <row r="924" spans="2:2" ht="17.399999999999999" customHeight="1" x14ac:dyDescent="0.45">
      <c r="B924" s="70"/>
    </row>
    <row r="925" spans="2:2" ht="17.399999999999999" customHeight="1" x14ac:dyDescent="0.45">
      <c r="B925" s="70"/>
    </row>
    <row r="926" spans="2:2" ht="17.399999999999999" customHeight="1" x14ac:dyDescent="0.45">
      <c r="B926" s="70"/>
    </row>
    <row r="927" spans="2:2" ht="17.399999999999999" customHeight="1" x14ac:dyDescent="0.45">
      <c r="B927" s="70"/>
    </row>
    <row r="928" spans="2:2" ht="17.399999999999999" customHeight="1" x14ac:dyDescent="0.45">
      <c r="B928" s="70"/>
    </row>
    <row r="929" spans="2:2" ht="17.399999999999999" customHeight="1" x14ac:dyDescent="0.45">
      <c r="B929" s="70"/>
    </row>
    <row r="930" spans="2:2" ht="17.399999999999999" customHeight="1" x14ac:dyDescent="0.45">
      <c r="B930" s="70"/>
    </row>
    <row r="931" spans="2:2" ht="17.399999999999999" customHeight="1" x14ac:dyDescent="0.45">
      <c r="B931" s="70"/>
    </row>
    <row r="932" spans="2:2" ht="17.399999999999999" customHeight="1" x14ac:dyDescent="0.45">
      <c r="B932" s="70"/>
    </row>
    <row r="933" spans="2:2" ht="17.399999999999999" customHeight="1" x14ac:dyDescent="0.45">
      <c r="B933" s="70"/>
    </row>
    <row r="934" spans="2:2" ht="17.399999999999999" customHeight="1" x14ac:dyDescent="0.45">
      <c r="B934" s="70"/>
    </row>
    <row r="935" spans="2:2" ht="17.399999999999999" customHeight="1" x14ac:dyDescent="0.45">
      <c r="B935" s="70"/>
    </row>
    <row r="936" spans="2:2" ht="17.399999999999999" customHeight="1" x14ac:dyDescent="0.45">
      <c r="B936" s="70"/>
    </row>
    <row r="937" spans="2:2" ht="17.399999999999999" customHeight="1" x14ac:dyDescent="0.45">
      <c r="B937" s="70"/>
    </row>
    <row r="938" spans="2:2" ht="17.399999999999999" customHeight="1" x14ac:dyDescent="0.45">
      <c r="B938" s="70"/>
    </row>
    <row r="939" spans="2:2" ht="17.399999999999999" customHeight="1" x14ac:dyDescent="0.45">
      <c r="B939" s="70"/>
    </row>
    <row r="940" spans="2:2" ht="17.399999999999999" customHeight="1" x14ac:dyDescent="0.45">
      <c r="B940" s="70"/>
    </row>
    <row r="941" spans="2:2" ht="17.399999999999999" customHeight="1" x14ac:dyDescent="0.45">
      <c r="B941" s="70"/>
    </row>
    <row r="942" spans="2:2" ht="17.399999999999999" customHeight="1" x14ac:dyDescent="0.45">
      <c r="B942" s="70"/>
    </row>
    <row r="943" spans="2:2" ht="17.399999999999999" customHeight="1" x14ac:dyDescent="0.45">
      <c r="B943" s="70"/>
    </row>
    <row r="944" spans="2:2" ht="17.399999999999999" customHeight="1" x14ac:dyDescent="0.45">
      <c r="B944" s="70"/>
    </row>
    <row r="945" spans="2:2" ht="17.399999999999999" customHeight="1" x14ac:dyDescent="0.45">
      <c r="B945" s="70"/>
    </row>
    <row r="946" spans="2:2" ht="17.399999999999999" customHeight="1" x14ac:dyDescent="0.45">
      <c r="B946" s="70"/>
    </row>
    <row r="947" spans="2:2" ht="17.399999999999999" customHeight="1" x14ac:dyDescent="0.45">
      <c r="B947" s="70"/>
    </row>
    <row r="948" spans="2:2" ht="17.399999999999999" customHeight="1" x14ac:dyDescent="0.45">
      <c r="B948" s="70"/>
    </row>
    <row r="949" spans="2:2" ht="17.399999999999999" customHeight="1" x14ac:dyDescent="0.45">
      <c r="B949" s="70"/>
    </row>
    <row r="950" spans="2:2" ht="17.399999999999999" customHeight="1" x14ac:dyDescent="0.45">
      <c r="B950" s="70"/>
    </row>
    <row r="951" spans="2:2" ht="17.399999999999999" customHeight="1" x14ac:dyDescent="0.45">
      <c r="B951" s="70"/>
    </row>
    <row r="952" spans="2:2" ht="17.399999999999999" customHeight="1" x14ac:dyDescent="0.45">
      <c r="B952" s="70"/>
    </row>
    <row r="953" spans="2:2" ht="17.399999999999999" customHeight="1" x14ac:dyDescent="0.45">
      <c r="B953" s="70"/>
    </row>
    <row r="954" spans="2:2" ht="17.399999999999999" customHeight="1" x14ac:dyDescent="0.45">
      <c r="B954" s="70"/>
    </row>
    <row r="955" spans="2:2" ht="17.399999999999999" customHeight="1" x14ac:dyDescent="0.45">
      <c r="B955" s="70"/>
    </row>
    <row r="956" spans="2:2" ht="17.399999999999999" customHeight="1" x14ac:dyDescent="0.45">
      <c r="B956" s="70"/>
    </row>
    <row r="957" spans="2:2" ht="17.399999999999999" customHeight="1" x14ac:dyDescent="0.45">
      <c r="B957" s="70"/>
    </row>
    <row r="958" spans="2:2" ht="17.399999999999999" customHeight="1" x14ac:dyDescent="0.45">
      <c r="B958" s="70"/>
    </row>
    <row r="959" spans="2:2" ht="17.399999999999999" customHeight="1" x14ac:dyDescent="0.45">
      <c r="B959" s="70"/>
    </row>
    <row r="960" spans="2:2" ht="17.399999999999999" customHeight="1" x14ac:dyDescent="0.45">
      <c r="B960" s="70"/>
    </row>
    <row r="961" spans="2:2" ht="17.399999999999999" customHeight="1" x14ac:dyDescent="0.45">
      <c r="B961" s="70"/>
    </row>
    <row r="962" spans="2:2" ht="17.399999999999999" customHeight="1" x14ac:dyDescent="0.45">
      <c r="B962" s="70"/>
    </row>
    <row r="963" spans="2:2" ht="17.399999999999999" customHeight="1" x14ac:dyDescent="0.45">
      <c r="B963" s="70"/>
    </row>
    <row r="964" spans="2:2" ht="17.399999999999999" customHeight="1" x14ac:dyDescent="0.45">
      <c r="B964" s="70"/>
    </row>
    <row r="965" spans="2:2" ht="17.399999999999999" customHeight="1" x14ac:dyDescent="0.45">
      <c r="B965" s="70"/>
    </row>
    <row r="966" spans="2:2" ht="17.399999999999999" customHeight="1" x14ac:dyDescent="0.45">
      <c r="B966" s="70"/>
    </row>
    <row r="967" spans="2:2" ht="17.399999999999999" customHeight="1" x14ac:dyDescent="0.45">
      <c r="B967" s="70"/>
    </row>
    <row r="968" spans="2:2" ht="17.399999999999999" customHeight="1" x14ac:dyDescent="0.45">
      <c r="B968" s="70"/>
    </row>
    <row r="969" spans="2:2" ht="17.399999999999999" customHeight="1" x14ac:dyDescent="0.45">
      <c r="B969" s="70"/>
    </row>
    <row r="970" spans="2:2" ht="17.399999999999999" customHeight="1" x14ac:dyDescent="0.45">
      <c r="B970" s="70"/>
    </row>
    <row r="971" spans="2:2" ht="17.399999999999999" customHeight="1" x14ac:dyDescent="0.45">
      <c r="B971" s="70"/>
    </row>
    <row r="972" spans="2:2" ht="17.399999999999999" customHeight="1" x14ac:dyDescent="0.45">
      <c r="B972" s="70"/>
    </row>
    <row r="973" spans="2:2" ht="17.399999999999999" customHeight="1" x14ac:dyDescent="0.45">
      <c r="B973" s="70"/>
    </row>
    <row r="974" spans="2:2" ht="17.399999999999999" customHeight="1" x14ac:dyDescent="0.45">
      <c r="B974" s="70"/>
    </row>
    <row r="975" spans="2:2" ht="17.399999999999999" customHeight="1" x14ac:dyDescent="0.45">
      <c r="B975" s="70"/>
    </row>
    <row r="976" spans="2:2" ht="17.399999999999999" customHeight="1" x14ac:dyDescent="0.45">
      <c r="B976" s="70"/>
    </row>
    <row r="977" spans="2:2" ht="17.399999999999999" customHeight="1" x14ac:dyDescent="0.45">
      <c r="B977" s="70"/>
    </row>
    <row r="978" spans="2:2" ht="17.399999999999999" customHeight="1" x14ac:dyDescent="0.45">
      <c r="B978" s="70"/>
    </row>
    <row r="979" spans="2:2" ht="17.399999999999999" customHeight="1" x14ac:dyDescent="0.45">
      <c r="B979" s="70"/>
    </row>
    <row r="980" spans="2:2" ht="17.399999999999999" customHeight="1" x14ac:dyDescent="0.45">
      <c r="B980" s="70"/>
    </row>
    <row r="981" spans="2:2" ht="17.399999999999999" customHeight="1" x14ac:dyDescent="0.45">
      <c r="B981" s="70"/>
    </row>
    <row r="982" spans="2:2" ht="17.399999999999999" customHeight="1" x14ac:dyDescent="0.45">
      <c r="B982" s="70"/>
    </row>
    <row r="983" spans="2:2" ht="17.399999999999999" customHeight="1" x14ac:dyDescent="0.45">
      <c r="B983" s="70"/>
    </row>
    <row r="984" spans="2:2" ht="17.399999999999999" customHeight="1" x14ac:dyDescent="0.45">
      <c r="B984" s="70"/>
    </row>
    <row r="985" spans="2:2" ht="17.399999999999999" customHeight="1" x14ac:dyDescent="0.45">
      <c r="B985" s="70"/>
    </row>
    <row r="986" spans="2:2" ht="17.399999999999999" customHeight="1" x14ac:dyDescent="0.45">
      <c r="B986" s="70"/>
    </row>
    <row r="987" spans="2:2" ht="17.399999999999999" customHeight="1" x14ac:dyDescent="0.45">
      <c r="B987" s="70"/>
    </row>
    <row r="988" spans="2:2" ht="17.399999999999999" customHeight="1" x14ac:dyDescent="0.45">
      <c r="B988" s="70"/>
    </row>
    <row r="989" spans="2:2" ht="17.399999999999999" customHeight="1" x14ac:dyDescent="0.45">
      <c r="B989" s="70"/>
    </row>
    <row r="990" spans="2:2" ht="17.399999999999999" customHeight="1" x14ac:dyDescent="0.45">
      <c r="B990" s="70"/>
    </row>
    <row r="991" spans="2:2" ht="17.399999999999999" customHeight="1" x14ac:dyDescent="0.45">
      <c r="B991" s="70"/>
    </row>
    <row r="992" spans="2:2" ht="17.399999999999999" customHeight="1" x14ac:dyDescent="0.45">
      <c r="B992" s="70"/>
    </row>
    <row r="993" spans="2:2" ht="17.399999999999999" customHeight="1" x14ac:dyDescent="0.45">
      <c r="B993" s="70"/>
    </row>
    <row r="994" spans="2:2" ht="17.399999999999999" customHeight="1" x14ac:dyDescent="0.45">
      <c r="B994" s="70"/>
    </row>
    <row r="995" spans="2:2" ht="17.399999999999999" customHeight="1" x14ac:dyDescent="0.45">
      <c r="B995" s="70"/>
    </row>
    <row r="996" spans="2:2" ht="17.399999999999999" customHeight="1" x14ac:dyDescent="0.45">
      <c r="B996" s="70"/>
    </row>
    <row r="997" spans="2:2" ht="17.399999999999999" customHeight="1" x14ac:dyDescent="0.45">
      <c r="B997" s="70"/>
    </row>
    <row r="998" spans="2:2" ht="17.399999999999999" customHeight="1" x14ac:dyDescent="0.45">
      <c r="B998" s="70"/>
    </row>
    <row r="999" spans="2:2" ht="17.399999999999999" customHeight="1" x14ac:dyDescent="0.45">
      <c r="B999" s="70"/>
    </row>
    <row r="1000" spans="2:2" ht="17.399999999999999" customHeight="1" x14ac:dyDescent="0.45">
      <c r="B1000" s="70"/>
    </row>
    <row r="1001" spans="2:2" ht="17.399999999999999" customHeight="1" x14ac:dyDescent="0.45">
      <c r="B1001" s="70"/>
    </row>
    <row r="1002" spans="2:2" ht="17.399999999999999" customHeight="1" x14ac:dyDescent="0.45">
      <c r="B1002" s="70"/>
    </row>
    <row r="1003" spans="2:2" ht="17.399999999999999" customHeight="1" x14ac:dyDescent="0.45">
      <c r="B1003" s="70"/>
    </row>
    <row r="1004" spans="2:2" ht="17.399999999999999" customHeight="1" x14ac:dyDescent="0.45">
      <c r="B1004" s="70"/>
    </row>
    <row r="1005" spans="2:2" ht="17.399999999999999" customHeight="1" x14ac:dyDescent="0.45">
      <c r="B1005" s="70"/>
    </row>
    <row r="1006" spans="2:2" ht="17.399999999999999" customHeight="1" x14ac:dyDescent="0.45">
      <c r="B1006" s="70"/>
    </row>
    <row r="1007" spans="2:2" ht="17.399999999999999" customHeight="1" x14ac:dyDescent="0.45">
      <c r="B1007" s="70"/>
    </row>
    <row r="1008" spans="2:2" ht="17.399999999999999" customHeight="1" x14ac:dyDescent="0.45">
      <c r="B1008" s="70"/>
    </row>
    <row r="1009" spans="2:2" ht="17.399999999999999" customHeight="1" x14ac:dyDescent="0.45">
      <c r="B1009" s="70"/>
    </row>
    <row r="1010" spans="2:2" ht="17.399999999999999" customHeight="1" x14ac:dyDescent="0.45">
      <c r="B1010" s="70"/>
    </row>
    <row r="1011" spans="2:2" ht="17.399999999999999" customHeight="1" x14ac:dyDescent="0.45">
      <c r="B1011" s="70"/>
    </row>
    <row r="1012" spans="2:2" ht="17.399999999999999" customHeight="1" x14ac:dyDescent="0.45">
      <c r="B1012" s="70"/>
    </row>
    <row r="1013" spans="2:2" ht="17.399999999999999" customHeight="1" x14ac:dyDescent="0.45">
      <c r="B1013" s="70"/>
    </row>
    <row r="1014" spans="2:2" ht="17.399999999999999" customHeight="1" x14ac:dyDescent="0.45">
      <c r="B1014" s="70"/>
    </row>
    <row r="1015" spans="2:2" ht="17.399999999999999" customHeight="1" x14ac:dyDescent="0.45">
      <c r="B1015" s="70"/>
    </row>
  </sheetData>
  <mergeCells count="2">
    <mergeCell ref="J3:K3"/>
    <mergeCell ref="J10:K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F7074-E1D5-478B-9AB8-B2D94404149C}">
  <sheetPr codeName="Sheet6"/>
  <dimension ref="A1:P32"/>
  <sheetViews>
    <sheetView zoomScale="107" zoomScaleNormal="130" workbookViewId="0">
      <selection activeCell="H7" sqref="H7"/>
    </sheetView>
  </sheetViews>
  <sheetFormatPr defaultColWidth="8.1640625" defaultRowHeight="14.5" x14ac:dyDescent="0.35"/>
  <cols>
    <col min="1" max="1" width="8.1640625" style="77"/>
    <col min="2" max="2" width="11.9140625" style="77" customWidth="1"/>
    <col min="3" max="3" width="8.1640625" style="77"/>
    <col min="4" max="4" width="8.6640625" style="77" customWidth="1"/>
    <col min="5" max="5" width="8.33203125" style="77" customWidth="1"/>
    <col min="6" max="6" width="5" style="77" customWidth="1"/>
    <col min="7" max="7" width="8.1640625" style="77"/>
    <col min="8" max="8" width="11.1640625" style="77" customWidth="1"/>
    <col min="9" max="9" width="8.75" style="77" customWidth="1"/>
    <col min="10" max="10" width="8.1640625" style="77"/>
    <col min="11" max="11" width="10.6640625" style="93" customWidth="1"/>
    <col min="12" max="12" width="10.6640625" style="77" customWidth="1"/>
    <col min="13" max="13" width="12" style="92" customWidth="1"/>
    <col min="14" max="14" width="5.33203125" style="77" customWidth="1"/>
    <col min="15" max="15" width="9.33203125" style="77" customWidth="1"/>
    <col min="16" max="16" width="15.58203125" style="77" customWidth="1"/>
    <col min="17" max="16384" width="8.1640625" style="77"/>
  </cols>
  <sheetData>
    <row r="1" spans="1:16" ht="45" customHeight="1" x14ac:dyDescent="0.35">
      <c r="A1" s="72" t="s">
        <v>303</v>
      </c>
      <c r="B1" s="73" t="s">
        <v>304</v>
      </c>
      <c r="C1" s="73" t="s">
        <v>305</v>
      </c>
      <c r="D1" s="73" t="s">
        <v>306</v>
      </c>
      <c r="E1" s="73" t="s">
        <v>307</v>
      </c>
      <c r="F1" s="73" t="s">
        <v>308</v>
      </c>
      <c r="G1" s="73" t="s">
        <v>262</v>
      </c>
      <c r="H1" s="74" t="s">
        <v>382</v>
      </c>
      <c r="I1" s="75" t="s">
        <v>383</v>
      </c>
      <c r="J1" s="75" t="s">
        <v>384</v>
      </c>
      <c r="K1" s="76" t="s">
        <v>385</v>
      </c>
      <c r="L1" s="75" t="s">
        <v>386</v>
      </c>
      <c r="M1" s="75" t="s">
        <v>387</v>
      </c>
    </row>
    <row r="2" spans="1:16" ht="15.5" x14ac:dyDescent="0.35">
      <c r="A2" s="78">
        <v>45167</v>
      </c>
      <c r="B2" s="79" t="s">
        <v>322</v>
      </c>
      <c r="C2" s="79" t="s">
        <v>332</v>
      </c>
      <c r="D2" s="79" t="s">
        <v>315</v>
      </c>
      <c r="E2" s="79" t="s">
        <v>388</v>
      </c>
      <c r="F2" s="79">
        <v>36</v>
      </c>
      <c r="G2" s="80">
        <v>12</v>
      </c>
      <c r="H2" s="81">
        <f>F2*G2</f>
        <v>432</v>
      </c>
      <c r="I2" s="82" cm="1">
        <f t="array" ref="I2">_xlfn.IFS(C2=$O$5,$P$5,C2=$O$6,$P$6,C2=$O$7,$P$7,C2=$O$8,$P$8)</f>
        <v>15</v>
      </c>
      <c r="J2" s="83">
        <f>VLOOKUP(C2,$O$5:$P$8,2,FALSE)</f>
        <v>15</v>
      </c>
      <c r="K2" s="84">
        <f>VLOOKUP(H2,$O$17:$P$20,2,TRUE)</f>
        <v>0.02</v>
      </c>
      <c r="L2" s="85" cm="1">
        <f t="array" ref="L2">_xlfn.IFS(H2&lt;=299,1%,H2&lt;=799,2%,H2&lt;=1499,2.5%,H2&gt;1499,3%)</f>
        <v>0.02</v>
      </c>
      <c r="M2" s="82">
        <f>L2*H2</f>
        <v>8.64</v>
      </c>
      <c r="O2" s="86" t="s">
        <v>389</v>
      </c>
    </row>
    <row r="3" spans="1:16" ht="15.5" x14ac:dyDescent="0.35">
      <c r="A3" s="78">
        <v>45168</v>
      </c>
      <c r="B3" s="79" t="s">
        <v>336</v>
      </c>
      <c r="C3" s="79" t="s">
        <v>332</v>
      </c>
      <c r="D3" s="79" t="s">
        <v>390</v>
      </c>
      <c r="E3" s="79" t="s">
        <v>391</v>
      </c>
      <c r="F3" s="79">
        <v>65</v>
      </c>
      <c r="G3" s="80">
        <v>23</v>
      </c>
      <c r="H3" s="81">
        <f t="shared" ref="H3:H32" si="0">F3*G3</f>
        <v>1495</v>
      </c>
      <c r="I3" s="82" cm="1">
        <f t="array" ref="I3">_xlfn.IFS(C3=$O$5,$P$5,C3=$O$6,$P$6,C3=$O$7,$P$7,C3=$O$8,$P$8)</f>
        <v>15</v>
      </c>
      <c r="J3" s="83">
        <f t="shared" ref="J3:J32" si="1">VLOOKUP(C3,$O$5:$P$8,2,FALSE)</f>
        <v>15</v>
      </c>
      <c r="K3" s="84">
        <f>VLOOKUP(H3,$O$17:$P$20,2,TRUE)</f>
        <v>2.5000000000000001E-2</v>
      </c>
      <c r="L3" s="85" cm="1">
        <f t="array" ref="L3">_xlfn.IFS(H3&lt;=299,1%,H3&lt;=799,2%,H3&lt;=1499,2.5%,H3&gt;1499,3%)</f>
        <v>2.5000000000000001E-2</v>
      </c>
      <c r="M3" s="82">
        <f t="shared" ref="M3:M32" si="2">L3*H3</f>
        <v>37.375</v>
      </c>
      <c r="O3" s="77" t="s">
        <v>392</v>
      </c>
    </row>
    <row r="4" spans="1:16" ht="15.5" x14ac:dyDescent="0.35">
      <c r="A4" s="78">
        <v>45168</v>
      </c>
      <c r="B4" s="79" t="s">
        <v>313</v>
      </c>
      <c r="C4" s="79" t="s">
        <v>332</v>
      </c>
      <c r="D4" s="79" t="s">
        <v>390</v>
      </c>
      <c r="E4" s="79" t="s">
        <v>349</v>
      </c>
      <c r="F4" s="79">
        <v>47</v>
      </c>
      <c r="G4" s="80">
        <v>6</v>
      </c>
      <c r="H4" s="81">
        <f t="shared" si="0"/>
        <v>282</v>
      </c>
      <c r="I4" s="82" cm="1">
        <f t="array" ref="I4">_xlfn.IFS(C4=$O$5,$P$5,C4=$O$6,$P$6,C4=$O$7,$P$7,C4=$O$8,$P$8)</f>
        <v>15</v>
      </c>
      <c r="J4" s="83">
        <f t="shared" si="1"/>
        <v>15</v>
      </c>
      <c r="K4" s="84">
        <f t="shared" ref="K4:K32" si="3">VLOOKUP(H4,$O$17:$P$20,2,TRUE)</f>
        <v>0.01</v>
      </c>
      <c r="L4" s="85" cm="1">
        <f t="array" ref="L4">_xlfn.IFS(H4&lt;=299,1%,H4&lt;=799,2%,H4&lt;=1499,2.5%,H4&gt;1499,3%)</f>
        <v>0.01</v>
      </c>
      <c r="M4" s="82">
        <f t="shared" si="2"/>
        <v>2.82</v>
      </c>
    </row>
    <row r="5" spans="1:16" ht="15.5" x14ac:dyDescent="0.35">
      <c r="A5" s="78">
        <v>45168</v>
      </c>
      <c r="B5" s="79" t="s">
        <v>322</v>
      </c>
      <c r="C5" s="79" t="s">
        <v>393</v>
      </c>
      <c r="D5" s="79" t="s">
        <v>320</v>
      </c>
      <c r="E5" s="79" t="s">
        <v>394</v>
      </c>
      <c r="F5" s="79">
        <v>24</v>
      </c>
      <c r="G5" s="80">
        <v>6</v>
      </c>
      <c r="H5" s="81">
        <f t="shared" si="0"/>
        <v>144</v>
      </c>
      <c r="I5" s="82" cm="1">
        <f t="array" ref="I5">_xlfn.IFS(C5=$O$5,$P$5,C5=$O$6,$P$6,C5=$O$7,$P$7,C5=$O$8,$P$8)</f>
        <v>12</v>
      </c>
      <c r="J5" s="83">
        <f t="shared" si="1"/>
        <v>12</v>
      </c>
      <c r="K5" s="84">
        <f t="shared" si="3"/>
        <v>0.01</v>
      </c>
      <c r="L5" s="85" cm="1">
        <f t="array" ref="L5">_xlfn.IFS(H5&lt;=299,1%,H5&lt;=799,2%,H5&lt;=1499,2.5%,H5&gt;1499,3%)</f>
        <v>0.01</v>
      </c>
      <c r="M5" s="82">
        <f t="shared" si="2"/>
        <v>1.44</v>
      </c>
      <c r="O5" s="87" t="s">
        <v>319</v>
      </c>
      <c r="P5" s="87">
        <v>10</v>
      </c>
    </row>
    <row r="6" spans="1:16" ht="15.5" x14ac:dyDescent="0.35">
      <c r="A6" s="78">
        <v>45168</v>
      </c>
      <c r="B6" s="79" t="s">
        <v>336</v>
      </c>
      <c r="C6" s="79" t="s">
        <v>314</v>
      </c>
      <c r="D6" s="79" t="s">
        <v>390</v>
      </c>
      <c r="E6" s="79" t="s">
        <v>337</v>
      </c>
      <c r="F6" s="79">
        <v>58</v>
      </c>
      <c r="G6" s="80">
        <v>18</v>
      </c>
      <c r="H6" s="81">
        <f t="shared" si="0"/>
        <v>1044</v>
      </c>
      <c r="I6" s="82" cm="1">
        <f t="array" ref="I6">_xlfn.IFS(C6=$O$5,$P$5,C6=$O$6,$P$6,C6=$O$7,$P$7,C6=$O$8,$P$8)</f>
        <v>8</v>
      </c>
      <c r="J6" s="83">
        <f t="shared" si="1"/>
        <v>8</v>
      </c>
      <c r="K6" s="84">
        <f t="shared" si="3"/>
        <v>2.5000000000000001E-2</v>
      </c>
      <c r="L6" s="85" cm="1">
        <f t="array" ref="L6">_xlfn.IFS(H6&lt;=299,1%,H6&lt;=799,2%,H6&lt;=1499,2.5%,H6&gt;1499,3%)</f>
        <v>2.5000000000000001E-2</v>
      </c>
      <c r="M6" s="82">
        <f t="shared" si="2"/>
        <v>26.1</v>
      </c>
      <c r="O6" s="87" t="s">
        <v>332</v>
      </c>
      <c r="P6" s="87">
        <v>15</v>
      </c>
    </row>
    <row r="7" spans="1:16" ht="15.5" x14ac:dyDescent="0.35">
      <c r="A7" s="78">
        <v>45168</v>
      </c>
      <c r="B7" s="79" t="s">
        <v>322</v>
      </c>
      <c r="C7" s="79" t="s">
        <v>332</v>
      </c>
      <c r="D7" s="79" t="s">
        <v>333</v>
      </c>
      <c r="E7" s="79" t="s">
        <v>395</v>
      </c>
      <c r="F7" s="79">
        <v>22</v>
      </c>
      <c r="G7" s="80">
        <v>5</v>
      </c>
      <c r="H7" s="81">
        <f t="shared" si="0"/>
        <v>110</v>
      </c>
      <c r="I7" s="82" cm="1">
        <f t="array" ref="I7">_xlfn.IFS(C7=$O$5,$P$5,C7=$O$6,$P$6,C7=$O$7,$P$7,C7=$O$8,$P$8)</f>
        <v>15</v>
      </c>
      <c r="J7" s="83">
        <f t="shared" si="1"/>
        <v>15</v>
      </c>
      <c r="K7" s="84">
        <f t="shared" si="3"/>
        <v>0.01</v>
      </c>
      <c r="L7" s="85" cm="1">
        <f t="array" ref="L7">_xlfn.IFS(H7&lt;=299,1%,H7&lt;=799,2%,H7&lt;=1499,2.5%,H7&gt;1499,3%)</f>
        <v>0.01</v>
      </c>
      <c r="M7" s="82">
        <f t="shared" si="2"/>
        <v>1.1000000000000001</v>
      </c>
      <c r="O7" s="87" t="s">
        <v>393</v>
      </c>
      <c r="P7" s="87">
        <v>12</v>
      </c>
    </row>
    <row r="8" spans="1:16" ht="15.5" x14ac:dyDescent="0.35">
      <c r="A8" s="78">
        <v>45170</v>
      </c>
      <c r="B8" s="79" t="s">
        <v>322</v>
      </c>
      <c r="C8" s="79" t="s">
        <v>319</v>
      </c>
      <c r="D8" s="79" t="s">
        <v>320</v>
      </c>
      <c r="E8" s="79" t="s">
        <v>337</v>
      </c>
      <c r="F8" s="79">
        <v>8</v>
      </c>
      <c r="G8" s="80">
        <v>12</v>
      </c>
      <c r="H8" s="81">
        <f t="shared" si="0"/>
        <v>96</v>
      </c>
      <c r="I8" s="82" cm="1">
        <f t="array" ref="I8">_xlfn.IFS(C8=$O$5,$P$5,C8=$O$6,$P$6,C8=$O$7,$P$7,C8=$O$8,$P$8)</f>
        <v>10</v>
      </c>
      <c r="J8" s="83">
        <f t="shared" si="1"/>
        <v>10</v>
      </c>
      <c r="K8" s="84">
        <f t="shared" si="3"/>
        <v>0.01</v>
      </c>
      <c r="L8" s="85" cm="1">
        <f t="array" ref="L8">_xlfn.IFS(H8&lt;=299,1%,H8&lt;=799,2%,H8&lt;=1499,2.5%,H8&gt;1499,3%)</f>
        <v>0.01</v>
      </c>
      <c r="M8" s="82">
        <f t="shared" si="2"/>
        <v>0.96</v>
      </c>
      <c r="O8" s="87" t="s">
        <v>314</v>
      </c>
      <c r="P8" s="87">
        <v>8</v>
      </c>
    </row>
    <row r="9" spans="1:16" ht="15.5" x14ac:dyDescent="0.35">
      <c r="A9" s="78">
        <v>45171</v>
      </c>
      <c r="B9" s="79" t="s">
        <v>336</v>
      </c>
      <c r="C9" s="79" t="s">
        <v>314</v>
      </c>
      <c r="D9" s="79" t="s">
        <v>320</v>
      </c>
      <c r="E9" s="79" t="s">
        <v>395</v>
      </c>
      <c r="F9" s="79">
        <v>29</v>
      </c>
      <c r="G9" s="80">
        <v>17</v>
      </c>
      <c r="H9" s="81">
        <f t="shared" si="0"/>
        <v>493</v>
      </c>
      <c r="I9" s="82" cm="1">
        <f t="array" ref="I9">_xlfn.IFS(C9=$O$5,$P$5,C9=$O$6,$P$6,C9=$O$7,$P$7,C9=$O$8,$P$8)</f>
        <v>8</v>
      </c>
      <c r="J9" s="83">
        <f t="shared" si="1"/>
        <v>8</v>
      </c>
      <c r="K9" s="84">
        <f t="shared" si="3"/>
        <v>0.02</v>
      </c>
      <c r="L9" s="85" cm="1">
        <f t="array" ref="L9">_xlfn.IFS(H9&lt;=299,1%,H9&lt;=799,2%,H9&lt;=1499,2.5%,H9&gt;1499,3%)</f>
        <v>0.02</v>
      </c>
      <c r="M9" s="82">
        <f t="shared" si="2"/>
        <v>9.86</v>
      </c>
    </row>
    <row r="10" spans="1:16" ht="15.5" x14ac:dyDescent="0.35">
      <c r="A10" s="78">
        <v>45171</v>
      </c>
      <c r="B10" s="79" t="s">
        <v>318</v>
      </c>
      <c r="C10" s="79" t="s">
        <v>332</v>
      </c>
      <c r="D10" s="79" t="s">
        <v>324</v>
      </c>
      <c r="E10" s="79" t="s">
        <v>316</v>
      </c>
      <c r="F10" s="79">
        <v>55</v>
      </c>
      <c r="G10" s="80">
        <v>19</v>
      </c>
      <c r="H10" s="81">
        <f t="shared" si="0"/>
        <v>1045</v>
      </c>
      <c r="I10" s="82" cm="1">
        <f t="array" ref="I10">_xlfn.IFS(C10=$O$5,$P$5,C10=$O$6,$P$6,C10=$O$7,$P$7,C10=$O$8,$P$8)</f>
        <v>15</v>
      </c>
      <c r="J10" s="83">
        <f t="shared" si="1"/>
        <v>15</v>
      </c>
      <c r="K10" s="84">
        <f t="shared" si="3"/>
        <v>2.5000000000000001E-2</v>
      </c>
      <c r="L10" s="85" cm="1">
        <f t="array" ref="L10">_xlfn.IFS(H10&lt;=299,1%,H10&lt;=799,2%,H10&lt;=1499,2.5%,H10&gt;1499,3%)</f>
        <v>2.5000000000000001E-2</v>
      </c>
      <c r="M10" s="82">
        <f t="shared" si="2"/>
        <v>26.125</v>
      </c>
      <c r="O10" s="77" t="s">
        <v>396</v>
      </c>
    </row>
    <row r="11" spans="1:16" ht="15.5" x14ac:dyDescent="0.35">
      <c r="A11" s="78">
        <v>45173</v>
      </c>
      <c r="B11" s="79" t="s">
        <v>318</v>
      </c>
      <c r="C11" s="79" t="s">
        <v>393</v>
      </c>
      <c r="D11" s="79" t="s">
        <v>333</v>
      </c>
      <c r="E11" s="79" t="s">
        <v>316</v>
      </c>
      <c r="F11" s="79">
        <v>39</v>
      </c>
      <c r="G11" s="80">
        <v>25</v>
      </c>
      <c r="H11" s="81">
        <f t="shared" si="0"/>
        <v>975</v>
      </c>
      <c r="I11" s="82" cm="1">
        <f t="array" ref="I11">_xlfn.IFS(C11=$O$5,$P$5,C11=$O$6,$P$6,C11=$O$7,$P$7,C11=$O$8,$P$8)</f>
        <v>12</v>
      </c>
      <c r="J11" s="83">
        <f t="shared" si="1"/>
        <v>12</v>
      </c>
      <c r="K11" s="84">
        <f t="shared" si="3"/>
        <v>2.5000000000000001E-2</v>
      </c>
      <c r="L11" s="85" cm="1">
        <f t="array" ref="L11">_xlfn.IFS(H11&lt;=299,1%,H11&lt;=799,2%,H11&lt;=1499,2.5%,H11&gt;1499,3%)</f>
        <v>2.5000000000000001E-2</v>
      </c>
      <c r="M11" s="82">
        <f t="shared" si="2"/>
        <v>24.375</v>
      </c>
      <c r="O11" s="88" t="s">
        <v>397</v>
      </c>
      <c r="P11" s="88" t="s">
        <v>398</v>
      </c>
    </row>
    <row r="12" spans="1:16" ht="15.5" x14ac:dyDescent="0.35">
      <c r="A12" s="78">
        <v>45175</v>
      </c>
      <c r="B12" s="79" t="s">
        <v>336</v>
      </c>
      <c r="C12" s="79" t="s">
        <v>332</v>
      </c>
      <c r="D12" s="79" t="s">
        <v>390</v>
      </c>
      <c r="E12" s="79" t="s">
        <v>348</v>
      </c>
      <c r="F12" s="79">
        <v>49</v>
      </c>
      <c r="G12" s="80">
        <v>8</v>
      </c>
      <c r="H12" s="81">
        <f t="shared" si="0"/>
        <v>392</v>
      </c>
      <c r="I12" s="82" cm="1">
        <f t="array" ref="I12">_xlfn.IFS(C12=$O$5,$P$5,C12=$O$6,$P$6,C12=$O$7,$P$7,C12=$O$8,$P$8)</f>
        <v>15</v>
      </c>
      <c r="J12" s="83">
        <f t="shared" si="1"/>
        <v>15</v>
      </c>
      <c r="K12" s="84">
        <f t="shared" si="3"/>
        <v>0.02</v>
      </c>
      <c r="L12" s="85" cm="1">
        <f t="array" ref="L12">_xlfn.IFS(H12&lt;=299,1%,H12&lt;=799,2%,H12&lt;=1499,2.5%,H12&gt;1499,3%)</f>
        <v>0.02</v>
      </c>
      <c r="M12" s="82">
        <f t="shared" si="2"/>
        <v>7.84</v>
      </c>
      <c r="O12" s="84">
        <v>0.01</v>
      </c>
      <c r="P12" s="89" t="s">
        <v>399</v>
      </c>
    </row>
    <row r="13" spans="1:16" ht="15.5" x14ac:dyDescent="0.35">
      <c r="A13" s="78">
        <v>45177</v>
      </c>
      <c r="B13" s="79" t="s">
        <v>318</v>
      </c>
      <c r="C13" s="79" t="s">
        <v>393</v>
      </c>
      <c r="D13" s="79" t="s">
        <v>390</v>
      </c>
      <c r="E13" s="79" t="s">
        <v>400</v>
      </c>
      <c r="F13" s="79">
        <v>93</v>
      </c>
      <c r="G13" s="80">
        <v>22</v>
      </c>
      <c r="H13" s="81">
        <f t="shared" si="0"/>
        <v>2046</v>
      </c>
      <c r="I13" s="82" cm="1">
        <f t="array" ref="I13">_xlfn.IFS(C13=$O$5,$P$5,C13=$O$6,$P$6,C13=$O$7,$P$7,C13=$O$8,$P$8)</f>
        <v>12</v>
      </c>
      <c r="J13" s="83">
        <f t="shared" si="1"/>
        <v>12</v>
      </c>
      <c r="K13" s="84">
        <f t="shared" si="3"/>
        <v>0.03</v>
      </c>
      <c r="L13" s="85" cm="1">
        <f t="array" ref="L13">_xlfn.IFS(H13&lt;=299,1%,H13&lt;=799,2%,H13&lt;=1499,2.5%,H13&gt;1499,3%)</f>
        <v>0.03</v>
      </c>
      <c r="M13" s="82">
        <f t="shared" si="2"/>
        <v>61.379999999999995</v>
      </c>
      <c r="O13" s="84">
        <v>0.02</v>
      </c>
      <c r="P13" s="89" t="s">
        <v>401</v>
      </c>
    </row>
    <row r="14" spans="1:16" ht="15.5" x14ac:dyDescent="0.35">
      <c r="A14" s="78">
        <v>45178</v>
      </c>
      <c r="B14" s="79" t="s">
        <v>322</v>
      </c>
      <c r="C14" s="79" t="s">
        <v>314</v>
      </c>
      <c r="D14" s="79" t="s">
        <v>320</v>
      </c>
      <c r="E14" s="79" t="s">
        <v>334</v>
      </c>
      <c r="F14" s="79">
        <v>19</v>
      </c>
      <c r="G14" s="80">
        <v>17</v>
      </c>
      <c r="H14" s="81">
        <f t="shared" si="0"/>
        <v>323</v>
      </c>
      <c r="I14" s="82" cm="1">
        <f t="array" ref="I14">_xlfn.IFS(C14=$O$5,$P$5,C14=$O$6,$P$6,C14=$O$7,$P$7,C14=$O$8,$P$8)</f>
        <v>8</v>
      </c>
      <c r="J14" s="83">
        <f t="shared" si="1"/>
        <v>8</v>
      </c>
      <c r="K14" s="84">
        <f t="shared" si="3"/>
        <v>0.02</v>
      </c>
      <c r="L14" s="85" cm="1">
        <f t="array" ref="L14">_xlfn.IFS(H14&lt;=299,1%,H14&lt;=799,2%,H14&lt;=1499,2.5%,H14&gt;1499,3%)</f>
        <v>0.02</v>
      </c>
      <c r="M14" s="82">
        <f t="shared" si="2"/>
        <v>6.46</v>
      </c>
      <c r="O14" s="84">
        <v>2.5000000000000001E-2</v>
      </c>
      <c r="P14" s="89" t="s">
        <v>402</v>
      </c>
    </row>
    <row r="15" spans="1:16" ht="15.5" x14ac:dyDescent="0.35">
      <c r="A15" s="78">
        <v>45178</v>
      </c>
      <c r="B15" s="79" t="s">
        <v>322</v>
      </c>
      <c r="C15" s="79" t="s">
        <v>393</v>
      </c>
      <c r="D15" s="79" t="s">
        <v>324</v>
      </c>
      <c r="E15" s="79" t="s">
        <v>403</v>
      </c>
      <c r="F15" s="79">
        <v>40</v>
      </c>
      <c r="G15" s="80">
        <v>9</v>
      </c>
      <c r="H15" s="81">
        <f t="shared" si="0"/>
        <v>360</v>
      </c>
      <c r="I15" s="82" cm="1">
        <f t="array" ref="I15">_xlfn.IFS(C15=$O$5,$P$5,C15=$O$6,$P$6,C15=$O$7,$P$7,C15=$O$8,$P$8)</f>
        <v>12</v>
      </c>
      <c r="J15" s="83">
        <f t="shared" si="1"/>
        <v>12</v>
      </c>
      <c r="K15" s="84">
        <f t="shared" si="3"/>
        <v>0.02</v>
      </c>
      <c r="L15" s="85" cm="1">
        <f t="array" ref="L15">_xlfn.IFS(H15&lt;=299,1%,H15&lt;=799,2%,H15&lt;=1499,2.5%,H15&gt;1499,3%)</f>
        <v>0.02</v>
      </c>
      <c r="M15" s="82">
        <f t="shared" si="2"/>
        <v>7.2</v>
      </c>
      <c r="O15" s="84">
        <v>0.03</v>
      </c>
      <c r="P15" s="89" t="s">
        <v>404</v>
      </c>
    </row>
    <row r="16" spans="1:16" ht="15.5" x14ac:dyDescent="0.35">
      <c r="A16" s="78">
        <v>45179</v>
      </c>
      <c r="B16" s="79" t="s">
        <v>322</v>
      </c>
      <c r="C16" s="79" t="s">
        <v>319</v>
      </c>
      <c r="D16" s="79" t="s">
        <v>320</v>
      </c>
      <c r="E16" s="79" t="s">
        <v>335</v>
      </c>
      <c r="F16" s="79">
        <v>120</v>
      </c>
      <c r="G16" s="80">
        <v>21</v>
      </c>
      <c r="H16" s="81">
        <f t="shared" si="0"/>
        <v>2520</v>
      </c>
      <c r="I16" s="82" cm="1">
        <f t="array" ref="I16">_xlfn.IFS(C16=$O$5,$P$5,C16=$O$6,$P$6,C16=$O$7,$P$7,C16=$O$8,$P$8)</f>
        <v>10</v>
      </c>
      <c r="J16" s="83">
        <f t="shared" si="1"/>
        <v>10</v>
      </c>
      <c r="K16" s="84">
        <f t="shared" si="3"/>
        <v>0.03</v>
      </c>
      <c r="L16" s="85" cm="1">
        <f t="array" ref="L16">_xlfn.IFS(H16&lt;=299,1%,H16&lt;=799,2%,H16&lt;=1499,2.5%,H16&gt;1499,3%)</f>
        <v>0.03</v>
      </c>
      <c r="M16" s="82">
        <f t="shared" si="2"/>
        <v>75.599999999999994</v>
      </c>
      <c r="O16" s="90"/>
      <c r="P16" s="91"/>
    </row>
    <row r="17" spans="1:16" ht="15.5" x14ac:dyDescent="0.35">
      <c r="A17" s="78">
        <v>45179</v>
      </c>
      <c r="B17" s="79" t="s">
        <v>313</v>
      </c>
      <c r="C17" s="79" t="s">
        <v>314</v>
      </c>
      <c r="D17" s="79" t="s">
        <v>324</v>
      </c>
      <c r="E17" s="79" t="s">
        <v>350</v>
      </c>
      <c r="F17" s="79">
        <v>24</v>
      </c>
      <c r="G17" s="80">
        <v>24</v>
      </c>
      <c r="H17" s="81">
        <f t="shared" si="0"/>
        <v>576</v>
      </c>
      <c r="I17" s="82" cm="1">
        <f t="array" ref="I17">_xlfn.IFS(C17=$O$5,$P$5,C17=$O$6,$P$6,C17=$O$7,$P$7,C17=$O$8,$P$8)</f>
        <v>8</v>
      </c>
      <c r="J17" s="83">
        <f t="shared" si="1"/>
        <v>8</v>
      </c>
      <c r="K17" s="84">
        <f t="shared" si="3"/>
        <v>0.02</v>
      </c>
      <c r="L17" s="85" cm="1">
        <f t="array" ref="L17">_xlfn.IFS(H17&lt;=299,1%,H17&lt;=799,2%,H17&lt;=1499,2.5%,H17&gt;1499,3%)</f>
        <v>0.02</v>
      </c>
      <c r="M17" s="82">
        <f t="shared" si="2"/>
        <v>11.52</v>
      </c>
      <c r="O17" s="90">
        <v>0</v>
      </c>
      <c r="P17" s="89">
        <v>0.01</v>
      </c>
    </row>
    <row r="18" spans="1:16" ht="15.5" x14ac:dyDescent="0.35">
      <c r="A18" s="78">
        <v>45181</v>
      </c>
      <c r="B18" s="79" t="s">
        <v>327</v>
      </c>
      <c r="C18" s="79" t="s">
        <v>332</v>
      </c>
      <c r="D18" s="79" t="s">
        <v>390</v>
      </c>
      <c r="E18" s="79" t="s">
        <v>341</v>
      </c>
      <c r="F18" s="79">
        <v>10</v>
      </c>
      <c r="G18" s="80">
        <v>18</v>
      </c>
      <c r="H18" s="81">
        <f t="shared" si="0"/>
        <v>180</v>
      </c>
      <c r="I18" s="82" cm="1">
        <f t="array" ref="I18">_xlfn.IFS(C18=$O$5,$P$5,C18=$O$6,$P$6,C18=$O$7,$P$7,C18=$O$8,$P$8)</f>
        <v>15</v>
      </c>
      <c r="J18" s="83">
        <f t="shared" si="1"/>
        <v>15</v>
      </c>
      <c r="K18" s="84">
        <f t="shared" si="3"/>
        <v>0.01</v>
      </c>
      <c r="L18" s="85" cm="1">
        <f t="array" ref="L18">_xlfn.IFS(H18&lt;=299,1%,H18&lt;=799,2%,H18&lt;=1499,2.5%,H18&gt;1499,3%)</f>
        <v>0.01</v>
      </c>
      <c r="M18" s="82">
        <f t="shared" si="2"/>
        <v>1.8</v>
      </c>
      <c r="O18" s="92">
        <v>300</v>
      </c>
      <c r="P18" s="89">
        <v>0.02</v>
      </c>
    </row>
    <row r="19" spans="1:16" ht="15.5" x14ac:dyDescent="0.35">
      <c r="A19" s="78">
        <v>45181</v>
      </c>
      <c r="B19" s="79" t="s">
        <v>336</v>
      </c>
      <c r="C19" s="79" t="s">
        <v>319</v>
      </c>
      <c r="D19" s="79" t="s">
        <v>320</v>
      </c>
      <c r="E19" s="79" t="s">
        <v>339</v>
      </c>
      <c r="F19" s="79">
        <v>26</v>
      </c>
      <c r="G19" s="80">
        <v>15</v>
      </c>
      <c r="H19" s="81">
        <f t="shared" si="0"/>
        <v>390</v>
      </c>
      <c r="I19" s="82" cm="1">
        <f t="array" ref="I19">_xlfn.IFS(C19=$O$5,$P$5,C19=$O$6,$P$6,C19=$O$7,$P$7,C19=$O$8,$P$8)</f>
        <v>10</v>
      </c>
      <c r="J19" s="83">
        <f t="shared" si="1"/>
        <v>10</v>
      </c>
      <c r="K19" s="84">
        <f t="shared" si="3"/>
        <v>0.02</v>
      </c>
      <c r="L19" s="85" cm="1">
        <f t="array" ref="L19">_xlfn.IFS(H19&lt;=299,1%,H19&lt;=799,2%,H19&lt;=1499,2.5%,H19&gt;1499,3%)</f>
        <v>0.02</v>
      </c>
      <c r="M19" s="82">
        <f t="shared" si="2"/>
        <v>7.8</v>
      </c>
      <c r="O19" s="92">
        <v>800</v>
      </c>
      <c r="P19" s="89">
        <v>2.5000000000000001E-2</v>
      </c>
    </row>
    <row r="20" spans="1:16" ht="15.5" x14ac:dyDescent="0.35">
      <c r="A20" s="78">
        <v>45182</v>
      </c>
      <c r="B20" s="79" t="s">
        <v>336</v>
      </c>
      <c r="C20" s="79" t="s">
        <v>332</v>
      </c>
      <c r="D20" s="79" t="s">
        <v>390</v>
      </c>
      <c r="E20" s="79" t="s">
        <v>405</v>
      </c>
      <c r="F20" s="79">
        <v>65</v>
      </c>
      <c r="G20" s="80">
        <v>13</v>
      </c>
      <c r="H20" s="81">
        <f t="shared" si="0"/>
        <v>845</v>
      </c>
      <c r="I20" s="82" cm="1">
        <f t="array" ref="I20">_xlfn.IFS(C20=$O$5,$P$5,C20=$O$6,$P$6,C20=$O$7,$P$7,C20=$O$8,$P$8)</f>
        <v>15</v>
      </c>
      <c r="J20" s="83">
        <f t="shared" si="1"/>
        <v>15</v>
      </c>
      <c r="K20" s="84">
        <f t="shared" si="3"/>
        <v>2.5000000000000001E-2</v>
      </c>
      <c r="L20" s="85" cm="1">
        <f t="array" ref="L20">_xlfn.IFS(H20&lt;=299,1%,H20&lt;=799,2%,H20&lt;=1499,2.5%,H20&gt;1499,3%)</f>
        <v>2.5000000000000001E-2</v>
      </c>
      <c r="M20" s="82">
        <f t="shared" si="2"/>
        <v>21.125</v>
      </c>
      <c r="O20" s="92">
        <v>1500</v>
      </c>
      <c r="P20" s="89">
        <v>0.03</v>
      </c>
    </row>
    <row r="21" spans="1:16" ht="15.5" x14ac:dyDescent="0.35">
      <c r="A21" s="78">
        <v>45183</v>
      </c>
      <c r="B21" s="79" t="s">
        <v>318</v>
      </c>
      <c r="C21" s="79" t="s">
        <v>393</v>
      </c>
      <c r="D21" s="79" t="s">
        <v>315</v>
      </c>
      <c r="E21" s="79" t="s">
        <v>391</v>
      </c>
      <c r="F21" s="79">
        <v>43</v>
      </c>
      <c r="G21" s="80">
        <v>16</v>
      </c>
      <c r="H21" s="81">
        <f t="shared" si="0"/>
        <v>688</v>
      </c>
      <c r="I21" s="82" cm="1">
        <f t="array" ref="I21">_xlfn.IFS(C21=$O$5,$P$5,C21=$O$6,$P$6,C21=$O$7,$P$7,C21=$O$8,$P$8)</f>
        <v>12</v>
      </c>
      <c r="J21" s="83">
        <f t="shared" si="1"/>
        <v>12</v>
      </c>
      <c r="K21" s="84">
        <f t="shared" si="3"/>
        <v>0.02</v>
      </c>
      <c r="L21" s="85" cm="1">
        <f t="array" ref="L21">_xlfn.IFS(H21&lt;=299,1%,H21&lt;=799,2%,H21&lt;=1499,2.5%,H21&gt;1499,3%)</f>
        <v>0.02</v>
      </c>
      <c r="M21" s="82">
        <f t="shared" si="2"/>
        <v>13.76</v>
      </c>
    </row>
    <row r="22" spans="1:16" ht="15.5" x14ac:dyDescent="0.35">
      <c r="A22" s="78">
        <v>45183</v>
      </c>
      <c r="B22" s="79" t="s">
        <v>336</v>
      </c>
      <c r="C22" s="79" t="s">
        <v>314</v>
      </c>
      <c r="D22" s="79" t="s">
        <v>328</v>
      </c>
      <c r="E22" s="79" t="s">
        <v>406</v>
      </c>
      <c r="F22" s="79">
        <v>20</v>
      </c>
      <c r="G22" s="80">
        <v>15</v>
      </c>
      <c r="H22" s="81">
        <f t="shared" si="0"/>
        <v>300</v>
      </c>
      <c r="I22" s="82" cm="1">
        <f t="array" ref="I22">_xlfn.IFS(C22=$O$5,$P$5,C22=$O$6,$P$6,C22=$O$7,$P$7,C22=$O$8,$P$8)</f>
        <v>8</v>
      </c>
      <c r="J22" s="83">
        <f t="shared" si="1"/>
        <v>8</v>
      </c>
      <c r="K22" s="84">
        <f t="shared" si="3"/>
        <v>0.02</v>
      </c>
      <c r="L22" s="85" cm="1">
        <f t="array" ref="L22">_xlfn.IFS(H22&lt;=299,1%,H22&lt;=799,2%,H22&lt;=1499,2.5%,H22&gt;1499,3%)</f>
        <v>0.02</v>
      </c>
      <c r="M22" s="82">
        <f t="shared" si="2"/>
        <v>6</v>
      </c>
    </row>
    <row r="23" spans="1:16" ht="15.5" x14ac:dyDescent="0.35">
      <c r="A23" s="78">
        <v>45183</v>
      </c>
      <c r="B23" s="79" t="s">
        <v>327</v>
      </c>
      <c r="C23" s="79" t="s">
        <v>332</v>
      </c>
      <c r="D23" s="79" t="s">
        <v>328</v>
      </c>
      <c r="E23" s="79" t="s">
        <v>405</v>
      </c>
      <c r="F23" s="79">
        <v>39</v>
      </c>
      <c r="G23" s="80">
        <v>16</v>
      </c>
      <c r="H23" s="81">
        <f t="shared" si="0"/>
        <v>624</v>
      </c>
      <c r="I23" s="82" cm="1">
        <f t="array" ref="I23">_xlfn.IFS(C23=$O$5,$P$5,C23=$O$6,$P$6,C23=$O$7,$P$7,C23=$O$8,$P$8)</f>
        <v>15</v>
      </c>
      <c r="J23" s="83">
        <f t="shared" si="1"/>
        <v>15</v>
      </c>
      <c r="K23" s="84">
        <f t="shared" si="3"/>
        <v>0.02</v>
      </c>
      <c r="L23" s="85" cm="1">
        <f t="array" ref="L23">_xlfn.IFS(H23&lt;=299,1%,H23&lt;=799,2%,H23&lt;=1499,2.5%,H23&gt;1499,3%)</f>
        <v>0.02</v>
      </c>
      <c r="M23" s="82">
        <f t="shared" si="2"/>
        <v>12.48</v>
      </c>
    </row>
    <row r="24" spans="1:16" ht="15.5" x14ac:dyDescent="0.35">
      <c r="A24" s="78">
        <v>45184</v>
      </c>
      <c r="B24" s="79" t="s">
        <v>313</v>
      </c>
      <c r="C24" s="79" t="s">
        <v>393</v>
      </c>
      <c r="D24" s="79" t="s">
        <v>328</v>
      </c>
      <c r="E24" s="79" t="s">
        <v>395</v>
      </c>
      <c r="F24" s="79">
        <v>33</v>
      </c>
      <c r="G24" s="80">
        <v>16</v>
      </c>
      <c r="H24" s="81">
        <f t="shared" si="0"/>
        <v>528</v>
      </c>
      <c r="I24" s="82" cm="1">
        <f t="array" ref="I24">_xlfn.IFS(C24=$O$5,$P$5,C24=$O$6,$P$6,C24=$O$7,$P$7,C24=$O$8,$P$8)</f>
        <v>12</v>
      </c>
      <c r="J24" s="83">
        <f t="shared" si="1"/>
        <v>12</v>
      </c>
      <c r="K24" s="84">
        <f t="shared" si="3"/>
        <v>0.02</v>
      </c>
      <c r="L24" s="85" cm="1">
        <f t="array" ref="L24">_xlfn.IFS(H24&lt;=299,1%,H24&lt;=799,2%,H24&lt;=1499,2.5%,H24&gt;1499,3%)</f>
        <v>0.02</v>
      </c>
      <c r="M24" s="82">
        <f t="shared" si="2"/>
        <v>10.56</v>
      </c>
    </row>
    <row r="25" spans="1:16" ht="15.5" x14ac:dyDescent="0.35">
      <c r="A25" s="78">
        <v>45184</v>
      </c>
      <c r="B25" s="79" t="s">
        <v>336</v>
      </c>
      <c r="C25" s="79" t="s">
        <v>319</v>
      </c>
      <c r="D25" s="79" t="s">
        <v>324</v>
      </c>
      <c r="E25" s="79" t="s">
        <v>407</v>
      </c>
      <c r="F25" s="79">
        <v>6</v>
      </c>
      <c r="G25" s="80">
        <v>23</v>
      </c>
      <c r="H25" s="81">
        <f t="shared" si="0"/>
        <v>138</v>
      </c>
      <c r="I25" s="82" cm="1">
        <f t="array" ref="I25">_xlfn.IFS(C25=$O$5,$P$5,C25=$O$6,$P$6,C25=$O$7,$P$7,C25=$O$8,$P$8)</f>
        <v>10</v>
      </c>
      <c r="J25" s="83">
        <f t="shared" si="1"/>
        <v>10</v>
      </c>
      <c r="K25" s="84">
        <f t="shared" si="3"/>
        <v>0.01</v>
      </c>
      <c r="L25" s="85" cm="1">
        <f t="array" ref="L25">_xlfn.IFS(H25&lt;=299,1%,H25&lt;=799,2%,H25&lt;=1499,2.5%,H25&gt;1499,3%)</f>
        <v>0.01</v>
      </c>
      <c r="M25" s="82">
        <f t="shared" si="2"/>
        <v>1.3800000000000001</v>
      </c>
    </row>
    <row r="26" spans="1:16" ht="15.5" x14ac:dyDescent="0.35">
      <c r="A26" s="78">
        <v>45186</v>
      </c>
      <c r="B26" s="79" t="s">
        <v>318</v>
      </c>
      <c r="C26" s="79" t="s">
        <v>319</v>
      </c>
      <c r="D26" s="79" t="s">
        <v>324</v>
      </c>
      <c r="E26" s="79" t="s">
        <v>346</v>
      </c>
      <c r="F26" s="79">
        <v>33</v>
      </c>
      <c r="G26" s="80">
        <v>9</v>
      </c>
      <c r="H26" s="81">
        <f t="shared" si="0"/>
        <v>297</v>
      </c>
      <c r="I26" s="82" cm="1">
        <f t="array" ref="I26">_xlfn.IFS(C26=$O$5,$P$5,C26=$O$6,$P$6,C26=$O$7,$P$7,C26=$O$8,$P$8)</f>
        <v>10</v>
      </c>
      <c r="J26" s="83">
        <f t="shared" si="1"/>
        <v>10</v>
      </c>
      <c r="K26" s="84">
        <f t="shared" si="3"/>
        <v>0.01</v>
      </c>
      <c r="L26" s="85" cm="1">
        <f t="array" ref="L26">_xlfn.IFS(H26&lt;=299,1%,H26&lt;=799,2%,H26&lt;=1499,2.5%,H26&gt;1499,3%)</f>
        <v>0.01</v>
      </c>
      <c r="M26" s="82">
        <f t="shared" si="2"/>
        <v>2.97</v>
      </c>
    </row>
    <row r="27" spans="1:16" ht="15.5" x14ac:dyDescent="0.35">
      <c r="A27" s="78">
        <v>45188</v>
      </c>
      <c r="B27" s="79" t="s">
        <v>327</v>
      </c>
      <c r="C27" s="79" t="s">
        <v>319</v>
      </c>
      <c r="D27" s="79" t="s">
        <v>390</v>
      </c>
      <c r="E27" s="79" t="s">
        <v>391</v>
      </c>
      <c r="F27" s="79">
        <v>34</v>
      </c>
      <c r="G27" s="80">
        <v>10</v>
      </c>
      <c r="H27" s="81">
        <f t="shared" si="0"/>
        <v>340</v>
      </c>
      <c r="I27" s="82" cm="1">
        <f t="array" ref="I27">_xlfn.IFS(C27=$O$5,$P$5,C27=$O$6,$P$6,C27=$O$7,$P$7,C27=$O$8,$P$8)</f>
        <v>10</v>
      </c>
      <c r="J27" s="83">
        <f t="shared" si="1"/>
        <v>10</v>
      </c>
      <c r="K27" s="84">
        <f t="shared" si="3"/>
        <v>0.02</v>
      </c>
      <c r="L27" s="85" cm="1">
        <f t="array" ref="L27">_xlfn.IFS(H27&lt;=299,1%,H27&lt;=799,2%,H27&lt;=1499,2.5%,H27&gt;1499,3%)</f>
        <v>0.02</v>
      </c>
      <c r="M27" s="82">
        <f t="shared" si="2"/>
        <v>6.8</v>
      </c>
    </row>
    <row r="28" spans="1:16" ht="15.5" x14ac:dyDescent="0.35">
      <c r="A28" s="78">
        <v>45188</v>
      </c>
      <c r="B28" s="79" t="s">
        <v>327</v>
      </c>
      <c r="C28" s="79" t="s">
        <v>319</v>
      </c>
      <c r="D28" s="79" t="s">
        <v>320</v>
      </c>
      <c r="E28" s="79" t="s">
        <v>346</v>
      </c>
      <c r="F28" s="79">
        <v>23</v>
      </c>
      <c r="G28" s="80">
        <v>16</v>
      </c>
      <c r="H28" s="81">
        <f t="shared" si="0"/>
        <v>368</v>
      </c>
      <c r="I28" s="82" cm="1">
        <f t="array" ref="I28">_xlfn.IFS(C28=$O$5,$P$5,C28=$O$6,$P$6,C28=$O$7,$P$7,C28=$O$8,$P$8)</f>
        <v>10</v>
      </c>
      <c r="J28" s="83">
        <f t="shared" si="1"/>
        <v>10</v>
      </c>
      <c r="K28" s="84">
        <f t="shared" si="3"/>
        <v>0.02</v>
      </c>
      <c r="L28" s="85" cm="1">
        <f t="array" ref="L28">_xlfn.IFS(H28&lt;=299,1%,H28&lt;=799,2%,H28&lt;=1499,2.5%,H28&gt;1499,3%)</f>
        <v>0.02</v>
      </c>
      <c r="M28" s="82">
        <f t="shared" si="2"/>
        <v>7.36</v>
      </c>
    </row>
    <row r="29" spans="1:16" ht="15.5" x14ac:dyDescent="0.35">
      <c r="A29" s="78">
        <v>45188</v>
      </c>
      <c r="B29" s="79" t="s">
        <v>318</v>
      </c>
      <c r="C29" s="79" t="s">
        <v>393</v>
      </c>
      <c r="D29" s="79" t="s">
        <v>328</v>
      </c>
      <c r="E29" s="79" t="s">
        <v>344</v>
      </c>
      <c r="F29" s="79">
        <v>6</v>
      </c>
      <c r="G29" s="80">
        <v>25</v>
      </c>
      <c r="H29" s="81">
        <f t="shared" si="0"/>
        <v>150</v>
      </c>
      <c r="I29" s="82" cm="1">
        <f t="array" ref="I29">_xlfn.IFS(C29=$O$5,$P$5,C29=$O$6,$P$6,C29=$O$7,$P$7,C29=$O$8,$P$8)</f>
        <v>12</v>
      </c>
      <c r="J29" s="83">
        <f t="shared" si="1"/>
        <v>12</v>
      </c>
      <c r="K29" s="84">
        <f t="shared" si="3"/>
        <v>0.01</v>
      </c>
      <c r="L29" s="85" cm="1">
        <f t="array" ref="L29">_xlfn.IFS(H29&lt;=299,1%,H29&lt;=799,2%,H29&lt;=1499,2.5%,H29&gt;1499,3%)</f>
        <v>0.01</v>
      </c>
      <c r="M29" s="82">
        <f t="shared" si="2"/>
        <v>1.5</v>
      </c>
    </row>
    <row r="30" spans="1:16" ht="15.5" x14ac:dyDescent="0.35">
      <c r="A30" s="78">
        <v>45188</v>
      </c>
      <c r="B30" s="79" t="s">
        <v>313</v>
      </c>
      <c r="C30" s="79" t="s">
        <v>314</v>
      </c>
      <c r="D30" s="79" t="s">
        <v>320</v>
      </c>
      <c r="E30" s="79" t="s">
        <v>349</v>
      </c>
      <c r="F30" s="79">
        <v>15</v>
      </c>
      <c r="G30" s="80">
        <v>16</v>
      </c>
      <c r="H30" s="81">
        <f t="shared" si="0"/>
        <v>240</v>
      </c>
      <c r="I30" s="82" cm="1">
        <f t="array" ref="I30">_xlfn.IFS(C30=$O$5,$P$5,C30=$O$6,$P$6,C30=$O$7,$P$7,C30=$O$8,$P$8)</f>
        <v>8</v>
      </c>
      <c r="J30" s="83">
        <f t="shared" si="1"/>
        <v>8</v>
      </c>
      <c r="K30" s="84">
        <f t="shared" si="3"/>
        <v>0.01</v>
      </c>
      <c r="L30" s="85" cm="1">
        <f t="array" ref="L30">_xlfn.IFS(H30&lt;=299,1%,H30&lt;=799,2%,H30&lt;=1499,2.5%,H30&gt;1499,3%)</f>
        <v>0.01</v>
      </c>
      <c r="M30" s="82">
        <f t="shared" si="2"/>
        <v>2.4</v>
      </c>
    </row>
    <row r="31" spans="1:16" ht="15.5" x14ac:dyDescent="0.35">
      <c r="A31" s="78">
        <v>45188</v>
      </c>
      <c r="B31" s="79" t="s">
        <v>318</v>
      </c>
      <c r="C31" s="79" t="s">
        <v>314</v>
      </c>
      <c r="D31" s="79" t="s">
        <v>390</v>
      </c>
      <c r="E31" s="79" t="s">
        <v>334</v>
      </c>
      <c r="F31" s="79">
        <v>27</v>
      </c>
      <c r="G31" s="80">
        <v>22</v>
      </c>
      <c r="H31" s="81">
        <f t="shared" si="0"/>
        <v>594</v>
      </c>
      <c r="I31" s="82" cm="1">
        <f t="array" ref="I31">_xlfn.IFS(C31=$O$5,$P$5,C31=$O$6,$P$6,C31=$O$7,$P$7,C31=$O$8,$P$8)</f>
        <v>8</v>
      </c>
      <c r="J31" s="83">
        <f t="shared" si="1"/>
        <v>8</v>
      </c>
      <c r="K31" s="84">
        <f t="shared" si="3"/>
        <v>0.02</v>
      </c>
      <c r="L31" s="85" cm="1">
        <f t="array" ref="L31">_xlfn.IFS(H31&lt;=299,1%,H31&lt;=799,2%,H31&lt;=1499,2.5%,H31&gt;1499,3%)</f>
        <v>0.02</v>
      </c>
      <c r="M31" s="82">
        <f t="shared" si="2"/>
        <v>11.88</v>
      </c>
    </row>
    <row r="32" spans="1:16" ht="15.5" x14ac:dyDescent="0.35">
      <c r="A32" s="78">
        <v>45188</v>
      </c>
      <c r="B32" s="79" t="s">
        <v>313</v>
      </c>
      <c r="C32" s="79" t="s">
        <v>314</v>
      </c>
      <c r="D32" s="79" t="s">
        <v>390</v>
      </c>
      <c r="E32" s="79" t="s">
        <v>348</v>
      </c>
      <c r="F32" s="79">
        <v>36</v>
      </c>
      <c r="G32" s="80">
        <v>13</v>
      </c>
      <c r="H32" s="81">
        <f t="shared" si="0"/>
        <v>468</v>
      </c>
      <c r="I32" s="82" cm="1">
        <f t="array" ref="I32">_xlfn.IFS(C32=$O$5,$P$5,C32=$O$6,$P$6,C32=$O$7,$P$7,C32=$O$8,$P$8)</f>
        <v>8</v>
      </c>
      <c r="J32" s="83">
        <f t="shared" si="1"/>
        <v>8</v>
      </c>
      <c r="K32" s="84">
        <f t="shared" si="3"/>
        <v>0.02</v>
      </c>
      <c r="L32" s="85" cm="1">
        <f t="array" ref="L32">_xlfn.IFS(H32&lt;=299,1%,H32&lt;=799,2%,H32&lt;=1499,2.5%,H32&gt;1499,3%)</f>
        <v>0.02</v>
      </c>
      <c r="M32" s="82">
        <f t="shared" si="2"/>
        <v>9.36</v>
      </c>
    </row>
  </sheetData>
  <sheetProtection formatCells="0" formatColumns="0" formatRows="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CE459-78EE-47F4-B8AE-4EE501ED944F}">
  <sheetPr codeName="Sheet7"/>
  <dimension ref="A1:K77"/>
  <sheetViews>
    <sheetView workbookViewId="0">
      <selection activeCell="L17" sqref="L17"/>
    </sheetView>
  </sheetViews>
  <sheetFormatPr defaultColWidth="8.6640625" defaultRowHeight="15.5" x14ac:dyDescent="0.35"/>
  <cols>
    <col min="1" max="1" width="10.9140625" style="96" customWidth="1"/>
    <col min="2" max="2" width="8.5" style="96" customWidth="1"/>
    <col min="3" max="4" width="10.08203125" style="96" customWidth="1"/>
    <col min="5" max="5" width="8.6640625" style="109"/>
    <col min="6" max="6" width="8.1640625" style="96" customWidth="1"/>
    <col min="7" max="7" width="7.58203125" style="96" customWidth="1"/>
    <col min="8" max="8" width="8.1640625" style="96" customWidth="1"/>
    <col min="9" max="9" width="10" style="96" customWidth="1"/>
    <col min="10" max="16384" width="8.6640625" style="96"/>
  </cols>
  <sheetData>
    <row r="1" spans="1:11" x14ac:dyDescent="0.35">
      <c r="A1" s="94" t="s">
        <v>304</v>
      </c>
      <c r="B1" s="95" t="s">
        <v>305</v>
      </c>
      <c r="C1" s="95" t="s">
        <v>306</v>
      </c>
      <c r="D1" s="95" t="s">
        <v>307</v>
      </c>
      <c r="E1" s="95" t="s">
        <v>308</v>
      </c>
      <c r="F1" s="95" t="s">
        <v>262</v>
      </c>
      <c r="G1" s="94" t="s">
        <v>408</v>
      </c>
      <c r="H1" s="94" t="s">
        <v>409</v>
      </c>
    </row>
    <row r="2" spans="1:11" x14ac:dyDescent="0.35">
      <c r="A2" s="97" t="s">
        <v>313</v>
      </c>
      <c r="B2" s="98" t="s">
        <v>314</v>
      </c>
      <c r="C2" s="98" t="s">
        <v>315</v>
      </c>
      <c r="D2" s="98" t="s">
        <v>316</v>
      </c>
      <c r="E2" s="99">
        <v>19</v>
      </c>
      <c r="F2" s="100">
        <v>16</v>
      </c>
      <c r="G2" s="101">
        <f>Table1[[#This Row],[Price]]*Table1[[#This Row],[Units]]</f>
        <v>304</v>
      </c>
      <c r="H2" s="96">
        <f>0.05*Table1[[#This Row],[Amount]]</f>
        <v>15.200000000000001</v>
      </c>
      <c r="K2" s="102" t="s">
        <v>410</v>
      </c>
    </row>
    <row r="3" spans="1:11" x14ac:dyDescent="0.35">
      <c r="A3" s="97" t="s">
        <v>318</v>
      </c>
      <c r="B3" s="98" t="s">
        <v>319</v>
      </c>
      <c r="C3" s="98" t="s">
        <v>320</v>
      </c>
      <c r="D3" s="98" t="s">
        <v>321</v>
      </c>
      <c r="E3" s="99">
        <v>39</v>
      </c>
      <c r="F3" s="100">
        <v>12</v>
      </c>
      <c r="G3" s="101">
        <f>Table1[[#This Row],[Price]]*Table1[[#This Row],[Units]]</f>
        <v>468</v>
      </c>
      <c r="H3" s="96">
        <f>0.05*Table1[[#This Row],[Amount]]</f>
        <v>23.400000000000002</v>
      </c>
    </row>
    <row r="4" spans="1:11" x14ac:dyDescent="0.35">
      <c r="A4" s="97" t="s">
        <v>322</v>
      </c>
      <c r="B4" s="98" t="s">
        <v>393</v>
      </c>
      <c r="C4" s="98" t="s">
        <v>324</v>
      </c>
      <c r="D4" s="98" t="s">
        <v>325</v>
      </c>
      <c r="E4" s="99">
        <v>15</v>
      </c>
      <c r="F4" s="100">
        <v>20</v>
      </c>
      <c r="G4" s="101">
        <f>Table1[[#This Row],[Price]]*Table1[[#This Row],[Units]]</f>
        <v>300</v>
      </c>
      <c r="H4" s="96">
        <f>0.05*Table1[[#This Row],[Amount]]</f>
        <v>15</v>
      </c>
      <c r="J4" s="103" t="s">
        <v>411</v>
      </c>
    </row>
    <row r="5" spans="1:11" x14ac:dyDescent="0.35">
      <c r="A5" s="97" t="s">
        <v>327</v>
      </c>
      <c r="B5" s="98" t="s">
        <v>393</v>
      </c>
      <c r="C5" s="98" t="s">
        <v>412</v>
      </c>
      <c r="D5" s="98" t="s">
        <v>329</v>
      </c>
      <c r="E5" s="99">
        <v>60</v>
      </c>
      <c r="F5" s="100">
        <v>18</v>
      </c>
      <c r="G5" s="101">
        <f>Table1[[#This Row],[Price]]*Table1[[#This Row],[Units]]</f>
        <v>1080</v>
      </c>
      <c r="H5" s="96">
        <f>0.05*Table1[[#This Row],[Amount]]</f>
        <v>54</v>
      </c>
      <c r="J5" s="103" t="s">
        <v>413</v>
      </c>
    </row>
    <row r="6" spans="1:11" x14ac:dyDescent="0.35">
      <c r="A6" s="97" t="s">
        <v>322</v>
      </c>
      <c r="B6" s="98" t="s">
        <v>393</v>
      </c>
      <c r="C6" s="98" t="s">
        <v>320</v>
      </c>
      <c r="D6" s="98" t="s">
        <v>331</v>
      </c>
      <c r="E6" s="99">
        <v>65</v>
      </c>
      <c r="F6" s="100">
        <v>7</v>
      </c>
      <c r="G6" s="101">
        <f>Table1[[#This Row],[Price]]*Table1[[#This Row],[Units]]</f>
        <v>455</v>
      </c>
      <c r="H6" s="96">
        <f>0.05*Table1[[#This Row],[Amount]]</f>
        <v>22.75</v>
      </c>
      <c r="J6" s="96" t="s">
        <v>414</v>
      </c>
    </row>
    <row r="7" spans="1:11" x14ac:dyDescent="0.35">
      <c r="A7" s="97" t="s">
        <v>313</v>
      </c>
      <c r="B7" s="98" t="s">
        <v>332</v>
      </c>
      <c r="C7" s="98" t="s">
        <v>333</v>
      </c>
      <c r="D7" s="98" t="s">
        <v>334</v>
      </c>
      <c r="E7" s="99">
        <v>11</v>
      </c>
      <c r="F7" s="100">
        <v>7</v>
      </c>
      <c r="G7" s="101">
        <f>Table1[[#This Row],[Price]]*Table1[[#This Row],[Units]]</f>
        <v>77</v>
      </c>
      <c r="H7" s="96">
        <f>0.05*Table1[[#This Row],[Amount]]</f>
        <v>3.85</v>
      </c>
      <c r="J7" s="96" t="s">
        <v>415</v>
      </c>
    </row>
    <row r="8" spans="1:11" x14ac:dyDescent="0.35">
      <c r="A8" s="97" t="s">
        <v>313</v>
      </c>
      <c r="B8" s="98" t="s">
        <v>319</v>
      </c>
      <c r="C8" s="98" t="s">
        <v>315</v>
      </c>
      <c r="D8" s="98" t="s">
        <v>335</v>
      </c>
      <c r="E8" s="99">
        <v>27</v>
      </c>
      <c r="F8" s="100">
        <v>12</v>
      </c>
      <c r="G8" s="101">
        <f>Table1[[#This Row],[Price]]*Table1[[#This Row],[Units]]</f>
        <v>324</v>
      </c>
      <c r="H8" s="96">
        <f>0.05*Table1[[#This Row],[Amount]]</f>
        <v>16.2</v>
      </c>
    </row>
    <row r="9" spans="1:11" x14ac:dyDescent="0.35">
      <c r="A9" s="97" t="s">
        <v>336</v>
      </c>
      <c r="B9" s="98" t="s">
        <v>319</v>
      </c>
      <c r="C9" s="98" t="s">
        <v>412</v>
      </c>
      <c r="D9" s="98" t="s">
        <v>337</v>
      </c>
      <c r="E9" s="99">
        <v>25</v>
      </c>
      <c r="F9" s="100">
        <v>14</v>
      </c>
      <c r="G9" s="101">
        <f>Table1[[#This Row],[Price]]*Table1[[#This Row],[Units]]</f>
        <v>350</v>
      </c>
      <c r="H9" s="96">
        <f>0.05*Table1[[#This Row],[Amount]]</f>
        <v>17.5</v>
      </c>
    </row>
    <row r="10" spans="1:11" x14ac:dyDescent="0.35">
      <c r="A10" s="97" t="s">
        <v>318</v>
      </c>
      <c r="B10" s="98" t="s">
        <v>314</v>
      </c>
      <c r="C10" s="98" t="s">
        <v>338</v>
      </c>
      <c r="D10" s="98" t="s">
        <v>339</v>
      </c>
      <c r="E10" s="99">
        <v>60</v>
      </c>
      <c r="F10" s="100">
        <v>9</v>
      </c>
      <c r="G10" s="101">
        <f>Table1[[#This Row],[Price]]*Table1[[#This Row],[Units]]</f>
        <v>540</v>
      </c>
      <c r="H10" s="96">
        <f>0.05*Table1[[#This Row],[Amount]]</f>
        <v>27</v>
      </c>
    </row>
    <row r="11" spans="1:11" x14ac:dyDescent="0.35">
      <c r="A11" s="97" t="s">
        <v>313</v>
      </c>
      <c r="B11" s="98" t="s">
        <v>332</v>
      </c>
      <c r="C11" s="98" t="s">
        <v>324</v>
      </c>
      <c r="D11" s="98" t="s">
        <v>340</v>
      </c>
      <c r="E11" s="99">
        <v>14</v>
      </c>
      <c r="F11" s="100">
        <v>9</v>
      </c>
      <c r="G11" s="101">
        <f>Table1[[#This Row],[Price]]*Table1[[#This Row],[Units]]</f>
        <v>126</v>
      </c>
      <c r="H11" s="96">
        <f>0.05*Table1[[#This Row],[Amount]]</f>
        <v>6.3000000000000007</v>
      </c>
    </row>
    <row r="12" spans="1:11" x14ac:dyDescent="0.35">
      <c r="A12" s="97" t="s">
        <v>327</v>
      </c>
      <c r="B12" s="98" t="s">
        <v>314</v>
      </c>
      <c r="C12" s="98" t="s">
        <v>333</v>
      </c>
      <c r="D12" s="98" t="s">
        <v>341</v>
      </c>
      <c r="E12" s="99">
        <v>18</v>
      </c>
      <c r="F12" s="100">
        <v>12</v>
      </c>
      <c r="G12" s="101">
        <f>Table1[[#This Row],[Price]]*Table1[[#This Row],[Units]]</f>
        <v>216</v>
      </c>
      <c r="H12" s="96">
        <f>0.05*Table1[[#This Row],[Amount]]</f>
        <v>10.8</v>
      </c>
    </row>
    <row r="13" spans="1:11" x14ac:dyDescent="0.35">
      <c r="A13" s="97" t="s">
        <v>318</v>
      </c>
      <c r="B13" s="98" t="s">
        <v>319</v>
      </c>
      <c r="C13" s="98" t="s">
        <v>320</v>
      </c>
      <c r="D13" s="98" t="s">
        <v>316</v>
      </c>
      <c r="E13" s="99">
        <v>53</v>
      </c>
      <c r="F13" s="100">
        <v>10</v>
      </c>
      <c r="G13" s="101">
        <f>Table1[[#This Row],[Price]]*Table1[[#This Row],[Units]]</f>
        <v>530</v>
      </c>
      <c r="H13" s="96">
        <f>0.05*Table1[[#This Row],[Amount]]</f>
        <v>26.5</v>
      </c>
    </row>
    <row r="14" spans="1:11" x14ac:dyDescent="0.35">
      <c r="A14" s="97" t="s">
        <v>322</v>
      </c>
      <c r="B14" s="98" t="s">
        <v>314</v>
      </c>
      <c r="C14" s="98" t="s">
        <v>320</v>
      </c>
      <c r="D14" s="98" t="s">
        <v>342</v>
      </c>
      <c r="E14" s="99">
        <v>60</v>
      </c>
      <c r="F14" s="100">
        <v>14</v>
      </c>
      <c r="G14" s="101">
        <f>Table1[[#This Row],[Price]]*Table1[[#This Row],[Units]]</f>
        <v>840</v>
      </c>
      <c r="H14" s="96">
        <f>0.05*Table1[[#This Row],[Amount]]</f>
        <v>42</v>
      </c>
    </row>
    <row r="15" spans="1:11" x14ac:dyDescent="0.35">
      <c r="A15" s="97" t="s">
        <v>327</v>
      </c>
      <c r="B15" s="98" t="s">
        <v>319</v>
      </c>
      <c r="C15" s="98" t="s">
        <v>412</v>
      </c>
      <c r="D15" s="98" t="s">
        <v>343</v>
      </c>
      <c r="E15" s="99">
        <v>41</v>
      </c>
      <c r="F15" s="100">
        <v>17</v>
      </c>
      <c r="G15" s="101">
        <f>Table1[[#This Row],[Price]]*Table1[[#This Row],[Units]]</f>
        <v>697</v>
      </c>
      <c r="H15" s="96">
        <f>0.05*Table1[[#This Row],[Amount]]</f>
        <v>34.85</v>
      </c>
    </row>
    <row r="16" spans="1:11" x14ac:dyDescent="0.35">
      <c r="A16" s="97" t="s">
        <v>322</v>
      </c>
      <c r="B16" s="98" t="s">
        <v>314</v>
      </c>
      <c r="C16" s="98" t="s">
        <v>333</v>
      </c>
      <c r="D16" s="98" t="s">
        <v>344</v>
      </c>
      <c r="E16" s="99">
        <v>14</v>
      </c>
      <c r="F16" s="100">
        <v>19</v>
      </c>
      <c r="G16" s="101">
        <f>Table1[[#This Row],[Price]]*Table1[[#This Row],[Units]]</f>
        <v>266</v>
      </c>
      <c r="H16" s="96">
        <f>0.05*Table1[[#This Row],[Amount]]</f>
        <v>13.3</v>
      </c>
    </row>
    <row r="17" spans="1:8" x14ac:dyDescent="0.35">
      <c r="A17" s="97" t="s">
        <v>336</v>
      </c>
      <c r="B17" s="98" t="s">
        <v>319</v>
      </c>
      <c r="C17" s="98" t="s">
        <v>320</v>
      </c>
      <c r="D17" s="98" t="s">
        <v>345</v>
      </c>
      <c r="E17" s="99">
        <v>65</v>
      </c>
      <c r="F17" s="100">
        <v>6</v>
      </c>
      <c r="G17" s="101">
        <f>Table1[[#This Row],[Price]]*Table1[[#This Row],[Units]]</f>
        <v>390</v>
      </c>
      <c r="H17" s="96">
        <f>0.05*Table1[[#This Row],[Amount]]</f>
        <v>19.5</v>
      </c>
    </row>
    <row r="18" spans="1:8" x14ac:dyDescent="0.35">
      <c r="A18" s="97" t="s">
        <v>336</v>
      </c>
      <c r="B18" s="98" t="s">
        <v>332</v>
      </c>
      <c r="C18" s="98" t="s">
        <v>315</v>
      </c>
      <c r="D18" s="98" t="s">
        <v>341</v>
      </c>
      <c r="E18" s="99">
        <v>41</v>
      </c>
      <c r="F18" s="100">
        <v>6</v>
      </c>
      <c r="G18" s="101">
        <f>Table1[[#This Row],[Price]]*Table1[[#This Row],[Units]]</f>
        <v>246</v>
      </c>
      <c r="H18" s="96">
        <f>0.05*Table1[[#This Row],[Amount]]</f>
        <v>12.3</v>
      </c>
    </row>
    <row r="19" spans="1:8" x14ac:dyDescent="0.35">
      <c r="A19" s="97" t="s">
        <v>318</v>
      </c>
      <c r="B19" s="98" t="s">
        <v>393</v>
      </c>
      <c r="C19" s="98" t="s">
        <v>333</v>
      </c>
      <c r="D19" s="98" t="s">
        <v>346</v>
      </c>
      <c r="E19" s="99">
        <v>25</v>
      </c>
      <c r="F19" s="100">
        <v>23</v>
      </c>
      <c r="G19" s="101">
        <f>Table1[[#This Row],[Price]]*Table1[[#This Row],[Units]]</f>
        <v>575</v>
      </c>
      <c r="H19" s="96">
        <f>0.05*Table1[[#This Row],[Amount]]</f>
        <v>28.75</v>
      </c>
    </row>
    <row r="20" spans="1:8" x14ac:dyDescent="0.35">
      <c r="A20" s="97" t="s">
        <v>336</v>
      </c>
      <c r="B20" s="98" t="s">
        <v>393</v>
      </c>
      <c r="C20" s="98" t="s">
        <v>315</v>
      </c>
      <c r="D20" s="98" t="s">
        <v>347</v>
      </c>
      <c r="E20" s="99">
        <v>39</v>
      </c>
      <c r="F20" s="100">
        <v>22</v>
      </c>
      <c r="G20" s="101">
        <f>Table1[[#This Row],[Price]]*Table1[[#This Row],[Units]]</f>
        <v>858</v>
      </c>
      <c r="H20" s="96">
        <f>0.05*Table1[[#This Row],[Amount]]</f>
        <v>42.900000000000006</v>
      </c>
    </row>
    <row r="21" spans="1:8" x14ac:dyDescent="0.35">
      <c r="A21" s="97" t="s">
        <v>327</v>
      </c>
      <c r="B21" s="98" t="s">
        <v>332</v>
      </c>
      <c r="C21" s="98" t="s">
        <v>320</v>
      </c>
      <c r="D21" s="98" t="s">
        <v>348</v>
      </c>
      <c r="E21" s="99">
        <v>54</v>
      </c>
      <c r="F21" s="100">
        <v>17</v>
      </c>
      <c r="G21" s="101">
        <f>Table1[[#This Row],[Price]]*Table1[[#This Row],[Units]]</f>
        <v>918</v>
      </c>
      <c r="H21" s="96">
        <f>0.05*Table1[[#This Row],[Amount]]</f>
        <v>45.900000000000006</v>
      </c>
    </row>
    <row r="22" spans="1:8" x14ac:dyDescent="0.35">
      <c r="A22" s="97" t="s">
        <v>322</v>
      </c>
      <c r="B22" s="98" t="s">
        <v>314</v>
      </c>
      <c r="C22" s="98" t="s">
        <v>315</v>
      </c>
      <c r="D22" s="98" t="s">
        <v>341</v>
      </c>
      <c r="E22" s="99">
        <v>45</v>
      </c>
      <c r="F22" s="100">
        <v>13</v>
      </c>
      <c r="G22" s="101">
        <f>Table1[[#This Row],[Price]]*Table1[[#This Row],[Units]]</f>
        <v>585</v>
      </c>
      <c r="H22" s="96">
        <f>0.05*Table1[[#This Row],[Amount]]</f>
        <v>29.25</v>
      </c>
    </row>
    <row r="23" spans="1:8" x14ac:dyDescent="0.35">
      <c r="A23" s="97" t="s">
        <v>318</v>
      </c>
      <c r="B23" s="98" t="s">
        <v>314</v>
      </c>
      <c r="C23" s="98" t="s">
        <v>338</v>
      </c>
      <c r="D23" s="98" t="s">
        <v>341</v>
      </c>
      <c r="E23" s="99">
        <v>22</v>
      </c>
      <c r="F23" s="100">
        <v>12</v>
      </c>
      <c r="G23" s="101">
        <f>Table1[[#This Row],[Price]]*Table1[[#This Row],[Units]]</f>
        <v>264</v>
      </c>
      <c r="H23" s="96">
        <f>0.05*Table1[[#This Row],[Amount]]</f>
        <v>13.200000000000001</v>
      </c>
    </row>
    <row r="24" spans="1:8" x14ac:dyDescent="0.35">
      <c r="A24" s="97" t="s">
        <v>336</v>
      </c>
      <c r="B24" s="98" t="s">
        <v>314</v>
      </c>
      <c r="C24" s="98" t="s">
        <v>333</v>
      </c>
      <c r="D24" s="98" t="s">
        <v>343</v>
      </c>
      <c r="E24" s="99">
        <v>43</v>
      </c>
      <c r="F24" s="100">
        <v>14</v>
      </c>
      <c r="G24" s="101">
        <f>Table1[[#This Row],[Price]]*Table1[[#This Row],[Units]]</f>
        <v>602</v>
      </c>
      <c r="H24" s="96">
        <f>0.05*Table1[[#This Row],[Amount]]</f>
        <v>30.1</v>
      </c>
    </row>
    <row r="25" spans="1:8" x14ac:dyDescent="0.35">
      <c r="A25" s="97" t="s">
        <v>313</v>
      </c>
      <c r="B25" s="98" t="s">
        <v>314</v>
      </c>
      <c r="C25" s="98" t="s">
        <v>315</v>
      </c>
      <c r="D25" s="98" t="s">
        <v>347</v>
      </c>
      <c r="E25" s="99">
        <v>47</v>
      </c>
      <c r="F25" s="100">
        <v>13</v>
      </c>
      <c r="G25" s="101">
        <f>Table1[[#This Row],[Price]]*Table1[[#This Row],[Units]]</f>
        <v>611</v>
      </c>
      <c r="H25" s="96">
        <f>0.05*Table1[[#This Row],[Amount]]</f>
        <v>30.55</v>
      </c>
    </row>
    <row r="26" spans="1:8" x14ac:dyDescent="0.35">
      <c r="A26" s="97" t="s">
        <v>327</v>
      </c>
      <c r="B26" s="98" t="s">
        <v>332</v>
      </c>
      <c r="C26" s="98" t="s">
        <v>333</v>
      </c>
      <c r="D26" s="98" t="s">
        <v>349</v>
      </c>
      <c r="E26" s="99">
        <v>31</v>
      </c>
      <c r="F26" s="100">
        <v>10</v>
      </c>
      <c r="G26" s="101">
        <f>Table1[[#This Row],[Price]]*Table1[[#This Row],[Units]]</f>
        <v>310</v>
      </c>
      <c r="H26" s="96">
        <f>0.05*Table1[[#This Row],[Amount]]</f>
        <v>15.5</v>
      </c>
    </row>
    <row r="27" spans="1:8" x14ac:dyDescent="0.35">
      <c r="A27" s="97" t="s">
        <v>327</v>
      </c>
      <c r="B27" s="98" t="s">
        <v>332</v>
      </c>
      <c r="C27" s="98" t="s">
        <v>412</v>
      </c>
      <c r="D27" s="98" t="s">
        <v>350</v>
      </c>
      <c r="E27" s="99">
        <v>16</v>
      </c>
      <c r="F27" s="100">
        <v>19</v>
      </c>
      <c r="G27" s="101">
        <f>Table1[[#This Row],[Price]]*Table1[[#This Row],[Units]]</f>
        <v>304</v>
      </c>
      <c r="H27" s="96">
        <f>0.05*Table1[[#This Row],[Amount]]</f>
        <v>15.200000000000001</v>
      </c>
    </row>
    <row r="28" spans="1:8" x14ac:dyDescent="0.35">
      <c r="A28" s="97" t="s">
        <v>313</v>
      </c>
      <c r="B28" s="98" t="s">
        <v>314</v>
      </c>
      <c r="C28" s="98" t="s">
        <v>315</v>
      </c>
      <c r="D28" s="98" t="s">
        <v>343</v>
      </c>
      <c r="E28" s="99">
        <v>58</v>
      </c>
      <c r="F28" s="100">
        <v>12</v>
      </c>
      <c r="G28" s="101">
        <f>Table1[[#This Row],[Price]]*Table1[[#This Row],[Units]]</f>
        <v>696</v>
      </c>
      <c r="H28" s="96">
        <f>0.05*Table1[[#This Row],[Amount]]</f>
        <v>34.800000000000004</v>
      </c>
    </row>
    <row r="29" spans="1:8" x14ac:dyDescent="0.35">
      <c r="A29" s="97" t="s">
        <v>327</v>
      </c>
      <c r="B29" s="98" t="s">
        <v>319</v>
      </c>
      <c r="C29" s="98" t="s">
        <v>333</v>
      </c>
      <c r="D29" s="98" t="s">
        <v>416</v>
      </c>
      <c r="E29" s="99">
        <v>63</v>
      </c>
      <c r="F29" s="100">
        <v>13</v>
      </c>
      <c r="G29" s="101">
        <f>Table1[[#This Row],[Price]]*Table1[[#This Row],[Units]]</f>
        <v>819</v>
      </c>
      <c r="H29" s="96">
        <f>0.05*Table1[[#This Row],[Amount]]</f>
        <v>40.950000000000003</v>
      </c>
    </row>
    <row r="30" spans="1:8" x14ac:dyDescent="0.35">
      <c r="A30" s="97" t="s">
        <v>336</v>
      </c>
      <c r="B30" s="98" t="s">
        <v>314</v>
      </c>
      <c r="C30" s="98" t="s">
        <v>412</v>
      </c>
      <c r="D30" s="98" t="s">
        <v>394</v>
      </c>
      <c r="E30" s="99">
        <v>28</v>
      </c>
      <c r="F30" s="100">
        <v>10</v>
      </c>
      <c r="G30" s="101">
        <f>Table1[[#This Row],[Price]]*Table1[[#This Row],[Units]]</f>
        <v>280</v>
      </c>
      <c r="H30" s="96">
        <f>0.05*Table1[[#This Row],[Amount]]</f>
        <v>14</v>
      </c>
    </row>
    <row r="31" spans="1:8" x14ac:dyDescent="0.35">
      <c r="A31" s="97" t="s">
        <v>336</v>
      </c>
      <c r="B31" s="98" t="s">
        <v>393</v>
      </c>
      <c r="C31" s="98" t="s">
        <v>412</v>
      </c>
      <c r="D31" s="98" t="s">
        <v>407</v>
      </c>
      <c r="E31" s="99">
        <v>11</v>
      </c>
      <c r="F31" s="100">
        <v>16</v>
      </c>
      <c r="G31" s="101">
        <f>Table1[[#This Row],[Price]]*Table1[[#This Row],[Units]]</f>
        <v>176</v>
      </c>
      <c r="H31" s="96">
        <f>0.05*Table1[[#This Row],[Amount]]</f>
        <v>8.8000000000000007</v>
      </c>
    </row>
    <row r="32" spans="1:8" x14ac:dyDescent="0.35">
      <c r="A32" s="97" t="s">
        <v>327</v>
      </c>
      <c r="B32" s="98" t="s">
        <v>332</v>
      </c>
      <c r="C32" s="98" t="s">
        <v>412</v>
      </c>
      <c r="D32" s="98" t="s">
        <v>339</v>
      </c>
      <c r="E32" s="99">
        <v>14</v>
      </c>
      <c r="F32" s="100">
        <v>18</v>
      </c>
      <c r="G32" s="101">
        <f>Table1[[#This Row],[Price]]*Table1[[#This Row],[Units]]</f>
        <v>252</v>
      </c>
      <c r="H32" s="96">
        <f>0.05*Table1[[#This Row],[Amount]]</f>
        <v>12.600000000000001</v>
      </c>
    </row>
    <row r="33" spans="1:8" x14ac:dyDescent="0.35">
      <c r="A33" s="97" t="s">
        <v>313</v>
      </c>
      <c r="B33" s="98" t="s">
        <v>332</v>
      </c>
      <c r="C33" s="98" t="s">
        <v>412</v>
      </c>
      <c r="D33" s="98" t="s">
        <v>348</v>
      </c>
      <c r="E33" s="99">
        <v>35</v>
      </c>
      <c r="F33" s="100">
        <v>24</v>
      </c>
      <c r="G33" s="101">
        <f>Table1[[#This Row],[Price]]*Table1[[#This Row],[Units]]</f>
        <v>840</v>
      </c>
      <c r="H33" s="96">
        <f>0.05*Table1[[#This Row],[Amount]]</f>
        <v>42</v>
      </c>
    </row>
    <row r="34" spans="1:8" x14ac:dyDescent="0.35">
      <c r="A34" s="97" t="s">
        <v>322</v>
      </c>
      <c r="B34" s="98" t="s">
        <v>332</v>
      </c>
      <c r="C34" s="98" t="s">
        <v>324</v>
      </c>
      <c r="D34" s="98" t="s">
        <v>329</v>
      </c>
      <c r="E34" s="99">
        <v>33</v>
      </c>
      <c r="F34" s="100">
        <v>9</v>
      </c>
      <c r="G34" s="101">
        <f>Table1[[#This Row],[Price]]*Table1[[#This Row],[Units]]</f>
        <v>297</v>
      </c>
      <c r="H34" s="96">
        <f>0.05*Table1[[#This Row],[Amount]]</f>
        <v>14.850000000000001</v>
      </c>
    </row>
    <row r="35" spans="1:8" x14ac:dyDescent="0.35">
      <c r="A35" s="97" t="s">
        <v>322</v>
      </c>
      <c r="B35" s="98" t="s">
        <v>314</v>
      </c>
      <c r="C35" s="98" t="s">
        <v>390</v>
      </c>
      <c r="D35" s="98" t="s">
        <v>407</v>
      </c>
      <c r="E35" s="99">
        <v>33</v>
      </c>
      <c r="F35" s="100">
        <v>9</v>
      </c>
      <c r="G35" s="101">
        <f>Table1[[#This Row],[Price]]*Table1[[#This Row],[Units]]</f>
        <v>297</v>
      </c>
      <c r="H35" s="96">
        <f>0.05*Table1[[#This Row],[Amount]]</f>
        <v>14.850000000000001</v>
      </c>
    </row>
    <row r="36" spans="1:8" x14ac:dyDescent="0.35">
      <c r="A36" s="97" t="s">
        <v>336</v>
      </c>
      <c r="B36" s="98" t="s">
        <v>314</v>
      </c>
      <c r="C36" s="98" t="s">
        <v>412</v>
      </c>
      <c r="D36" s="98" t="s">
        <v>347</v>
      </c>
      <c r="E36" s="99">
        <v>10</v>
      </c>
      <c r="F36" s="100">
        <v>12</v>
      </c>
      <c r="G36" s="101">
        <f>Table1[[#This Row],[Price]]*Table1[[#This Row],[Units]]</f>
        <v>120</v>
      </c>
      <c r="H36" s="96">
        <f>0.05*Table1[[#This Row],[Amount]]</f>
        <v>6</v>
      </c>
    </row>
    <row r="37" spans="1:8" x14ac:dyDescent="0.35">
      <c r="A37" s="97" t="s">
        <v>322</v>
      </c>
      <c r="B37" s="98" t="s">
        <v>319</v>
      </c>
      <c r="C37" s="98" t="s">
        <v>315</v>
      </c>
      <c r="D37" s="98" t="s">
        <v>406</v>
      </c>
      <c r="E37" s="99">
        <v>56</v>
      </c>
      <c r="F37" s="100">
        <v>23</v>
      </c>
      <c r="G37" s="101">
        <f>Table1[[#This Row],[Price]]*Table1[[#This Row],[Units]]</f>
        <v>1288</v>
      </c>
      <c r="H37" s="96">
        <f>0.05*Table1[[#This Row],[Amount]]</f>
        <v>64.400000000000006</v>
      </c>
    </row>
    <row r="38" spans="1:8" x14ac:dyDescent="0.35">
      <c r="A38" s="97" t="s">
        <v>313</v>
      </c>
      <c r="B38" s="98" t="s">
        <v>393</v>
      </c>
      <c r="C38" s="98" t="s">
        <v>333</v>
      </c>
      <c r="D38" s="98" t="s">
        <v>405</v>
      </c>
      <c r="E38" s="99">
        <v>30</v>
      </c>
      <c r="F38" s="100">
        <v>14</v>
      </c>
      <c r="G38" s="101">
        <f>Table1[[#This Row],[Price]]*Table1[[#This Row],[Units]]</f>
        <v>420</v>
      </c>
      <c r="H38" s="96">
        <f>0.05*Table1[[#This Row],[Amount]]</f>
        <v>21</v>
      </c>
    </row>
    <row r="39" spans="1:8" x14ac:dyDescent="0.35">
      <c r="A39" s="97" t="s">
        <v>336</v>
      </c>
      <c r="B39" s="98" t="s">
        <v>393</v>
      </c>
      <c r="C39" s="98" t="s">
        <v>320</v>
      </c>
      <c r="D39" s="98" t="s">
        <v>391</v>
      </c>
      <c r="E39" s="99">
        <v>38</v>
      </c>
      <c r="F39" s="100">
        <v>10</v>
      </c>
      <c r="G39" s="101">
        <f>Table1[[#This Row],[Price]]*Table1[[#This Row],[Units]]</f>
        <v>380</v>
      </c>
      <c r="H39" s="96">
        <f>0.05*Table1[[#This Row],[Amount]]</f>
        <v>19</v>
      </c>
    </row>
    <row r="40" spans="1:8" x14ac:dyDescent="0.35">
      <c r="A40" s="97" t="s">
        <v>327</v>
      </c>
      <c r="B40" s="98" t="s">
        <v>393</v>
      </c>
      <c r="C40" s="98" t="s">
        <v>412</v>
      </c>
      <c r="D40" s="98" t="s">
        <v>400</v>
      </c>
      <c r="E40" s="99">
        <v>55</v>
      </c>
      <c r="F40" s="100">
        <v>14</v>
      </c>
      <c r="G40" s="101">
        <f>Table1[[#This Row],[Price]]*Table1[[#This Row],[Units]]</f>
        <v>770</v>
      </c>
      <c r="H40" s="96">
        <f>0.05*Table1[[#This Row],[Amount]]</f>
        <v>38.5</v>
      </c>
    </row>
    <row r="41" spans="1:8" x14ac:dyDescent="0.35">
      <c r="A41" s="97" t="s">
        <v>336</v>
      </c>
      <c r="B41" s="98" t="s">
        <v>393</v>
      </c>
      <c r="C41" s="98" t="s">
        <v>333</v>
      </c>
      <c r="D41" s="98" t="s">
        <v>417</v>
      </c>
      <c r="E41" s="99">
        <v>36</v>
      </c>
      <c r="F41" s="100">
        <v>19</v>
      </c>
      <c r="G41" s="101">
        <f>Table1[[#This Row],[Price]]*Table1[[#This Row],[Units]]</f>
        <v>684</v>
      </c>
      <c r="H41" s="96">
        <f>0.05*Table1[[#This Row],[Amount]]</f>
        <v>34.200000000000003</v>
      </c>
    </row>
    <row r="42" spans="1:8" x14ac:dyDescent="0.35">
      <c r="A42" s="97" t="s">
        <v>318</v>
      </c>
      <c r="B42" s="98" t="s">
        <v>393</v>
      </c>
      <c r="C42" s="98" t="s">
        <v>412</v>
      </c>
      <c r="D42" s="98" t="s">
        <v>334</v>
      </c>
      <c r="E42" s="99">
        <v>41</v>
      </c>
      <c r="F42" s="100">
        <v>11</v>
      </c>
      <c r="G42" s="101">
        <f>Table1[[#This Row],[Price]]*Table1[[#This Row],[Units]]</f>
        <v>451</v>
      </c>
      <c r="H42" s="96">
        <f>0.05*Table1[[#This Row],[Amount]]</f>
        <v>22.55</v>
      </c>
    </row>
    <row r="43" spans="1:8" x14ac:dyDescent="0.35">
      <c r="A43" s="97" t="s">
        <v>318</v>
      </c>
      <c r="B43" s="98" t="s">
        <v>319</v>
      </c>
      <c r="C43" s="98" t="s">
        <v>324</v>
      </c>
      <c r="D43" s="98" t="s">
        <v>406</v>
      </c>
      <c r="E43" s="99">
        <v>19</v>
      </c>
      <c r="F43" s="100">
        <v>15</v>
      </c>
      <c r="G43" s="101">
        <f>Table1[[#This Row],[Price]]*Table1[[#This Row],[Units]]</f>
        <v>285</v>
      </c>
      <c r="H43" s="96">
        <f>0.05*Table1[[#This Row],[Amount]]</f>
        <v>14.25</v>
      </c>
    </row>
    <row r="44" spans="1:8" x14ac:dyDescent="0.35">
      <c r="A44" s="97" t="s">
        <v>336</v>
      </c>
      <c r="B44" s="98" t="s">
        <v>319</v>
      </c>
      <c r="C44" s="98" t="s">
        <v>412</v>
      </c>
      <c r="D44" s="98" t="s">
        <v>334</v>
      </c>
      <c r="E44" s="99">
        <v>48</v>
      </c>
      <c r="F44" s="100">
        <v>9</v>
      </c>
      <c r="G44" s="101">
        <f>Table1[[#This Row],[Price]]*Table1[[#This Row],[Units]]</f>
        <v>432</v>
      </c>
      <c r="H44" s="96">
        <f>0.05*Table1[[#This Row],[Amount]]</f>
        <v>21.6</v>
      </c>
    </row>
    <row r="45" spans="1:8" x14ac:dyDescent="0.35">
      <c r="A45" s="97" t="s">
        <v>327</v>
      </c>
      <c r="B45" s="98" t="s">
        <v>332</v>
      </c>
      <c r="C45" s="98" t="s">
        <v>390</v>
      </c>
      <c r="D45" s="98" t="s">
        <v>406</v>
      </c>
      <c r="E45" s="99">
        <v>16</v>
      </c>
      <c r="F45" s="100">
        <v>17</v>
      </c>
      <c r="G45" s="101">
        <f>Table1[[#This Row],[Price]]*Table1[[#This Row],[Units]]</f>
        <v>272</v>
      </c>
      <c r="H45" s="96">
        <f>0.05*Table1[[#This Row],[Amount]]</f>
        <v>13.600000000000001</v>
      </c>
    </row>
    <row r="46" spans="1:8" x14ac:dyDescent="0.35">
      <c r="A46" s="97" t="s">
        <v>336</v>
      </c>
      <c r="B46" s="98" t="s">
        <v>332</v>
      </c>
      <c r="C46" s="98" t="s">
        <v>338</v>
      </c>
      <c r="D46" s="98" t="s">
        <v>340</v>
      </c>
      <c r="E46" s="99">
        <v>51</v>
      </c>
      <c r="F46" s="100">
        <v>14</v>
      </c>
      <c r="G46" s="101">
        <f>Table1[[#This Row],[Price]]*Table1[[#This Row],[Units]]</f>
        <v>714</v>
      </c>
      <c r="H46" s="96">
        <f>0.05*Table1[[#This Row],[Amount]]</f>
        <v>35.700000000000003</v>
      </c>
    </row>
    <row r="47" spans="1:8" x14ac:dyDescent="0.35">
      <c r="A47" s="97" t="s">
        <v>327</v>
      </c>
      <c r="B47" s="98" t="s">
        <v>314</v>
      </c>
      <c r="C47" s="98" t="s">
        <v>338</v>
      </c>
      <c r="D47" s="98" t="s">
        <v>335</v>
      </c>
      <c r="E47" s="99">
        <v>21</v>
      </c>
      <c r="F47" s="100">
        <v>22</v>
      </c>
      <c r="G47" s="101">
        <f>Table1[[#This Row],[Price]]*Table1[[#This Row],[Units]]</f>
        <v>462</v>
      </c>
      <c r="H47" s="96">
        <f>0.05*Table1[[#This Row],[Amount]]</f>
        <v>23.1</v>
      </c>
    </row>
    <row r="48" spans="1:8" x14ac:dyDescent="0.35">
      <c r="A48" s="97" t="s">
        <v>318</v>
      </c>
      <c r="B48" s="98" t="s">
        <v>332</v>
      </c>
      <c r="C48" s="98" t="s">
        <v>412</v>
      </c>
      <c r="D48" s="98" t="s">
        <v>346</v>
      </c>
      <c r="E48" s="99">
        <v>47</v>
      </c>
      <c r="F48" s="100">
        <v>13</v>
      </c>
      <c r="G48" s="101">
        <f>Table1[[#This Row],[Price]]*Table1[[#This Row],[Units]]</f>
        <v>611</v>
      </c>
      <c r="H48" s="96">
        <f>0.05*Table1[[#This Row],[Amount]]</f>
        <v>30.55</v>
      </c>
    </row>
    <row r="49" spans="1:8" x14ac:dyDescent="0.35">
      <c r="A49" s="97" t="s">
        <v>318</v>
      </c>
      <c r="B49" s="98" t="s">
        <v>319</v>
      </c>
      <c r="C49" s="98" t="s">
        <v>338</v>
      </c>
      <c r="D49" s="98" t="s">
        <v>407</v>
      </c>
      <c r="E49" s="99">
        <v>37</v>
      </c>
      <c r="F49" s="100">
        <v>22</v>
      </c>
      <c r="G49" s="101">
        <f>Table1[[#This Row],[Price]]*Table1[[#This Row],[Units]]</f>
        <v>814</v>
      </c>
      <c r="H49" s="96">
        <f>0.05*Table1[[#This Row],[Amount]]</f>
        <v>40.700000000000003</v>
      </c>
    </row>
    <row r="50" spans="1:8" x14ac:dyDescent="0.35">
      <c r="A50" s="97" t="s">
        <v>313</v>
      </c>
      <c r="B50" s="98" t="s">
        <v>319</v>
      </c>
      <c r="C50" s="98" t="s">
        <v>315</v>
      </c>
      <c r="D50" s="98" t="s">
        <v>348</v>
      </c>
      <c r="E50" s="99">
        <v>47</v>
      </c>
      <c r="F50" s="100">
        <v>20</v>
      </c>
      <c r="G50" s="101">
        <f>Table1[[#This Row],[Price]]*Table1[[#This Row],[Units]]</f>
        <v>940</v>
      </c>
      <c r="H50" s="96">
        <f>0.05*Table1[[#This Row],[Amount]]</f>
        <v>47</v>
      </c>
    </row>
    <row r="51" spans="1:8" x14ac:dyDescent="0.35">
      <c r="A51" s="104" t="s">
        <v>336</v>
      </c>
      <c r="B51" s="105" t="s">
        <v>319</v>
      </c>
      <c r="C51" s="105" t="s">
        <v>338</v>
      </c>
      <c r="D51" s="105" t="s">
        <v>341</v>
      </c>
      <c r="E51" s="106">
        <v>26</v>
      </c>
      <c r="F51" s="100">
        <v>12</v>
      </c>
      <c r="G51" s="101">
        <f>Table1[[#This Row],[Price]]*Table1[[#This Row],[Units]]</f>
        <v>312</v>
      </c>
      <c r="H51" s="96">
        <f>0.05*Table1[[#This Row],[Amount]]</f>
        <v>15.600000000000001</v>
      </c>
    </row>
    <row r="52" spans="1:8" x14ac:dyDescent="0.35">
      <c r="A52" s="96" t="s">
        <v>418</v>
      </c>
      <c r="B52" s="101"/>
      <c r="C52" s="101"/>
      <c r="D52" s="101"/>
      <c r="E52" s="107"/>
      <c r="F52" s="108">
        <f>SUBTOTAL(101,Table1[Price])</f>
        <v>14.18</v>
      </c>
      <c r="G52" s="101">
        <f>SUBTOTAL(109,Table1[Amount])</f>
        <v>24848</v>
      </c>
      <c r="H52" s="101"/>
    </row>
    <row r="61" spans="1:8" x14ac:dyDescent="0.35">
      <c r="A61" s="109"/>
      <c r="B61" s="109"/>
      <c r="C61" s="109"/>
      <c r="D61" s="109"/>
      <c r="F61" s="109"/>
    </row>
    <row r="62" spans="1:8" x14ac:dyDescent="0.35">
      <c r="A62" s="109"/>
      <c r="B62" s="109"/>
      <c r="C62" s="109"/>
      <c r="D62" s="109"/>
      <c r="F62" s="109"/>
    </row>
    <row r="63" spans="1:8" x14ac:dyDescent="0.35">
      <c r="A63" s="109"/>
      <c r="B63" s="109"/>
      <c r="C63" s="109"/>
      <c r="D63" s="109"/>
      <c r="F63" s="109"/>
    </row>
    <row r="64" spans="1:8" x14ac:dyDescent="0.35">
      <c r="A64" s="109"/>
      <c r="B64" s="109"/>
      <c r="C64" s="109"/>
      <c r="D64" s="109"/>
      <c r="F64" s="109"/>
    </row>
    <row r="65" spans="1:6" x14ac:dyDescent="0.35">
      <c r="A65" s="109"/>
      <c r="B65" s="109"/>
      <c r="C65" s="109"/>
      <c r="D65" s="109"/>
      <c r="F65" s="109"/>
    </row>
    <row r="66" spans="1:6" x14ac:dyDescent="0.35">
      <c r="A66" s="109"/>
      <c r="B66" s="109"/>
      <c r="C66" s="109"/>
      <c r="D66" s="109"/>
      <c r="F66" s="109"/>
    </row>
    <row r="67" spans="1:6" x14ac:dyDescent="0.35">
      <c r="A67" s="109"/>
      <c r="B67" s="109"/>
      <c r="C67" s="109"/>
      <c r="D67" s="109"/>
      <c r="F67" s="109"/>
    </row>
    <row r="68" spans="1:6" x14ac:dyDescent="0.35">
      <c r="A68" s="109"/>
      <c r="B68" s="109"/>
      <c r="C68" s="109"/>
      <c r="D68" s="109"/>
      <c r="F68" s="109"/>
    </row>
    <row r="69" spans="1:6" x14ac:dyDescent="0.35">
      <c r="A69" s="109"/>
      <c r="B69" s="109"/>
      <c r="C69" s="109"/>
      <c r="D69" s="109"/>
      <c r="F69" s="109"/>
    </row>
    <row r="70" spans="1:6" x14ac:dyDescent="0.35">
      <c r="A70" s="109"/>
      <c r="B70" s="109"/>
      <c r="C70" s="109"/>
      <c r="D70" s="109"/>
      <c r="F70" s="109"/>
    </row>
    <row r="71" spans="1:6" x14ac:dyDescent="0.35">
      <c r="A71" s="109"/>
      <c r="B71" s="109"/>
      <c r="C71" s="109"/>
      <c r="D71" s="109"/>
      <c r="F71" s="109"/>
    </row>
    <row r="72" spans="1:6" x14ac:dyDescent="0.35">
      <c r="A72" s="109"/>
      <c r="B72" s="109"/>
      <c r="C72" s="109"/>
      <c r="D72" s="109"/>
      <c r="F72" s="109"/>
    </row>
    <row r="73" spans="1:6" x14ac:dyDescent="0.35">
      <c r="A73" s="109"/>
      <c r="B73" s="109"/>
      <c r="C73" s="109"/>
      <c r="D73" s="109"/>
      <c r="F73" s="109"/>
    </row>
    <row r="74" spans="1:6" x14ac:dyDescent="0.35">
      <c r="A74" s="109"/>
      <c r="B74" s="109"/>
      <c r="C74" s="109"/>
      <c r="D74" s="109"/>
      <c r="F74" s="109"/>
    </row>
    <row r="75" spans="1:6" x14ac:dyDescent="0.35">
      <c r="A75" s="109"/>
      <c r="B75" s="109"/>
      <c r="C75" s="109"/>
      <c r="D75" s="109"/>
      <c r="F75" s="109"/>
    </row>
    <row r="76" spans="1:6" x14ac:dyDescent="0.35">
      <c r="A76" s="109"/>
      <c r="B76" s="109"/>
      <c r="C76" s="109"/>
      <c r="D76" s="109"/>
      <c r="F76" s="109"/>
    </row>
    <row r="77" spans="1:6" x14ac:dyDescent="0.35">
      <c r="A77" s="109"/>
      <c r="B77" s="109"/>
      <c r="C77" s="109"/>
      <c r="D77" s="109"/>
      <c r="F77" s="109"/>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E4C2C-68C0-4954-AB92-6E7E6870F998}">
  <sheetPr codeName="Sheet8"/>
  <dimension ref="A1:P1253"/>
  <sheetViews>
    <sheetView workbookViewId="0">
      <selection activeCell="K21" sqref="K21"/>
    </sheetView>
  </sheetViews>
  <sheetFormatPr defaultColWidth="8.83203125" defaultRowHeight="15.5" x14ac:dyDescent="0.35"/>
  <cols>
    <col min="1" max="1" width="11.58203125" style="132" customWidth="1"/>
    <col min="2" max="2" width="9.33203125" style="114" customWidth="1"/>
    <col min="3" max="3" width="8.58203125" style="114" customWidth="1"/>
    <col min="4" max="4" width="10.1640625" style="114" customWidth="1"/>
    <col min="5" max="5" width="8.33203125" style="114" customWidth="1"/>
    <col min="6" max="6" width="7.25" style="132" customWidth="1"/>
    <col min="7" max="7" width="8.33203125" style="114" customWidth="1"/>
    <col min="8" max="8" width="10.9140625" style="114" customWidth="1"/>
    <col min="9" max="9" width="12.4140625" style="114" bestFit="1" customWidth="1"/>
    <col min="10" max="10" width="9.5" style="114" customWidth="1"/>
    <col min="11" max="11" width="13.9140625" style="115" customWidth="1"/>
    <col min="12" max="12" width="15.6640625" style="115" customWidth="1"/>
    <col min="13" max="13" width="15.5" style="115" customWidth="1"/>
    <col min="14" max="15" width="15.5" style="115" bestFit="1" customWidth="1"/>
    <col min="16" max="257" width="15.5" style="114" bestFit="1" customWidth="1"/>
    <col min="258" max="258" width="11.08203125" style="114" bestFit="1" customWidth="1"/>
    <col min="259" max="16384" width="8.83203125" style="114"/>
  </cols>
  <sheetData>
    <row r="1" spans="1:16" x14ac:dyDescent="0.35">
      <c r="A1" s="110" t="s">
        <v>303</v>
      </c>
      <c r="B1" s="111" t="s">
        <v>304</v>
      </c>
      <c r="C1" s="111" t="s">
        <v>305</v>
      </c>
      <c r="D1" s="111" t="s">
        <v>306</v>
      </c>
      <c r="E1" s="111" t="s">
        <v>307</v>
      </c>
      <c r="F1" s="111" t="s">
        <v>308</v>
      </c>
      <c r="G1" s="111" t="s">
        <v>262</v>
      </c>
      <c r="H1" s="112" t="s">
        <v>419</v>
      </c>
      <c r="I1" s="113" t="s">
        <v>420</v>
      </c>
      <c r="M1" s="116" t="s">
        <v>421</v>
      </c>
    </row>
    <row r="2" spans="1:16" x14ac:dyDescent="0.35">
      <c r="A2" s="117">
        <v>45471</v>
      </c>
      <c r="B2" s="118" t="s">
        <v>422</v>
      </c>
      <c r="C2" s="118" t="s">
        <v>393</v>
      </c>
      <c r="D2" s="118" t="s">
        <v>423</v>
      </c>
      <c r="E2" s="118" t="s">
        <v>316</v>
      </c>
      <c r="F2" s="119">
        <v>45</v>
      </c>
      <c r="G2" s="120">
        <v>24</v>
      </c>
      <c r="H2" s="121">
        <f>(F2*G2)+VLOOKUP(C2,$K$11:$L$14,2,FALSE)*F2</f>
        <v>1170</v>
      </c>
      <c r="I2" s="122">
        <f t="shared" ref="I2:I65" si="0">H2*VLOOKUP(D2,$O$4:$P$10,2,TRUE)</f>
        <v>70.2</v>
      </c>
      <c r="K2" s="115" t="s">
        <v>424</v>
      </c>
    </row>
    <row r="3" spans="1:16" x14ac:dyDescent="0.35">
      <c r="A3" s="117">
        <v>45471</v>
      </c>
      <c r="B3" s="118" t="s">
        <v>327</v>
      </c>
      <c r="C3" s="118" t="s">
        <v>393</v>
      </c>
      <c r="D3" s="118" t="s">
        <v>423</v>
      </c>
      <c r="E3" s="118" t="s">
        <v>329</v>
      </c>
      <c r="F3" s="119">
        <v>60</v>
      </c>
      <c r="G3" s="120">
        <v>6</v>
      </c>
      <c r="H3" s="121">
        <f t="shared" ref="H3:H66" si="1">(F3*G3)+VLOOKUP(C3,$K$11:$L$14,2,FALSE)*F3</f>
        <v>480</v>
      </c>
      <c r="I3" s="122">
        <f t="shared" si="0"/>
        <v>28.799999999999997</v>
      </c>
      <c r="M3" s="115" t="s">
        <v>425</v>
      </c>
    </row>
    <row r="4" spans="1:16" x14ac:dyDescent="0.35">
      <c r="A4" s="117">
        <v>45471</v>
      </c>
      <c r="B4" s="118" t="s">
        <v>313</v>
      </c>
      <c r="C4" s="118" t="s">
        <v>332</v>
      </c>
      <c r="D4" s="118" t="s">
        <v>333</v>
      </c>
      <c r="E4" s="118" t="s">
        <v>394</v>
      </c>
      <c r="F4" s="119">
        <v>11</v>
      </c>
      <c r="G4" s="120">
        <v>13</v>
      </c>
      <c r="H4" s="121">
        <f t="shared" si="1"/>
        <v>187</v>
      </c>
      <c r="I4" s="122">
        <f t="shared" si="0"/>
        <v>9.35</v>
      </c>
      <c r="K4" s="115" t="s">
        <v>426</v>
      </c>
      <c r="M4" s="123" t="s">
        <v>427</v>
      </c>
      <c r="O4" s="122" t="s">
        <v>428</v>
      </c>
      <c r="P4" s="124">
        <v>0.06</v>
      </c>
    </row>
    <row r="5" spans="1:16" x14ac:dyDescent="0.35">
      <c r="A5" s="117">
        <v>45471</v>
      </c>
      <c r="B5" s="118" t="s">
        <v>322</v>
      </c>
      <c r="C5" s="118" t="s">
        <v>393</v>
      </c>
      <c r="D5" s="118" t="s">
        <v>324</v>
      </c>
      <c r="E5" s="118" t="s">
        <v>343</v>
      </c>
      <c r="F5" s="119">
        <v>15</v>
      </c>
      <c r="G5" s="120">
        <v>17</v>
      </c>
      <c r="H5" s="121">
        <f t="shared" si="1"/>
        <v>285</v>
      </c>
      <c r="I5" s="122">
        <f t="shared" si="0"/>
        <v>14.25</v>
      </c>
      <c r="K5" s="123" t="s">
        <v>429</v>
      </c>
      <c r="M5" s="123" t="s">
        <v>430</v>
      </c>
      <c r="O5" s="122" t="s">
        <v>333</v>
      </c>
      <c r="P5" s="124">
        <v>0.05</v>
      </c>
    </row>
    <row r="6" spans="1:16" x14ac:dyDescent="0.35">
      <c r="A6" s="117">
        <v>45471</v>
      </c>
      <c r="B6" s="118" t="s">
        <v>318</v>
      </c>
      <c r="C6" s="118" t="s">
        <v>319</v>
      </c>
      <c r="D6" s="118" t="s">
        <v>320</v>
      </c>
      <c r="E6" s="118" t="s">
        <v>405</v>
      </c>
      <c r="F6" s="119">
        <v>39</v>
      </c>
      <c r="G6" s="120">
        <v>4</v>
      </c>
      <c r="H6" s="121">
        <f t="shared" si="1"/>
        <v>195</v>
      </c>
      <c r="I6" s="122">
        <f t="shared" si="0"/>
        <v>11.7</v>
      </c>
      <c r="K6" s="123" t="s">
        <v>431</v>
      </c>
      <c r="M6" s="123" t="s">
        <v>432</v>
      </c>
      <c r="O6" s="122" t="s">
        <v>433</v>
      </c>
      <c r="P6" s="124">
        <v>7.0000000000000007E-2</v>
      </c>
    </row>
    <row r="7" spans="1:16" x14ac:dyDescent="0.35">
      <c r="A7" s="117">
        <v>45471</v>
      </c>
      <c r="B7" s="118" t="s">
        <v>313</v>
      </c>
      <c r="C7" s="118" t="s">
        <v>314</v>
      </c>
      <c r="D7" s="118" t="s">
        <v>315</v>
      </c>
      <c r="E7" s="118" t="s">
        <v>316</v>
      </c>
      <c r="F7" s="119">
        <v>19</v>
      </c>
      <c r="G7" s="120">
        <v>13</v>
      </c>
      <c r="H7" s="121">
        <f t="shared" si="1"/>
        <v>304</v>
      </c>
      <c r="I7" s="122">
        <f t="shared" si="0"/>
        <v>15.200000000000001</v>
      </c>
      <c r="K7" s="123" t="s">
        <v>434</v>
      </c>
      <c r="M7" s="123" t="s">
        <v>435</v>
      </c>
      <c r="O7" s="122" t="s">
        <v>436</v>
      </c>
      <c r="P7" s="124">
        <v>0.05</v>
      </c>
    </row>
    <row r="8" spans="1:16" x14ac:dyDescent="0.35">
      <c r="A8" s="117">
        <v>45472</v>
      </c>
      <c r="B8" s="118" t="s">
        <v>327</v>
      </c>
      <c r="C8" s="118" t="s">
        <v>314</v>
      </c>
      <c r="D8" s="118" t="s">
        <v>333</v>
      </c>
      <c r="E8" s="118" t="s">
        <v>341</v>
      </c>
      <c r="F8" s="119">
        <v>18</v>
      </c>
      <c r="G8" s="120">
        <v>6</v>
      </c>
      <c r="H8" s="121">
        <f t="shared" si="1"/>
        <v>162</v>
      </c>
      <c r="I8" s="122">
        <f t="shared" si="0"/>
        <v>8.1</v>
      </c>
      <c r="K8" s="123" t="s">
        <v>437</v>
      </c>
      <c r="M8" s="123" t="s">
        <v>438</v>
      </c>
      <c r="O8" s="122" t="s">
        <v>439</v>
      </c>
      <c r="P8" s="124">
        <v>0.06</v>
      </c>
    </row>
    <row r="9" spans="1:16" x14ac:dyDescent="0.35">
      <c r="A9" s="117">
        <v>45472</v>
      </c>
      <c r="B9" s="118" t="s">
        <v>313</v>
      </c>
      <c r="C9" s="118" t="s">
        <v>332</v>
      </c>
      <c r="D9" s="118" t="s">
        <v>324</v>
      </c>
      <c r="E9" s="118" t="s">
        <v>340</v>
      </c>
      <c r="F9" s="119">
        <v>14</v>
      </c>
      <c r="G9" s="120">
        <v>13</v>
      </c>
      <c r="H9" s="121">
        <f t="shared" si="1"/>
        <v>238</v>
      </c>
      <c r="I9" s="122">
        <f t="shared" si="0"/>
        <v>11.9</v>
      </c>
      <c r="M9" s="123" t="s">
        <v>440</v>
      </c>
      <c r="O9" s="122" t="s">
        <v>441</v>
      </c>
      <c r="P9" s="124">
        <v>7.0000000000000007E-2</v>
      </c>
    </row>
    <row r="10" spans="1:16" x14ac:dyDescent="0.35">
      <c r="A10" s="117">
        <v>45472</v>
      </c>
      <c r="B10" s="118" t="s">
        <v>318</v>
      </c>
      <c r="C10" s="118" t="s">
        <v>314</v>
      </c>
      <c r="D10" s="118" t="s">
        <v>338</v>
      </c>
      <c r="E10" s="118" t="s">
        <v>339</v>
      </c>
      <c r="F10" s="119">
        <v>60</v>
      </c>
      <c r="G10" s="120">
        <v>4</v>
      </c>
      <c r="H10" s="121">
        <f t="shared" si="1"/>
        <v>420</v>
      </c>
      <c r="I10" s="122">
        <f t="shared" si="0"/>
        <v>25.2</v>
      </c>
      <c r="M10" s="123" t="s">
        <v>442</v>
      </c>
      <c r="O10" s="122" t="s">
        <v>443</v>
      </c>
      <c r="P10" s="124">
        <v>0.05</v>
      </c>
    </row>
    <row r="11" spans="1:16" x14ac:dyDescent="0.35">
      <c r="A11" s="117">
        <v>45472</v>
      </c>
      <c r="B11" s="118" t="s">
        <v>422</v>
      </c>
      <c r="C11" s="118" t="s">
        <v>319</v>
      </c>
      <c r="D11" s="118" t="s">
        <v>423</v>
      </c>
      <c r="E11" s="118" t="s">
        <v>337</v>
      </c>
      <c r="F11" s="119">
        <v>25</v>
      </c>
      <c r="G11" s="120">
        <v>24</v>
      </c>
      <c r="H11" s="121">
        <f t="shared" si="1"/>
        <v>625</v>
      </c>
      <c r="I11" s="122">
        <f t="shared" si="0"/>
        <v>37.5</v>
      </c>
      <c r="K11" s="122" t="s">
        <v>393</v>
      </c>
      <c r="L11" s="125">
        <v>2</v>
      </c>
    </row>
    <row r="12" spans="1:16" x14ac:dyDescent="0.35">
      <c r="A12" s="117">
        <v>45472</v>
      </c>
      <c r="B12" s="118" t="s">
        <v>313</v>
      </c>
      <c r="C12" s="118" t="s">
        <v>319</v>
      </c>
      <c r="D12" s="118" t="s">
        <v>315</v>
      </c>
      <c r="E12" s="118" t="s">
        <v>335</v>
      </c>
      <c r="F12" s="119">
        <v>27</v>
      </c>
      <c r="G12" s="120">
        <v>13</v>
      </c>
      <c r="H12" s="121">
        <f t="shared" si="1"/>
        <v>378</v>
      </c>
      <c r="I12" s="122">
        <f t="shared" si="0"/>
        <v>18.900000000000002</v>
      </c>
      <c r="K12" s="122" t="s">
        <v>314</v>
      </c>
      <c r="L12" s="125">
        <v>3</v>
      </c>
    </row>
    <row r="13" spans="1:16" x14ac:dyDescent="0.35">
      <c r="A13" s="117">
        <v>45473</v>
      </c>
      <c r="B13" s="118" t="s">
        <v>322</v>
      </c>
      <c r="C13" s="118" t="s">
        <v>314</v>
      </c>
      <c r="D13" s="118" t="s">
        <v>320</v>
      </c>
      <c r="E13" s="118" t="s">
        <v>342</v>
      </c>
      <c r="F13" s="119">
        <v>60</v>
      </c>
      <c r="G13" s="120">
        <v>17</v>
      </c>
      <c r="H13" s="121">
        <f t="shared" si="1"/>
        <v>1200</v>
      </c>
      <c r="I13" s="122">
        <f t="shared" si="0"/>
        <v>72</v>
      </c>
      <c r="K13" s="122" t="s">
        <v>319</v>
      </c>
      <c r="L13" s="125">
        <v>1</v>
      </c>
    </row>
    <row r="14" spans="1:16" x14ac:dyDescent="0.35">
      <c r="A14" s="117">
        <v>45473</v>
      </c>
      <c r="B14" s="118" t="s">
        <v>318</v>
      </c>
      <c r="C14" s="118" t="s">
        <v>319</v>
      </c>
      <c r="D14" s="118" t="s">
        <v>320</v>
      </c>
      <c r="E14" s="118" t="s">
        <v>316</v>
      </c>
      <c r="F14" s="119">
        <v>53</v>
      </c>
      <c r="G14" s="120">
        <v>4</v>
      </c>
      <c r="H14" s="121">
        <f t="shared" si="1"/>
        <v>265</v>
      </c>
      <c r="I14" s="122">
        <f t="shared" si="0"/>
        <v>15.899999999999999</v>
      </c>
      <c r="K14" s="122" t="s">
        <v>332</v>
      </c>
      <c r="L14" s="125">
        <v>4</v>
      </c>
    </row>
    <row r="15" spans="1:16" x14ac:dyDescent="0.35">
      <c r="A15" s="117">
        <v>45474</v>
      </c>
      <c r="B15" s="118" t="s">
        <v>422</v>
      </c>
      <c r="C15" s="118" t="s">
        <v>332</v>
      </c>
      <c r="D15" s="118" t="s">
        <v>315</v>
      </c>
      <c r="E15" s="118" t="s">
        <v>341</v>
      </c>
      <c r="F15" s="119">
        <v>41</v>
      </c>
      <c r="G15" s="120">
        <v>24</v>
      </c>
      <c r="H15" s="121">
        <f t="shared" si="1"/>
        <v>1148</v>
      </c>
      <c r="I15" s="122">
        <f t="shared" si="0"/>
        <v>57.400000000000006</v>
      </c>
    </row>
    <row r="16" spans="1:16" x14ac:dyDescent="0.35">
      <c r="A16" s="117">
        <v>45474</v>
      </c>
      <c r="B16" s="118" t="s">
        <v>422</v>
      </c>
      <c r="C16" s="118" t="s">
        <v>319</v>
      </c>
      <c r="D16" s="118" t="s">
        <v>320</v>
      </c>
      <c r="E16" s="118" t="s">
        <v>345</v>
      </c>
      <c r="F16" s="119">
        <v>65</v>
      </c>
      <c r="G16" s="120">
        <v>24</v>
      </c>
      <c r="H16" s="121">
        <f t="shared" si="1"/>
        <v>1625</v>
      </c>
      <c r="I16" s="122">
        <f t="shared" si="0"/>
        <v>97.5</v>
      </c>
      <c r="N16" s="126">
        <f>EOMONTH(A16,-1)</f>
        <v>45473</v>
      </c>
    </row>
    <row r="17" spans="1:12" ht="16" thickBot="1" x14ac:dyDescent="0.4">
      <c r="A17" s="117">
        <v>45474</v>
      </c>
      <c r="B17" s="118" t="s">
        <v>322</v>
      </c>
      <c r="C17" s="118" t="s">
        <v>314</v>
      </c>
      <c r="D17" s="118" t="s">
        <v>333</v>
      </c>
      <c r="E17" s="118" t="s">
        <v>344</v>
      </c>
      <c r="F17" s="119">
        <v>14</v>
      </c>
      <c r="G17" s="120">
        <v>17</v>
      </c>
      <c r="H17" s="121">
        <f t="shared" si="1"/>
        <v>280</v>
      </c>
      <c r="I17" s="122">
        <f t="shared" si="0"/>
        <v>14</v>
      </c>
      <c r="K17" s="115" t="s">
        <v>444</v>
      </c>
    </row>
    <row r="18" spans="1:12" ht="16" thickBot="1" x14ac:dyDescent="0.4">
      <c r="A18" s="117">
        <v>45474</v>
      </c>
      <c r="B18" s="118" t="s">
        <v>327</v>
      </c>
      <c r="C18" s="118" t="s">
        <v>319</v>
      </c>
      <c r="D18" s="118" t="s">
        <v>423</v>
      </c>
      <c r="E18" s="118" t="s">
        <v>343</v>
      </c>
      <c r="F18" s="119">
        <v>41</v>
      </c>
      <c r="G18" s="120">
        <v>6</v>
      </c>
      <c r="H18" s="121">
        <f t="shared" si="1"/>
        <v>287</v>
      </c>
      <c r="I18" s="122">
        <f t="shared" si="0"/>
        <v>17.22</v>
      </c>
      <c r="K18" s="127">
        <f>SUMIF(D2:D1227,D11,I2:I1227)</f>
        <v>6914.7000000000035</v>
      </c>
      <c r="L18" s="115" t="s">
        <v>445</v>
      </c>
    </row>
    <row r="19" spans="1:12" ht="16" thickBot="1" x14ac:dyDescent="0.4">
      <c r="A19" s="117">
        <v>45475</v>
      </c>
      <c r="B19" s="118" t="s">
        <v>322</v>
      </c>
      <c r="C19" s="118" t="s">
        <v>314</v>
      </c>
      <c r="D19" s="118" t="s">
        <v>315</v>
      </c>
      <c r="E19" s="118" t="s">
        <v>341</v>
      </c>
      <c r="F19" s="119">
        <v>45</v>
      </c>
      <c r="G19" s="120">
        <v>17</v>
      </c>
      <c r="H19" s="121">
        <f t="shared" si="1"/>
        <v>900</v>
      </c>
      <c r="I19" s="122">
        <f t="shared" si="0"/>
        <v>45</v>
      </c>
      <c r="K19" s="127">
        <f>SUMIFS(H2:H1227,Products,B19,Employee,D19)</f>
        <v>33094</v>
      </c>
      <c r="L19" s="115" t="s">
        <v>446</v>
      </c>
    </row>
    <row r="20" spans="1:12" ht="16" thickBot="1" x14ac:dyDescent="0.4">
      <c r="A20" s="117">
        <v>45475</v>
      </c>
      <c r="B20" s="118" t="s">
        <v>318</v>
      </c>
      <c r="C20" s="118" t="s">
        <v>314</v>
      </c>
      <c r="D20" s="118" t="s">
        <v>338</v>
      </c>
      <c r="E20" s="118" t="s">
        <v>341</v>
      </c>
      <c r="F20" s="119">
        <v>22</v>
      </c>
      <c r="G20" s="120">
        <v>4</v>
      </c>
      <c r="H20" s="121">
        <f t="shared" si="1"/>
        <v>154</v>
      </c>
      <c r="I20" s="122">
        <f t="shared" si="0"/>
        <v>9.24</v>
      </c>
      <c r="K20" s="127">
        <f>COUNTIF(C2:C1227,C20)+COUNTIF(C2:C1227,C2)</f>
        <v>627</v>
      </c>
      <c r="L20" s="115" t="s">
        <v>447</v>
      </c>
    </row>
    <row r="21" spans="1:12" ht="16" thickBot="1" x14ac:dyDescent="0.4">
      <c r="A21" s="117">
        <v>45475</v>
      </c>
      <c r="B21" s="118" t="s">
        <v>327</v>
      </c>
      <c r="C21" s="118" t="s">
        <v>332</v>
      </c>
      <c r="D21" s="118" t="s">
        <v>320</v>
      </c>
      <c r="E21" s="118" t="s">
        <v>348</v>
      </c>
      <c r="F21" s="119">
        <v>54</v>
      </c>
      <c r="G21" s="120">
        <v>6</v>
      </c>
      <c r="H21" s="121">
        <f t="shared" si="1"/>
        <v>540</v>
      </c>
      <c r="I21" s="122">
        <f t="shared" si="0"/>
        <v>32.4</v>
      </c>
      <c r="K21" s="128">
        <f>SUMIFS(Units,Employee,D20,Products,B25)+SUMIFS(Units,Employee,D20,Products,B22)</f>
        <v>1485</v>
      </c>
      <c r="L21" s="115" t="s">
        <v>448</v>
      </c>
    </row>
    <row r="22" spans="1:12" ht="16" thickBot="1" x14ac:dyDescent="0.4">
      <c r="A22" s="117">
        <v>45475</v>
      </c>
      <c r="B22" s="118" t="s">
        <v>422</v>
      </c>
      <c r="C22" s="118" t="s">
        <v>393</v>
      </c>
      <c r="D22" s="118" t="s">
        <v>315</v>
      </c>
      <c r="E22" s="118" t="s">
        <v>347</v>
      </c>
      <c r="F22" s="119">
        <v>39</v>
      </c>
      <c r="G22" s="120">
        <v>24</v>
      </c>
      <c r="H22" s="121">
        <f t="shared" si="1"/>
        <v>1014</v>
      </c>
      <c r="I22" s="122">
        <f t="shared" si="0"/>
        <v>50.7</v>
      </c>
      <c r="K22" s="128">
        <f>SUMIFS(H2:H1227,Period,"&gt;=01-12-2024",Period,"&lt;=31-12-2024")</f>
        <v>63582</v>
      </c>
      <c r="L22" s="115" t="s">
        <v>449</v>
      </c>
    </row>
    <row r="23" spans="1:12" ht="16" thickBot="1" x14ac:dyDescent="0.4">
      <c r="A23" s="117">
        <v>45475</v>
      </c>
      <c r="B23" s="118" t="s">
        <v>318</v>
      </c>
      <c r="C23" s="118" t="s">
        <v>393</v>
      </c>
      <c r="D23" s="118" t="s">
        <v>333</v>
      </c>
      <c r="E23" s="118" t="s">
        <v>346</v>
      </c>
      <c r="F23" s="119">
        <v>25</v>
      </c>
      <c r="G23" s="120">
        <v>4</v>
      </c>
      <c r="H23" s="121">
        <f t="shared" si="1"/>
        <v>150</v>
      </c>
      <c r="I23" s="122">
        <f t="shared" si="0"/>
        <v>7.5</v>
      </c>
      <c r="K23" s="128">
        <f>SUMIFS(Units,Products,B26,Period,"&gt;=01-01-2025",Period,"&lt;=31-12-2025")</f>
        <v>4477</v>
      </c>
      <c r="L23" s="115" t="s">
        <v>450</v>
      </c>
    </row>
    <row r="24" spans="1:12" x14ac:dyDescent="0.35">
      <c r="A24" s="117">
        <v>45476</v>
      </c>
      <c r="B24" s="118" t="s">
        <v>327</v>
      </c>
      <c r="C24" s="118" t="s">
        <v>332</v>
      </c>
      <c r="D24" s="118" t="s">
        <v>333</v>
      </c>
      <c r="E24" s="118" t="s">
        <v>349</v>
      </c>
      <c r="F24" s="119">
        <v>31</v>
      </c>
      <c r="G24" s="120">
        <v>6</v>
      </c>
      <c r="H24" s="121">
        <f t="shared" si="1"/>
        <v>310</v>
      </c>
      <c r="I24" s="122">
        <f t="shared" si="0"/>
        <v>15.5</v>
      </c>
    </row>
    <row r="25" spans="1:12" x14ac:dyDescent="0.35">
      <c r="A25" s="117">
        <v>45476</v>
      </c>
      <c r="B25" s="118" t="s">
        <v>313</v>
      </c>
      <c r="C25" s="118" t="s">
        <v>314</v>
      </c>
      <c r="D25" s="118" t="s">
        <v>315</v>
      </c>
      <c r="E25" s="118" t="s">
        <v>347</v>
      </c>
      <c r="F25" s="119">
        <v>47</v>
      </c>
      <c r="G25" s="120">
        <v>13</v>
      </c>
      <c r="H25" s="121">
        <f t="shared" si="1"/>
        <v>752</v>
      </c>
      <c r="I25" s="122">
        <f t="shared" si="0"/>
        <v>37.6</v>
      </c>
      <c r="K25" s="115" t="s">
        <v>451</v>
      </c>
    </row>
    <row r="26" spans="1:12" x14ac:dyDescent="0.35">
      <c r="A26" s="117">
        <v>45476</v>
      </c>
      <c r="B26" s="118" t="s">
        <v>422</v>
      </c>
      <c r="C26" s="118" t="s">
        <v>314</v>
      </c>
      <c r="D26" s="118" t="s">
        <v>333</v>
      </c>
      <c r="E26" s="118" t="s">
        <v>343</v>
      </c>
      <c r="F26" s="119">
        <v>43</v>
      </c>
      <c r="G26" s="120">
        <v>24</v>
      </c>
      <c r="H26" s="121">
        <f t="shared" si="1"/>
        <v>1161</v>
      </c>
      <c r="I26" s="122">
        <f t="shared" si="0"/>
        <v>58.050000000000004</v>
      </c>
      <c r="L26" s="115" t="s">
        <v>452</v>
      </c>
    </row>
    <row r="27" spans="1:12" x14ac:dyDescent="0.35">
      <c r="A27" s="117">
        <v>45477</v>
      </c>
      <c r="B27" s="118" t="s">
        <v>327</v>
      </c>
      <c r="C27" s="118" t="s">
        <v>332</v>
      </c>
      <c r="D27" s="118" t="s">
        <v>423</v>
      </c>
      <c r="E27" s="118" t="s">
        <v>339</v>
      </c>
      <c r="F27" s="119">
        <v>14</v>
      </c>
      <c r="G27" s="120">
        <v>6</v>
      </c>
      <c r="H27" s="121">
        <f t="shared" si="1"/>
        <v>140</v>
      </c>
      <c r="I27" s="122">
        <f t="shared" si="0"/>
        <v>8.4</v>
      </c>
      <c r="L27" s="115" t="s">
        <v>453</v>
      </c>
    </row>
    <row r="28" spans="1:12" x14ac:dyDescent="0.35">
      <c r="A28" s="117">
        <v>45477</v>
      </c>
      <c r="B28" s="118" t="s">
        <v>422</v>
      </c>
      <c r="C28" s="118" t="s">
        <v>393</v>
      </c>
      <c r="D28" s="118" t="s">
        <v>423</v>
      </c>
      <c r="E28" s="118" t="s">
        <v>454</v>
      </c>
      <c r="F28" s="119">
        <v>11</v>
      </c>
      <c r="G28" s="120">
        <v>24</v>
      </c>
      <c r="H28" s="121">
        <f t="shared" si="1"/>
        <v>286</v>
      </c>
      <c r="I28" s="122">
        <f t="shared" si="0"/>
        <v>17.16</v>
      </c>
    </row>
    <row r="29" spans="1:12" x14ac:dyDescent="0.35">
      <c r="A29" s="117">
        <v>45477</v>
      </c>
      <c r="B29" s="118" t="s">
        <v>422</v>
      </c>
      <c r="C29" s="118" t="s">
        <v>314</v>
      </c>
      <c r="D29" s="118" t="s">
        <v>423</v>
      </c>
      <c r="E29" s="118" t="s">
        <v>394</v>
      </c>
      <c r="F29" s="119">
        <v>28</v>
      </c>
      <c r="G29" s="120">
        <v>24</v>
      </c>
      <c r="H29" s="121">
        <f t="shared" si="1"/>
        <v>756</v>
      </c>
      <c r="I29" s="122">
        <f t="shared" si="0"/>
        <v>45.36</v>
      </c>
    </row>
    <row r="30" spans="1:12" x14ac:dyDescent="0.35">
      <c r="A30" s="117">
        <v>45477</v>
      </c>
      <c r="B30" s="118" t="s">
        <v>327</v>
      </c>
      <c r="C30" s="118" t="s">
        <v>319</v>
      </c>
      <c r="D30" s="118" t="s">
        <v>333</v>
      </c>
      <c r="E30" s="118" t="s">
        <v>416</v>
      </c>
      <c r="F30" s="119">
        <v>63</v>
      </c>
      <c r="G30" s="120">
        <v>6</v>
      </c>
      <c r="H30" s="121">
        <f t="shared" si="1"/>
        <v>441</v>
      </c>
      <c r="I30" s="122">
        <f t="shared" si="0"/>
        <v>22.05</v>
      </c>
    </row>
    <row r="31" spans="1:12" x14ac:dyDescent="0.35">
      <c r="A31" s="117">
        <v>45477</v>
      </c>
      <c r="B31" s="118" t="s">
        <v>313</v>
      </c>
      <c r="C31" s="118" t="s">
        <v>314</v>
      </c>
      <c r="D31" s="118" t="s">
        <v>315</v>
      </c>
      <c r="E31" s="118" t="s">
        <v>343</v>
      </c>
      <c r="F31" s="119">
        <v>58</v>
      </c>
      <c r="G31" s="120">
        <v>13</v>
      </c>
      <c r="H31" s="121">
        <f t="shared" si="1"/>
        <v>928</v>
      </c>
      <c r="I31" s="122">
        <f t="shared" si="0"/>
        <v>46.400000000000006</v>
      </c>
    </row>
    <row r="32" spans="1:12" x14ac:dyDescent="0.35">
      <c r="A32" s="117">
        <v>45477</v>
      </c>
      <c r="B32" s="118" t="s">
        <v>327</v>
      </c>
      <c r="C32" s="118" t="s">
        <v>332</v>
      </c>
      <c r="D32" s="118" t="s">
        <v>423</v>
      </c>
      <c r="E32" s="118" t="s">
        <v>350</v>
      </c>
      <c r="F32" s="119">
        <v>16</v>
      </c>
      <c r="G32" s="120">
        <v>6</v>
      </c>
      <c r="H32" s="121">
        <f t="shared" si="1"/>
        <v>160</v>
      </c>
      <c r="I32" s="122">
        <f t="shared" si="0"/>
        <v>9.6</v>
      </c>
    </row>
    <row r="33" spans="1:9" x14ac:dyDescent="0.35">
      <c r="A33" s="117">
        <v>45479</v>
      </c>
      <c r="B33" s="118" t="s">
        <v>313</v>
      </c>
      <c r="C33" s="118" t="s">
        <v>332</v>
      </c>
      <c r="D33" s="118" t="s">
        <v>423</v>
      </c>
      <c r="E33" s="118" t="s">
        <v>348</v>
      </c>
      <c r="F33" s="119">
        <v>35</v>
      </c>
      <c r="G33" s="120">
        <v>13</v>
      </c>
      <c r="H33" s="121">
        <f t="shared" si="1"/>
        <v>595</v>
      </c>
      <c r="I33" s="122">
        <f t="shared" si="0"/>
        <v>35.699999999999996</v>
      </c>
    </row>
    <row r="34" spans="1:9" x14ac:dyDescent="0.35">
      <c r="A34" s="117">
        <v>45480</v>
      </c>
      <c r="B34" s="118" t="s">
        <v>322</v>
      </c>
      <c r="C34" s="118" t="s">
        <v>319</v>
      </c>
      <c r="D34" s="118" t="s">
        <v>315</v>
      </c>
      <c r="E34" s="118" t="s">
        <v>406</v>
      </c>
      <c r="F34" s="119">
        <v>56</v>
      </c>
      <c r="G34" s="120">
        <v>17</v>
      </c>
      <c r="H34" s="121">
        <f t="shared" si="1"/>
        <v>1008</v>
      </c>
      <c r="I34" s="122">
        <f t="shared" si="0"/>
        <v>50.400000000000006</v>
      </c>
    </row>
    <row r="35" spans="1:9" x14ac:dyDescent="0.35">
      <c r="A35" s="117">
        <v>45480</v>
      </c>
      <c r="B35" s="118" t="s">
        <v>422</v>
      </c>
      <c r="C35" s="118" t="s">
        <v>314</v>
      </c>
      <c r="D35" s="118" t="s">
        <v>423</v>
      </c>
      <c r="E35" s="118" t="s">
        <v>347</v>
      </c>
      <c r="F35" s="119">
        <v>10</v>
      </c>
      <c r="G35" s="120">
        <v>24</v>
      </c>
      <c r="H35" s="121">
        <f t="shared" si="1"/>
        <v>270</v>
      </c>
      <c r="I35" s="122">
        <f t="shared" si="0"/>
        <v>16.2</v>
      </c>
    </row>
    <row r="36" spans="1:9" x14ac:dyDescent="0.35">
      <c r="A36" s="117">
        <v>45480</v>
      </c>
      <c r="B36" s="118" t="s">
        <v>322</v>
      </c>
      <c r="C36" s="118" t="s">
        <v>314</v>
      </c>
      <c r="D36" s="118" t="s">
        <v>390</v>
      </c>
      <c r="E36" s="118" t="s">
        <v>454</v>
      </c>
      <c r="F36" s="119">
        <v>33</v>
      </c>
      <c r="G36" s="120">
        <v>17</v>
      </c>
      <c r="H36" s="121">
        <f t="shared" si="1"/>
        <v>660</v>
      </c>
      <c r="I36" s="122">
        <f t="shared" si="0"/>
        <v>33</v>
      </c>
    </row>
    <row r="37" spans="1:9" x14ac:dyDescent="0.35">
      <c r="A37" s="117">
        <v>45480</v>
      </c>
      <c r="B37" s="118" t="s">
        <v>322</v>
      </c>
      <c r="C37" s="118" t="s">
        <v>332</v>
      </c>
      <c r="D37" s="118" t="s">
        <v>324</v>
      </c>
      <c r="E37" s="118" t="s">
        <v>329</v>
      </c>
      <c r="F37" s="119">
        <v>33</v>
      </c>
      <c r="G37" s="120">
        <v>17</v>
      </c>
      <c r="H37" s="121">
        <f t="shared" si="1"/>
        <v>693</v>
      </c>
      <c r="I37" s="122">
        <f t="shared" si="0"/>
        <v>34.65</v>
      </c>
    </row>
    <row r="38" spans="1:9" x14ac:dyDescent="0.35">
      <c r="A38" s="117">
        <v>45481</v>
      </c>
      <c r="B38" s="118" t="s">
        <v>318</v>
      </c>
      <c r="C38" s="118" t="s">
        <v>319</v>
      </c>
      <c r="D38" s="118" t="s">
        <v>324</v>
      </c>
      <c r="E38" s="118" t="s">
        <v>406</v>
      </c>
      <c r="F38" s="119">
        <v>19</v>
      </c>
      <c r="G38" s="120">
        <v>4</v>
      </c>
      <c r="H38" s="121">
        <f t="shared" si="1"/>
        <v>95</v>
      </c>
      <c r="I38" s="122">
        <f t="shared" si="0"/>
        <v>4.75</v>
      </c>
    </row>
    <row r="39" spans="1:9" x14ac:dyDescent="0.35">
      <c r="A39" s="117">
        <v>45481</v>
      </c>
      <c r="B39" s="118" t="s">
        <v>422</v>
      </c>
      <c r="C39" s="118" t="s">
        <v>393</v>
      </c>
      <c r="D39" s="118" t="s">
        <v>320</v>
      </c>
      <c r="E39" s="118" t="s">
        <v>340</v>
      </c>
      <c r="F39" s="119">
        <v>38</v>
      </c>
      <c r="G39" s="120">
        <v>24</v>
      </c>
      <c r="H39" s="121">
        <f t="shared" si="1"/>
        <v>988</v>
      </c>
      <c r="I39" s="122">
        <f t="shared" si="0"/>
        <v>59.28</v>
      </c>
    </row>
    <row r="40" spans="1:9" x14ac:dyDescent="0.35">
      <c r="A40" s="117">
        <v>45481</v>
      </c>
      <c r="B40" s="118" t="s">
        <v>327</v>
      </c>
      <c r="C40" s="118" t="s">
        <v>393</v>
      </c>
      <c r="D40" s="118" t="s">
        <v>423</v>
      </c>
      <c r="E40" s="118" t="s">
        <v>400</v>
      </c>
      <c r="F40" s="119">
        <v>55</v>
      </c>
      <c r="G40" s="120">
        <v>6</v>
      </c>
      <c r="H40" s="121">
        <f t="shared" si="1"/>
        <v>440</v>
      </c>
      <c r="I40" s="122">
        <f t="shared" si="0"/>
        <v>26.4</v>
      </c>
    </row>
    <row r="41" spans="1:9" x14ac:dyDescent="0.35">
      <c r="A41" s="117">
        <v>45481</v>
      </c>
      <c r="B41" s="118" t="s">
        <v>422</v>
      </c>
      <c r="C41" s="118" t="s">
        <v>393</v>
      </c>
      <c r="D41" s="118" t="s">
        <v>333</v>
      </c>
      <c r="E41" s="118" t="s">
        <v>394</v>
      </c>
      <c r="F41" s="119">
        <v>36</v>
      </c>
      <c r="G41" s="120">
        <v>24</v>
      </c>
      <c r="H41" s="121">
        <f t="shared" si="1"/>
        <v>936</v>
      </c>
      <c r="I41" s="122">
        <f t="shared" si="0"/>
        <v>46.800000000000004</v>
      </c>
    </row>
    <row r="42" spans="1:9" x14ac:dyDescent="0.35">
      <c r="A42" s="117">
        <v>45481</v>
      </c>
      <c r="B42" s="118" t="s">
        <v>318</v>
      </c>
      <c r="C42" s="118" t="s">
        <v>393</v>
      </c>
      <c r="D42" s="118" t="s">
        <v>423</v>
      </c>
      <c r="E42" s="118" t="s">
        <v>394</v>
      </c>
      <c r="F42" s="119">
        <v>41</v>
      </c>
      <c r="G42" s="120">
        <v>4</v>
      </c>
      <c r="H42" s="121">
        <f t="shared" si="1"/>
        <v>246</v>
      </c>
      <c r="I42" s="122">
        <f t="shared" si="0"/>
        <v>14.76</v>
      </c>
    </row>
    <row r="43" spans="1:9" x14ac:dyDescent="0.35">
      <c r="A43" s="117">
        <v>45481</v>
      </c>
      <c r="B43" s="118" t="s">
        <v>313</v>
      </c>
      <c r="C43" s="118" t="s">
        <v>393</v>
      </c>
      <c r="D43" s="118" t="s">
        <v>333</v>
      </c>
      <c r="E43" s="118" t="s">
        <v>405</v>
      </c>
      <c r="F43" s="119">
        <v>30</v>
      </c>
      <c r="G43" s="120">
        <v>13</v>
      </c>
      <c r="H43" s="121">
        <f t="shared" si="1"/>
        <v>450</v>
      </c>
      <c r="I43" s="122">
        <f t="shared" si="0"/>
        <v>22.5</v>
      </c>
    </row>
    <row r="44" spans="1:9" x14ac:dyDescent="0.35">
      <c r="A44" s="117">
        <v>45482</v>
      </c>
      <c r="B44" s="118" t="s">
        <v>327</v>
      </c>
      <c r="C44" s="118" t="s">
        <v>332</v>
      </c>
      <c r="D44" s="118" t="s">
        <v>390</v>
      </c>
      <c r="E44" s="118" t="s">
        <v>406</v>
      </c>
      <c r="F44" s="119">
        <v>16</v>
      </c>
      <c r="G44" s="120">
        <v>6</v>
      </c>
      <c r="H44" s="121">
        <f t="shared" si="1"/>
        <v>160</v>
      </c>
      <c r="I44" s="122">
        <f t="shared" si="0"/>
        <v>8</v>
      </c>
    </row>
    <row r="45" spans="1:9" x14ac:dyDescent="0.35">
      <c r="A45" s="117">
        <v>45482</v>
      </c>
      <c r="B45" s="118" t="s">
        <v>422</v>
      </c>
      <c r="C45" s="118" t="s">
        <v>319</v>
      </c>
      <c r="D45" s="118" t="s">
        <v>423</v>
      </c>
      <c r="E45" s="118" t="s">
        <v>394</v>
      </c>
      <c r="F45" s="119">
        <v>48</v>
      </c>
      <c r="G45" s="120">
        <v>24</v>
      </c>
      <c r="H45" s="121">
        <f t="shared" si="1"/>
        <v>1200</v>
      </c>
      <c r="I45" s="122">
        <f t="shared" si="0"/>
        <v>72</v>
      </c>
    </row>
    <row r="46" spans="1:9" x14ac:dyDescent="0.35">
      <c r="A46" s="117">
        <v>45483</v>
      </c>
      <c r="B46" s="118" t="s">
        <v>422</v>
      </c>
      <c r="C46" s="118" t="s">
        <v>332</v>
      </c>
      <c r="D46" s="118" t="s">
        <v>338</v>
      </c>
      <c r="E46" s="118" t="s">
        <v>340</v>
      </c>
      <c r="F46" s="119">
        <v>51</v>
      </c>
      <c r="G46" s="120">
        <v>24</v>
      </c>
      <c r="H46" s="121">
        <f t="shared" si="1"/>
        <v>1428</v>
      </c>
      <c r="I46" s="122">
        <f t="shared" si="0"/>
        <v>85.679999999999993</v>
      </c>
    </row>
    <row r="47" spans="1:9" x14ac:dyDescent="0.35">
      <c r="A47" s="117">
        <v>45484</v>
      </c>
      <c r="B47" s="118" t="s">
        <v>318</v>
      </c>
      <c r="C47" s="118" t="s">
        <v>332</v>
      </c>
      <c r="D47" s="118" t="s">
        <v>423</v>
      </c>
      <c r="E47" s="118" t="s">
        <v>346</v>
      </c>
      <c r="F47" s="119">
        <v>47</v>
      </c>
      <c r="G47" s="120">
        <v>4</v>
      </c>
      <c r="H47" s="121">
        <f t="shared" si="1"/>
        <v>376</v>
      </c>
      <c r="I47" s="122">
        <f t="shared" si="0"/>
        <v>22.56</v>
      </c>
    </row>
    <row r="48" spans="1:9" x14ac:dyDescent="0.35">
      <c r="A48" s="117">
        <v>45484</v>
      </c>
      <c r="B48" s="118" t="s">
        <v>327</v>
      </c>
      <c r="C48" s="118" t="s">
        <v>314</v>
      </c>
      <c r="D48" s="118" t="s">
        <v>338</v>
      </c>
      <c r="E48" s="118" t="s">
        <v>335</v>
      </c>
      <c r="F48" s="119">
        <v>21</v>
      </c>
      <c r="G48" s="120">
        <v>6</v>
      </c>
      <c r="H48" s="121">
        <f t="shared" si="1"/>
        <v>189</v>
      </c>
      <c r="I48" s="122">
        <f t="shared" si="0"/>
        <v>11.34</v>
      </c>
    </row>
    <row r="49" spans="1:9" x14ac:dyDescent="0.35">
      <c r="A49" s="117">
        <v>45485</v>
      </c>
      <c r="B49" s="118" t="s">
        <v>422</v>
      </c>
      <c r="C49" s="118" t="s">
        <v>319</v>
      </c>
      <c r="D49" s="118" t="s">
        <v>338</v>
      </c>
      <c r="E49" s="118" t="s">
        <v>341</v>
      </c>
      <c r="F49" s="119">
        <v>26</v>
      </c>
      <c r="G49" s="120">
        <v>24</v>
      </c>
      <c r="H49" s="121">
        <f t="shared" si="1"/>
        <v>650</v>
      </c>
      <c r="I49" s="122">
        <f t="shared" si="0"/>
        <v>39</v>
      </c>
    </row>
    <row r="50" spans="1:9" x14ac:dyDescent="0.35">
      <c r="A50" s="117">
        <v>45485</v>
      </c>
      <c r="B50" s="118" t="s">
        <v>313</v>
      </c>
      <c r="C50" s="118" t="s">
        <v>319</v>
      </c>
      <c r="D50" s="118" t="s">
        <v>315</v>
      </c>
      <c r="E50" s="118" t="s">
        <v>348</v>
      </c>
      <c r="F50" s="119">
        <v>47</v>
      </c>
      <c r="G50" s="120">
        <v>13</v>
      </c>
      <c r="H50" s="121">
        <f t="shared" si="1"/>
        <v>658</v>
      </c>
      <c r="I50" s="122">
        <f t="shared" si="0"/>
        <v>32.9</v>
      </c>
    </row>
    <row r="51" spans="1:9" x14ac:dyDescent="0.35">
      <c r="A51" s="117">
        <v>45485</v>
      </c>
      <c r="B51" s="118" t="s">
        <v>318</v>
      </c>
      <c r="C51" s="118" t="s">
        <v>319</v>
      </c>
      <c r="D51" s="118" t="s">
        <v>338</v>
      </c>
      <c r="E51" s="118" t="s">
        <v>454</v>
      </c>
      <c r="F51" s="119">
        <v>37</v>
      </c>
      <c r="G51" s="120">
        <v>4</v>
      </c>
      <c r="H51" s="121">
        <f t="shared" si="1"/>
        <v>185</v>
      </c>
      <c r="I51" s="122">
        <f t="shared" si="0"/>
        <v>11.1</v>
      </c>
    </row>
    <row r="52" spans="1:9" x14ac:dyDescent="0.35">
      <c r="A52" s="117">
        <v>45486</v>
      </c>
      <c r="B52" s="118" t="s">
        <v>313</v>
      </c>
      <c r="C52" s="118" t="s">
        <v>393</v>
      </c>
      <c r="D52" s="118" t="s">
        <v>315</v>
      </c>
      <c r="E52" s="118" t="s">
        <v>339</v>
      </c>
      <c r="F52" s="119">
        <v>51</v>
      </c>
      <c r="G52" s="120">
        <v>13</v>
      </c>
      <c r="H52" s="121">
        <f t="shared" si="1"/>
        <v>765</v>
      </c>
      <c r="I52" s="122">
        <f t="shared" si="0"/>
        <v>38.25</v>
      </c>
    </row>
    <row r="53" spans="1:9" x14ac:dyDescent="0.35">
      <c r="A53" s="117">
        <v>45486</v>
      </c>
      <c r="B53" s="118" t="s">
        <v>318</v>
      </c>
      <c r="C53" s="118" t="s">
        <v>332</v>
      </c>
      <c r="D53" s="118" t="s">
        <v>390</v>
      </c>
      <c r="E53" s="118" t="s">
        <v>454</v>
      </c>
      <c r="F53" s="119">
        <v>23</v>
      </c>
      <c r="G53" s="120">
        <v>4</v>
      </c>
      <c r="H53" s="121">
        <f t="shared" si="1"/>
        <v>184</v>
      </c>
      <c r="I53" s="122">
        <f t="shared" si="0"/>
        <v>9.2000000000000011</v>
      </c>
    </row>
    <row r="54" spans="1:9" x14ac:dyDescent="0.35">
      <c r="A54" s="117">
        <v>45486</v>
      </c>
      <c r="B54" s="118" t="s">
        <v>327</v>
      </c>
      <c r="C54" s="118" t="s">
        <v>393</v>
      </c>
      <c r="D54" s="118" t="s">
        <v>423</v>
      </c>
      <c r="E54" s="118" t="s">
        <v>344</v>
      </c>
      <c r="F54" s="119">
        <v>64</v>
      </c>
      <c r="G54" s="120">
        <v>6</v>
      </c>
      <c r="H54" s="121">
        <f t="shared" si="1"/>
        <v>512</v>
      </c>
      <c r="I54" s="122">
        <f t="shared" si="0"/>
        <v>30.72</v>
      </c>
    </row>
    <row r="55" spans="1:9" x14ac:dyDescent="0.35">
      <c r="A55" s="117">
        <v>45486</v>
      </c>
      <c r="B55" s="118" t="s">
        <v>313</v>
      </c>
      <c r="C55" s="118" t="s">
        <v>393</v>
      </c>
      <c r="D55" s="118" t="s">
        <v>333</v>
      </c>
      <c r="E55" s="118" t="s">
        <v>350</v>
      </c>
      <c r="F55" s="119">
        <v>38</v>
      </c>
      <c r="G55" s="120">
        <v>13</v>
      </c>
      <c r="H55" s="121">
        <f t="shared" si="1"/>
        <v>570</v>
      </c>
      <c r="I55" s="122">
        <f t="shared" si="0"/>
        <v>28.5</v>
      </c>
    </row>
    <row r="56" spans="1:9" x14ac:dyDescent="0.35">
      <c r="A56" s="117">
        <v>45486</v>
      </c>
      <c r="B56" s="118" t="s">
        <v>318</v>
      </c>
      <c r="C56" s="118" t="s">
        <v>393</v>
      </c>
      <c r="D56" s="118" t="s">
        <v>324</v>
      </c>
      <c r="E56" s="118" t="s">
        <v>316</v>
      </c>
      <c r="F56" s="119">
        <v>22</v>
      </c>
      <c r="G56" s="120">
        <v>4</v>
      </c>
      <c r="H56" s="121">
        <f t="shared" si="1"/>
        <v>132</v>
      </c>
      <c r="I56" s="122">
        <f t="shared" si="0"/>
        <v>6.6000000000000005</v>
      </c>
    </row>
    <row r="57" spans="1:9" x14ac:dyDescent="0.35">
      <c r="A57" s="117">
        <v>45487</v>
      </c>
      <c r="B57" s="118" t="s">
        <v>313</v>
      </c>
      <c r="C57" s="118" t="s">
        <v>332</v>
      </c>
      <c r="D57" s="118" t="s">
        <v>333</v>
      </c>
      <c r="E57" s="118" t="s">
        <v>455</v>
      </c>
      <c r="F57" s="119">
        <v>19</v>
      </c>
      <c r="G57" s="120">
        <v>13</v>
      </c>
      <c r="H57" s="121">
        <f t="shared" si="1"/>
        <v>323</v>
      </c>
      <c r="I57" s="122">
        <f t="shared" si="0"/>
        <v>16.150000000000002</v>
      </c>
    </row>
    <row r="58" spans="1:9" x14ac:dyDescent="0.35">
      <c r="A58" s="117">
        <v>45487</v>
      </c>
      <c r="B58" s="118" t="s">
        <v>318</v>
      </c>
      <c r="C58" s="118" t="s">
        <v>393</v>
      </c>
      <c r="D58" s="118" t="s">
        <v>390</v>
      </c>
      <c r="E58" s="118" t="s">
        <v>347</v>
      </c>
      <c r="F58" s="119">
        <v>60</v>
      </c>
      <c r="G58" s="120">
        <v>4</v>
      </c>
      <c r="H58" s="121">
        <f t="shared" si="1"/>
        <v>360</v>
      </c>
      <c r="I58" s="122">
        <f t="shared" si="0"/>
        <v>18</v>
      </c>
    </row>
    <row r="59" spans="1:9" x14ac:dyDescent="0.35">
      <c r="A59" s="117">
        <v>45487</v>
      </c>
      <c r="B59" s="118" t="s">
        <v>313</v>
      </c>
      <c r="C59" s="118" t="s">
        <v>314</v>
      </c>
      <c r="D59" s="118" t="s">
        <v>333</v>
      </c>
      <c r="E59" s="118" t="s">
        <v>343</v>
      </c>
      <c r="F59" s="119">
        <v>6</v>
      </c>
      <c r="G59" s="120">
        <v>13</v>
      </c>
      <c r="H59" s="121">
        <f t="shared" si="1"/>
        <v>96</v>
      </c>
      <c r="I59" s="122">
        <f t="shared" si="0"/>
        <v>4.8000000000000007</v>
      </c>
    </row>
    <row r="60" spans="1:9" x14ac:dyDescent="0.35">
      <c r="A60" s="117">
        <v>45488</v>
      </c>
      <c r="B60" s="118" t="s">
        <v>322</v>
      </c>
      <c r="C60" s="118" t="s">
        <v>393</v>
      </c>
      <c r="D60" s="118" t="s">
        <v>423</v>
      </c>
      <c r="E60" s="118" t="s">
        <v>348</v>
      </c>
      <c r="F60" s="119">
        <v>10</v>
      </c>
      <c r="G60" s="120">
        <v>17</v>
      </c>
      <c r="H60" s="121">
        <f t="shared" si="1"/>
        <v>190</v>
      </c>
      <c r="I60" s="122">
        <f t="shared" si="0"/>
        <v>11.4</v>
      </c>
    </row>
    <row r="61" spans="1:9" x14ac:dyDescent="0.35">
      <c r="A61" s="117">
        <v>45488</v>
      </c>
      <c r="B61" s="118" t="s">
        <v>327</v>
      </c>
      <c r="C61" s="118" t="s">
        <v>314</v>
      </c>
      <c r="D61" s="118" t="s">
        <v>315</v>
      </c>
      <c r="E61" s="118" t="s">
        <v>347</v>
      </c>
      <c r="F61" s="119">
        <v>62</v>
      </c>
      <c r="G61" s="120">
        <v>6</v>
      </c>
      <c r="H61" s="121">
        <f t="shared" si="1"/>
        <v>558</v>
      </c>
      <c r="I61" s="122">
        <f t="shared" si="0"/>
        <v>27.900000000000002</v>
      </c>
    </row>
    <row r="62" spans="1:9" x14ac:dyDescent="0.35">
      <c r="A62" s="117">
        <v>45488</v>
      </c>
      <c r="B62" s="118" t="s">
        <v>318</v>
      </c>
      <c r="C62" s="118" t="s">
        <v>319</v>
      </c>
      <c r="D62" s="118" t="s">
        <v>390</v>
      </c>
      <c r="E62" s="118" t="s">
        <v>329</v>
      </c>
      <c r="F62" s="119">
        <v>35</v>
      </c>
      <c r="G62" s="120">
        <v>4</v>
      </c>
      <c r="H62" s="121">
        <f t="shared" si="1"/>
        <v>175</v>
      </c>
      <c r="I62" s="122">
        <f t="shared" si="0"/>
        <v>8.75</v>
      </c>
    </row>
    <row r="63" spans="1:9" x14ac:dyDescent="0.35">
      <c r="A63" s="117">
        <v>45489</v>
      </c>
      <c r="B63" s="118" t="s">
        <v>313</v>
      </c>
      <c r="C63" s="118" t="s">
        <v>319</v>
      </c>
      <c r="D63" s="118" t="s">
        <v>333</v>
      </c>
      <c r="E63" s="118" t="s">
        <v>388</v>
      </c>
      <c r="F63" s="119">
        <v>8</v>
      </c>
      <c r="G63" s="120">
        <v>13</v>
      </c>
      <c r="H63" s="121">
        <f t="shared" si="1"/>
        <v>112</v>
      </c>
      <c r="I63" s="122">
        <f t="shared" si="0"/>
        <v>5.6000000000000005</v>
      </c>
    </row>
    <row r="64" spans="1:9" x14ac:dyDescent="0.35">
      <c r="A64" s="117">
        <v>45489</v>
      </c>
      <c r="B64" s="118" t="s">
        <v>318</v>
      </c>
      <c r="C64" s="118" t="s">
        <v>393</v>
      </c>
      <c r="D64" s="118" t="s">
        <v>315</v>
      </c>
      <c r="E64" s="118" t="s">
        <v>395</v>
      </c>
      <c r="F64" s="119">
        <v>10</v>
      </c>
      <c r="G64" s="120">
        <v>4</v>
      </c>
      <c r="H64" s="121">
        <f t="shared" si="1"/>
        <v>60</v>
      </c>
      <c r="I64" s="122">
        <f t="shared" si="0"/>
        <v>3</v>
      </c>
    </row>
    <row r="65" spans="1:9" x14ac:dyDescent="0.35">
      <c r="A65" s="117">
        <v>45489</v>
      </c>
      <c r="B65" s="118" t="s">
        <v>322</v>
      </c>
      <c r="C65" s="118" t="s">
        <v>319</v>
      </c>
      <c r="D65" s="118" t="s">
        <v>320</v>
      </c>
      <c r="E65" s="118" t="s">
        <v>347</v>
      </c>
      <c r="F65" s="119">
        <v>10</v>
      </c>
      <c r="G65" s="120">
        <v>17</v>
      </c>
      <c r="H65" s="121">
        <f t="shared" si="1"/>
        <v>180</v>
      </c>
      <c r="I65" s="122">
        <f t="shared" si="0"/>
        <v>10.799999999999999</v>
      </c>
    </row>
    <row r="66" spans="1:9" x14ac:dyDescent="0.35">
      <c r="A66" s="117">
        <v>45489</v>
      </c>
      <c r="B66" s="118" t="s">
        <v>318</v>
      </c>
      <c r="C66" s="118" t="s">
        <v>314</v>
      </c>
      <c r="D66" s="118" t="s">
        <v>390</v>
      </c>
      <c r="E66" s="118" t="s">
        <v>344</v>
      </c>
      <c r="F66" s="119">
        <v>27</v>
      </c>
      <c r="G66" s="120">
        <v>4</v>
      </c>
      <c r="H66" s="121">
        <f t="shared" si="1"/>
        <v>189</v>
      </c>
      <c r="I66" s="122">
        <f t="shared" ref="I66:I129" si="2">H66*VLOOKUP(D66,$O$4:$P$10,2,TRUE)</f>
        <v>9.4500000000000011</v>
      </c>
    </row>
    <row r="67" spans="1:9" x14ac:dyDescent="0.35">
      <c r="A67" s="117">
        <v>45490</v>
      </c>
      <c r="B67" s="118" t="s">
        <v>327</v>
      </c>
      <c r="C67" s="118" t="s">
        <v>332</v>
      </c>
      <c r="D67" s="118" t="s">
        <v>423</v>
      </c>
      <c r="E67" s="118" t="s">
        <v>341</v>
      </c>
      <c r="F67" s="119">
        <v>63</v>
      </c>
      <c r="G67" s="120">
        <v>6</v>
      </c>
      <c r="H67" s="121">
        <f t="shared" ref="H67:H130" si="3">(F67*G67)+VLOOKUP(C67,$K$11:$L$14,2,FALSE)*F67</f>
        <v>630</v>
      </c>
      <c r="I67" s="122">
        <f t="shared" si="2"/>
        <v>37.799999999999997</v>
      </c>
    </row>
    <row r="68" spans="1:9" x14ac:dyDescent="0.35">
      <c r="A68" s="117">
        <v>45490</v>
      </c>
      <c r="B68" s="118" t="s">
        <v>318</v>
      </c>
      <c r="C68" s="118" t="s">
        <v>332</v>
      </c>
      <c r="D68" s="118" t="s">
        <v>324</v>
      </c>
      <c r="E68" s="118" t="s">
        <v>340</v>
      </c>
      <c r="F68" s="119">
        <v>16</v>
      </c>
      <c r="G68" s="120">
        <v>4</v>
      </c>
      <c r="H68" s="121">
        <f t="shared" si="3"/>
        <v>128</v>
      </c>
      <c r="I68" s="122">
        <f t="shared" si="2"/>
        <v>6.4</v>
      </c>
    </row>
    <row r="69" spans="1:9" x14ac:dyDescent="0.35">
      <c r="A69" s="117">
        <v>45490</v>
      </c>
      <c r="B69" s="118" t="s">
        <v>313</v>
      </c>
      <c r="C69" s="118" t="s">
        <v>393</v>
      </c>
      <c r="D69" s="118" t="s">
        <v>320</v>
      </c>
      <c r="E69" s="118" t="s">
        <v>346</v>
      </c>
      <c r="F69" s="119">
        <v>51</v>
      </c>
      <c r="G69" s="120">
        <v>13</v>
      </c>
      <c r="H69" s="121">
        <f t="shared" si="3"/>
        <v>765</v>
      </c>
      <c r="I69" s="122">
        <f t="shared" si="2"/>
        <v>45.9</v>
      </c>
    </row>
    <row r="70" spans="1:9" x14ac:dyDescent="0.35">
      <c r="A70" s="117">
        <v>45490</v>
      </c>
      <c r="B70" s="118" t="s">
        <v>322</v>
      </c>
      <c r="C70" s="118" t="s">
        <v>332</v>
      </c>
      <c r="D70" s="118" t="s">
        <v>315</v>
      </c>
      <c r="E70" s="118" t="s">
        <v>316</v>
      </c>
      <c r="F70" s="119">
        <v>6</v>
      </c>
      <c r="G70" s="120">
        <v>17</v>
      </c>
      <c r="H70" s="121">
        <f t="shared" si="3"/>
        <v>126</v>
      </c>
      <c r="I70" s="122">
        <f t="shared" si="2"/>
        <v>6.3000000000000007</v>
      </c>
    </row>
    <row r="71" spans="1:9" x14ac:dyDescent="0.35">
      <c r="A71" s="117">
        <v>45491</v>
      </c>
      <c r="B71" s="118" t="s">
        <v>313</v>
      </c>
      <c r="C71" s="118" t="s">
        <v>314</v>
      </c>
      <c r="D71" s="118" t="s">
        <v>390</v>
      </c>
      <c r="E71" s="118" t="s">
        <v>395</v>
      </c>
      <c r="F71" s="119">
        <v>8</v>
      </c>
      <c r="G71" s="120">
        <v>13</v>
      </c>
      <c r="H71" s="121">
        <f t="shared" si="3"/>
        <v>128</v>
      </c>
      <c r="I71" s="122">
        <f t="shared" si="2"/>
        <v>6.4</v>
      </c>
    </row>
    <row r="72" spans="1:9" x14ac:dyDescent="0.35">
      <c r="A72" s="117">
        <v>45492</v>
      </c>
      <c r="B72" s="118" t="s">
        <v>318</v>
      </c>
      <c r="C72" s="118" t="s">
        <v>332</v>
      </c>
      <c r="D72" s="118" t="s">
        <v>324</v>
      </c>
      <c r="E72" s="118" t="s">
        <v>406</v>
      </c>
      <c r="F72" s="119">
        <v>9</v>
      </c>
      <c r="G72" s="120">
        <v>4</v>
      </c>
      <c r="H72" s="121">
        <f t="shared" si="3"/>
        <v>72</v>
      </c>
      <c r="I72" s="122">
        <f t="shared" si="2"/>
        <v>3.6</v>
      </c>
    </row>
    <row r="73" spans="1:9" x14ac:dyDescent="0.35">
      <c r="A73" s="117">
        <v>45492</v>
      </c>
      <c r="B73" s="118" t="s">
        <v>313</v>
      </c>
      <c r="C73" s="118" t="s">
        <v>319</v>
      </c>
      <c r="D73" s="118" t="s">
        <v>333</v>
      </c>
      <c r="E73" s="118" t="s">
        <v>345</v>
      </c>
      <c r="F73" s="119">
        <v>46</v>
      </c>
      <c r="G73" s="120">
        <v>13</v>
      </c>
      <c r="H73" s="121">
        <f t="shared" si="3"/>
        <v>644</v>
      </c>
      <c r="I73" s="122">
        <f t="shared" si="2"/>
        <v>32.200000000000003</v>
      </c>
    </row>
    <row r="74" spans="1:9" x14ac:dyDescent="0.35">
      <c r="A74" s="117">
        <v>45492</v>
      </c>
      <c r="B74" s="118" t="s">
        <v>327</v>
      </c>
      <c r="C74" s="118" t="s">
        <v>332</v>
      </c>
      <c r="D74" s="118" t="s">
        <v>324</v>
      </c>
      <c r="E74" s="118" t="s">
        <v>337</v>
      </c>
      <c r="F74" s="119">
        <v>7</v>
      </c>
      <c r="G74" s="120">
        <v>6</v>
      </c>
      <c r="H74" s="121">
        <f t="shared" si="3"/>
        <v>70</v>
      </c>
      <c r="I74" s="122">
        <f t="shared" si="2"/>
        <v>3.5</v>
      </c>
    </row>
    <row r="75" spans="1:9" x14ac:dyDescent="0.35">
      <c r="A75" s="117">
        <v>45492</v>
      </c>
      <c r="B75" s="118" t="s">
        <v>422</v>
      </c>
      <c r="C75" s="118" t="s">
        <v>393</v>
      </c>
      <c r="D75" s="118" t="s">
        <v>320</v>
      </c>
      <c r="E75" s="118" t="s">
        <v>394</v>
      </c>
      <c r="F75" s="119">
        <v>48</v>
      </c>
      <c r="G75" s="120">
        <v>24</v>
      </c>
      <c r="H75" s="121">
        <f t="shared" si="3"/>
        <v>1248</v>
      </c>
      <c r="I75" s="122">
        <f t="shared" si="2"/>
        <v>74.88</v>
      </c>
    </row>
    <row r="76" spans="1:9" x14ac:dyDescent="0.35">
      <c r="A76" s="117">
        <v>45492</v>
      </c>
      <c r="B76" s="118" t="s">
        <v>327</v>
      </c>
      <c r="C76" s="118" t="s">
        <v>393</v>
      </c>
      <c r="D76" s="118" t="s">
        <v>324</v>
      </c>
      <c r="E76" s="118" t="s">
        <v>416</v>
      </c>
      <c r="F76" s="119">
        <v>55</v>
      </c>
      <c r="G76" s="120">
        <v>6</v>
      </c>
      <c r="H76" s="121">
        <f t="shared" si="3"/>
        <v>440</v>
      </c>
      <c r="I76" s="122">
        <f t="shared" si="2"/>
        <v>22</v>
      </c>
    </row>
    <row r="77" spans="1:9" x14ac:dyDescent="0.35">
      <c r="A77" s="117">
        <v>45492</v>
      </c>
      <c r="B77" s="118" t="s">
        <v>318</v>
      </c>
      <c r="C77" s="118" t="s">
        <v>393</v>
      </c>
      <c r="D77" s="118" t="s">
        <v>333</v>
      </c>
      <c r="E77" s="118" t="s">
        <v>344</v>
      </c>
      <c r="F77" s="119">
        <v>17</v>
      </c>
      <c r="G77" s="120">
        <v>4</v>
      </c>
      <c r="H77" s="121">
        <f t="shared" si="3"/>
        <v>102</v>
      </c>
      <c r="I77" s="122">
        <f t="shared" si="2"/>
        <v>5.1000000000000005</v>
      </c>
    </row>
    <row r="78" spans="1:9" x14ac:dyDescent="0.35">
      <c r="A78" s="117">
        <v>45493</v>
      </c>
      <c r="B78" s="118" t="s">
        <v>322</v>
      </c>
      <c r="C78" s="118" t="s">
        <v>314</v>
      </c>
      <c r="D78" s="118" t="s">
        <v>333</v>
      </c>
      <c r="E78" s="118" t="s">
        <v>406</v>
      </c>
      <c r="F78" s="119">
        <v>60</v>
      </c>
      <c r="G78" s="120">
        <v>17</v>
      </c>
      <c r="H78" s="121">
        <f t="shared" si="3"/>
        <v>1200</v>
      </c>
      <c r="I78" s="122">
        <f t="shared" si="2"/>
        <v>60</v>
      </c>
    </row>
    <row r="79" spans="1:9" x14ac:dyDescent="0.35">
      <c r="A79" s="117">
        <v>45493</v>
      </c>
      <c r="B79" s="118" t="s">
        <v>327</v>
      </c>
      <c r="C79" s="118" t="s">
        <v>314</v>
      </c>
      <c r="D79" s="118" t="s">
        <v>320</v>
      </c>
      <c r="E79" s="118" t="s">
        <v>341</v>
      </c>
      <c r="F79" s="119">
        <v>56</v>
      </c>
      <c r="G79" s="120">
        <v>6</v>
      </c>
      <c r="H79" s="121">
        <f t="shared" si="3"/>
        <v>504</v>
      </c>
      <c r="I79" s="122">
        <f t="shared" si="2"/>
        <v>30.24</v>
      </c>
    </row>
    <row r="80" spans="1:9" x14ac:dyDescent="0.35">
      <c r="A80" s="117">
        <v>45493</v>
      </c>
      <c r="B80" s="118" t="s">
        <v>318</v>
      </c>
      <c r="C80" s="118" t="s">
        <v>314</v>
      </c>
      <c r="D80" s="118" t="s">
        <v>423</v>
      </c>
      <c r="E80" s="118" t="s">
        <v>346</v>
      </c>
      <c r="F80" s="119">
        <v>42</v>
      </c>
      <c r="G80" s="120">
        <v>4</v>
      </c>
      <c r="H80" s="121">
        <f t="shared" si="3"/>
        <v>294</v>
      </c>
      <c r="I80" s="122">
        <f t="shared" si="2"/>
        <v>17.64</v>
      </c>
    </row>
    <row r="81" spans="1:9" x14ac:dyDescent="0.35">
      <c r="A81" s="117">
        <v>45493</v>
      </c>
      <c r="B81" s="118" t="s">
        <v>318</v>
      </c>
      <c r="C81" s="118" t="s">
        <v>393</v>
      </c>
      <c r="D81" s="118" t="s">
        <v>423</v>
      </c>
      <c r="E81" s="118" t="s">
        <v>344</v>
      </c>
      <c r="F81" s="119">
        <v>6</v>
      </c>
      <c r="G81" s="120">
        <v>4</v>
      </c>
      <c r="H81" s="121">
        <f t="shared" si="3"/>
        <v>36</v>
      </c>
      <c r="I81" s="122">
        <f t="shared" si="2"/>
        <v>2.16</v>
      </c>
    </row>
    <row r="82" spans="1:9" x14ac:dyDescent="0.35">
      <c r="A82" s="117">
        <v>45493</v>
      </c>
      <c r="B82" s="118" t="s">
        <v>422</v>
      </c>
      <c r="C82" s="118" t="s">
        <v>319</v>
      </c>
      <c r="D82" s="118" t="s">
        <v>324</v>
      </c>
      <c r="E82" s="118" t="s">
        <v>405</v>
      </c>
      <c r="F82" s="119">
        <v>39</v>
      </c>
      <c r="G82" s="120">
        <v>24</v>
      </c>
      <c r="H82" s="121">
        <f t="shared" si="3"/>
        <v>975</v>
      </c>
      <c r="I82" s="122">
        <f t="shared" si="2"/>
        <v>48.75</v>
      </c>
    </row>
    <row r="83" spans="1:9" x14ac:dyDescent="0.35">
      <c r="A83" s="117">
        <v>45494</v>
      </c>
      <c r="B83" s="118" t="s">
        <v>327</v>
      </c>
      <c r="C83" s="118" t="s">
        <v>314</v>
      </c>
      <c r="D83" s="118" t="s">
        <v>315</v>
      </c>
      <c r="E83" s="118" t="s">
        <v>340</v>
      </c>
      <c r="F83" s="119">
        <v>12</v>
      </c>
      <c r="G83" s="120">
        <v>6</v>
      </c>
      <c r="H83" s="121">
        <f t="shared" si="3"/>
        <v>108</v>
      </c>
      <c r="I83" s="122">
        <f t="shared" si="2"/>
        <v>5.4</v>
      </c>
    </row>
    <row r="84" spans="1:9" x14ac:dyDescent="0.35">
      <c r="A84" s="117">
        <v>45494</v>
      </c>
      <c r="B84" s="118" t="s">
        <v>322</v>
      </c>
      <c r="C84" s="118" t="s">
        <v>314</v>
      </c>
      <c r="D84" s="118" t="s">
        <v>333</v>
      </c>
      <c r="E84" s="118" t="s">
        <v>339</v>
      </c>
      <c r="F84" s="119">
        <v>63</v>
      </c>
      <c r="G84" s="120">
        <v>17</v>
      </c>
      <c r="H84" s="121">
        <f t="shared" si="3"/>
        <v>1260</v>
      </c>
      <c r="I84" s="122">
        <f t="shared" si="2"/>
        <v>63</v>
      </c>
    </row>
    <row r="85" spans="1:9" x14ac:dyDescent="0.35">
      <c r="A85" s="117">
        <v>45494</v>
      </c>
      <c r="B85" s="118" t="s">
        <v>318</v>
      </c>
      <c r="C85" s="118" t="s">
        <v>332</v>
      </c>
      <c r="D85" s="118" t="s">
        <v>423</v>
      </c>
      <c r="E85" s="118" t="s">
        <v>454</v>
      </c>
      <c r="F85" s="119">
        <v>60</v>
      </c>
      <c r="G85" s="120">
        <v>4</v>
      </c>
      <c r="H85" s="121">
        <f t="shared" si="3"/>
        <v>480</v>
      </c>
      <c r="I85" s="122">
        <f t="shared" si="2"/>
        <v>28.799999999999997</v>
      </c>
    </row>
    <row r="86" spans="1:9" x14ac:dyDescent="0.35">
      <c r="A86" s="117">
        <v>45494</v>
      </c>
      <c r="B86" s="118" t="s">
        <v>422</v>
      </c>
      <c r="C86" s="118" t="s">
        <v>314</v>
      </c>
      <c r="D86" s="118" t="s">
        <v>390</v>
      </c>
      <c r="E86" s="118" t="s">
        <v>337</v>
      </c>
      <c r="F86" s="119">
        <v>58</v>
      </c>
      <c r="G86" s="120">
        <v>24</v>
      </c>
      <c r="H86" s="121">
        <f t="shared" si="3"/>
        <v>1566</v>
      </c>
      <c r="I86" s="122">
        <f t="shared" si="2"/>
        <v>78.300000000000011</v>
      </c>
    </row>
    <row r="87" spans="1:9" x14ac:dyDescent="0.35">
      <c r="A87" s="117">
        <v>45494</v>
      </c>
      <c r="B87" s="118" t="s">
        <v>318</v>
      </c>
      <c r="C87" s="118" t="s">
        <v>393</v>
      </c>
      <c r="D87" s="118" t="s">
        <v>423</v>
      </c>
      <c r="E87" s="118" t="s">
        <v>394</v>
      </c>
      <c r="F87" s="119">
        <v>54</v>
      </c>
      <c r="G87" s="120">
        <v>4</v>
      </c>
      <c r="H87" s="121">
        <f t="shared" si="3"/>
        <v>324</v>
      </c>
      <c r="I87" s="122">
        <f t="shared" si="2"/>
        <v>19.439999999999998</v>
      </c>
    </row>
    <row r="88" spans="1:9" x14ac:dyDescent="0.35">
      <c r="A88" s="117">
        <v>45494</v>
      </c>
      <c r="B88" s="118" t="s">
        <v>318</v>
      </c>
      <c r="C88" s="118" t="s">
        <v>319</v>
      </c>
      <c r="D88" s="118" t="s">
        <v>315</v>
      </c>
      <c r="E88" s="118" t="s">
        <v>344</v>
      </c>
      <c r="F88" s="119">
        <v>41</v>
      </c>
      <c r="G88" s="120">
        <v>4</v>
      </c>
      <c r="H88" s="121">
        <f t="shared" si="3"/>
        <v>205</v>
      </c>
      <c r="I88" s="122">
        <f t="shared" si="2"/>
        <v>10.25</v>
      </c>
    </row>
    <row r="89" spans="1:9" x14ac:dyDescent="0.35">
      <c r="A89" s="117">
        <v>45494</v>
      </c>
      <c r="B89" s="118" t="s">
        <v>422</v>
      </c>
      <c r="C89" s="118" t="s">
        <v>314</v>
      </c>
      <c r="D89" s="118" t="s">
        <v>315</v>
      </c>
      <c r="E89" s="118" t="s">
        <v>343</v>
      </c>
      <c r="F89" s="119">
        <v>28</v>
      </c>
      <c r="G89" s="120">
        <v>24</v>
      </c>
      <c r="H89" s="121">
        <f t="shared" si="3"/>
        <v>756</v>
      </c>
      <c r="I89" s="122">
        <f t="shared" si="2"/>
        <v>37.800000000000004</v>
      </c>
    </row>
    <row r="90" spans="1:9" x14ac:dyDescent="0.35">
      <c r="A90" s="117">
        <v>45494</v>
      </c>
      <c r="B90" s="118" t="s">
        <v>422</v>
      </c>
      <c r="C90" s="118" t="s">
        <v>393</v>
      </c>
      <c r="D90" s="118" t="s">
        <v>320</v>
      </c>
      <c r="E90" s="118" t="s">
        <v>350</v>
      </c>
      <c r="F90" s="119">
        <v>14</v>
      </c>
      <c r="G90" s="120">
        <v>24</v>
      </c>
      <c r="H90" s="121">
        <f t="shared" si="3"/>
        <v>364</v>
      </c>
      <c r="I90" s="122">
        <f t="shared" si="2"/>
        <v>21.84</v>
      </c>
    </row>
    <row r="91" spans="1:9" x14ac:dyDescent="0.35">
      <c r="A91" s="117">
        <v>45494</v>
      </c>
      <c r="B91" s="118" t="s">
        <v>318</v>
      </c>
      <c r="C91" s="118" t="s">
        <v>314</v>
      </c>
      <c r="D91" s="118" t="s">
        <v>423</v>
      </c>
      <c r="E91" s="118" t="s">
        <v>350</v>
      </c>
      <c r="F91" s="119">
        <v>48</v>
      </c>
      <c r="G91" s="120">
        <v>4</v>
      </c>
      <c r="H91" s="121">
        <f t="shared" si="3"/>
        <v>336</v>
      </c>
      <c r="I91" s="122">
        <f t="shared" si="2"/>
        <v>20.16</v>
      </c>
    </row>
    <row r="92" spans="1:9" x14ac:dyDescent="0.35">
      <c r="A92" s="117">
        <v>45494</v>
      </c>
      <c r="B92" s="118" t="s">
        <v>322</v>
      </c>
      <c r="C92" s="118" t="s">
        <v>332</v>
      </c>
      <c r="D92" s="118" t="s">
        <v>423</v>
      </c>
      <c r="E92" s="118" t="s">
        <v>335</v>
      </c>
      <c r="F92" s="119">
        <v>65</v>
      </c>
      <c r="G92" s="120">
        <v>17</v>
      </c>
      <c r="H92" s="121">
        <f t="shared" si="3"/>
        <v>1365</v>
      </c>
      <c r="I92" s="122">
        <f t="shared" si="2"/>
        <v>81.899999999999991</v>
      </c>
    </row>
    <row r="93" spans="1:9" x14ac:dyDescent="0.35">
      <c r="A93" s="117">
        <v>45495</v>
      </c>
      <c r="B93" s="118" t="s">
        <v>327</v>
      </c>
      <c r="C93" s="118" t="s">
        <v>319</v>
      </c>
      <c r="D93" s="118" t="s">
        <v>315</v>
      </c>
      <c r="E93" s="118" t="s">
        <v>342</v>
      </c>
      <c r="F93" s="119">
        <v>16</v>
      </c>
      <c r="G93" s="120">
        <v>6</v>
      </c>
      <c r="H93" s="121">
        <f t="shared" si="3"/>
        <v>112</v>
      </c>
      <c r="I93" s="122">
        <f t="shared" si="2"/>
        <v>5.6000000000000005</v>
      </c>
    </row>
    <row r="94" spans="1:9" x14ac:dyDescent="0.35">
      <c r="A94" s="117">
        <v>45495</v>
      </c>
      <c r="B94" s="118" t="s">
        <v>313</v>
      </c>
      <c r="C94" s="118" t="s">
        <v>393</v>
      </c>
      <c r="D94" s="118" t="s">
        <v>315</v>
      </c>
      <c r="E94" s="118" t="s">
        <v>345</v>
      </c>
      <c r="F94" s="119">
        <v>18</v>
      </c>
      <c r="G94" s="120">
        <v>13</v>
      </c>
      <c r="H94" s="121">
        <f t="shared" si="3"/>
        <v>270</v>
      </c>
      <c r="I94" s="122">
        <f t="shared" si="2"/>
        <v>13.5</v>
      </c>
    </row>
    <row r="95" spans="1:9" x14ac:dyDescent="0.35">
      <c r="A95" s="117">
        <v>45495</v>
      </c>
      <c r="B95" s="118" t="s">
        <v>313</v>
      </c>
      <c r="C95" s="118" t="s">
        <v>319</v>
      </c>
      <c r="D95" s="118" t="s">
        <v>315</v>
      </c>
      <c r="E95" s="118" t="s">
        <v>343</v>
      </c>
      <c r="F95" s="119">
        <v>53</v>
      </c>
      <c r="G95" s="120">
        <v>13</v>
      </c>
      <c r="H95" s="121">
        <f t="shared" si="3"/>
        <v>742</v>
      </c>
      <c r="I95" s="122">
        <f t="shared" si="2"/>
        <v>37.1</v>
      </c>
    </row>
    <row r="96" spans="1:9" x14ac:dyDescent="0.35">
      <c r="A96" s="117">
        <v>45496</v>
      </c>
      <c r="B96" s="118" t="s">
        <v>327</v>
      </c>
      <c r="C96" s="118" t="s">
        <v>393</v>
      </c>
      <c r="D96" s="118" t="s">
        <v>315</v>
      </c>
      <c r="E96" s="118" t="s">
        <v>455</v>
      </c>
      <c r="F96" s="119">
        <v>30</v>
      </c>
      <c r="G96" s="120">
        <v>6</v>
      </c>
      <c r="H96" s="121">
        <f t="shared" si="3"/>
        <v>240</v>
      </c>
      <c r="I96" s="122">
        <f t="shared" si="2"/>
        <v>12</v>
      </c>
    </row>
    <row r="97" spans="1:9" x14ac:dyDescent="0.35">
      <c r="A97" s="117">
        <v>45496</v>
      </c>
      <c r="B97" s="118" t="s">
        <v>422</v>
      </c>
      <c r="C97" s="118" t="s">
        <v>319</v>
      </c>
      <c r="D97" s="118" t="s">
        <v>320</v>
      </c>
      <c r="E97" s="118" t="s">
        <v>340</v>
      </c>
      <c r="F97" s="119">
        <v>57</v>
      </c>
      <c r="G97" s="120">
        <v>24</v>
      </c>
      <c r="H97" s="121">
        <f t="shared" si="3"/>
        <v>1425</v>
      </c>
      <c r="I97" s="122">
        <f t="shared" si="2"/>
        <v>85.5</v>
      </c>
    </row>
    <row r="98" spans="1:9" x14ac:dyDescent="0.35">
      <c r="A98" s="117">
        <v>45496</v>
      </c>
      <c r="B98" s="118" t="s">
        <v>318</v>
      </c>
      <c r="C98" s="118" t="s">
        <v>319</v>
      </c>
      <c r="D98" s="118" t="s">
        <v>390</v>
      </c>
      <c r="E98" s="118" t="s">
        <v>343</v>
      </c>
      <c r="F98" s="119">
        <v>64</v>
      </c>
      <c r="G98" s="120">
        <v>4</v>
      </c>
      <c r="H98" s="121">
        <f t="shared" si="3"/>
        <v>320</v>
      </c>
      <c r="I98" s="122">
        <f t="shared" si="2"/>
        <v>16</v>
      </c>
    </row>
    <row r="99" spans="1:9" x14ac:dyDescent="0.35">
      <c r="A99" s="117">
        <v>45497</v>
      </c>
      <c r="B99" s="118" t="s">
        <v>318</v>
      </c>
      <c r="C99" s="118" t="s">
        <v>314</v>
      </c>
      <c r="D99" s="118" t="s">
        <v>338</v>
      </c>
      <c r="E99" s="118" t="s">
        <v>394</v>
      </c>
      <c r="F99" s="119">
        <v>27</v>
      </c>
      <c r="G99" s="120">
        <v>4</v>
      </c>
      <c r="H99" s="121">
        <f t="shared" si="3"/>
        <v>189</v>
      </c>
      <c r="I99" s="122">
        <f t="shared" si="2"/>
        <v>11.34</v>
      </c>
    </row>
    <row r="100" spans="1:9" x14ac:dyDescent="0.35">
      <c r="A100" s="117">
        <v>45498</v>
      </c>
      <c r="B100" s="118" t="s">
        <v>327</v>
      </c>
      <c r="C100" s="118" t="s">
        <v>332</v>
      </c>
      <c r="D100" s="118" t="s">
        <v>333</v>
      </c>
      <c r="E100" s="118" t="s">
        <v>341</v>
      </c>
      <c r="F100" s="119">
        <v>35</v>
      </c>
      <c r="G100" s="120">
        <v>6</v>
      </c>
      <c r="H100" s="121">
        <f t="shared" si="3"/>
        <v>350</v>
      </c>
      <c r="I100" s="122">
        <f t="shared" si="2"/>
        <v>17.5</v>
      </c>
    </row>
    <row r="101" spans="1:9" x14ac:dyDescent="0.35">
      <c r="A101" s="117">
        <v>45498</v>
      </c>
      <c r="B101" s="118" t="s">
        <v>318</v>
      </c>
      <c r="C101" s="118" t="s">
        <v>393</v>
      </c>
      <c r="D101" s="118" t="s">
        <v>324</v>
      </c>
      <c r="E101" s="118" t="s">
        <v>388</v>
      </c>
      <c r="F101" s="119">
        <v>24</v>
      </c>
      <c r="G101" s="120">
        <v>4</v>
      </c>
      <c r="H101" s="121">
        <f t="shared" si="3"/>
        <v>144</v>
      </c>
      <c r="I101" s="122">
        <f t="shared" si="2"/>
        <v>7.2</v>
      </c>
    </row>
    <row r="102" spans="1:9" x14ac:dyDescent="0.35">
      <c r="A102" s="117">
        <v>45498</v>
      </c>
      <c r="B102" s="118" t="s">
        <v>322</v>
      </c>
      <c r="C102" s="118" t="s">
        <v>332</v>
      </c>
      <c r="D102" s="118" t="s">
        <v>324</v>
      </c>
      <c r="E102" s="118" t="s">
        <v>337</v>
      </c>
      <c r="F102" s="119">
        <v>54</v>
      </c>
      <c r="G102" s="120">
        <v>17</v>
      </c>
      <c r="H102" s="121">
        <f t="shared" si="3"/>
        <v>1134</v>
      </c>
      <c r="I102" s="122">
        <f t="shared" si="2"/>
        <v>56.7</v>
      </c>
    </row>
    <row r="103" spans="1:9" x14ac:dyDescent="0.35">
      <c r="A103" s="117">
        <v>45498</v>
      </c>
      <c r="B103" s="118" t="s">
        <v>322</v>
      </c>
      <c r="C103" s="118" t="s">
        <v>332</v>
      </c>
      <c r="D103" s="118" t="s">
        <v>338</v>
      </c>
      <c r="E103" s="118" t="s">
        <v>394</v>
      </c>
      <c r="F103" s="119">
        <v>11</v>
      </c>
      <c r="G103" s="120">
        <v>17</v>
      </c>
      <c r="H103" s="121">
        <f t="shared" si="3"/>
        <v>231</v>
      </c>
      <c r="I103" s="122">
        <f t="shared" si="2"/>
        <v>13.86</v>
      </c>
    </row>
    <row r="104" spans="1:9" x14ac:dyDescent="0.35">
      <c r="A104" s="117">
        <v>45498</v>
      </c>
      <c r="B104" s="118" t="s">
        <v>313</v>
      </c>
      <c r="C104" s="118" t="s">
        <v>332</v>
      </c>
      <c r="D104" s="118" t="s">
        <v>423</v>
      </c>
      <c r="E104" s="118" t="s">
        <v>344</v>
      </c>
      <c r="F104" s="119">
        <v>43</v>
      </c>
      <c r="G104" s="120">
        <v>13</v>
      </c>
      <c r="H104" s="121">
        <f t="shared" si="3"/>
        <v>731</v>
      </c>
      <c r="I104" s="122">
        <f t="shared" si="2"/>
        <v>43.86</v>
      </c>
    </row>
    <row r="105" spans="1:9" x14ac:dyDescent="0.35">
      <c r="A105" s="117">
        <v>45499</v>
      </c>
      <c r="B105" s="118" t="s">
        <v>327</v>
      </c>
      <c r="C105" s="118" t="s">
        <v>332</v>
      </c>
      <c r="D105" s="118" t="s">
        <v>315</v>
      </c>
      <c r="E105" s="118" t="s">
        <v>345</v>
      </c>
      <c r="F105" s="119">
        <v>15</v>
      </c>
      <c r="G105" s="120">
        <v>6</v>
      </c>
      <c r="H105" s="121">
        <f t="shared" si="3"/>
        <v>150</v>
      </c>
      <c r="I105" s="122">
        <f t="shared" si="2"/>
        <v>7.5</v>
      </c>
    </row>
    <row r="106" spans="1:9" x14ac:dyDescent="0.35">
      <c r="A106" s="117">
        <v>45499</v>
      </c>
      <c r="B106" s="118" t="s">
        <v>313</v>
      </c>
      <c r="C106" s="118" t="s">
        <v>314</v>
      </c>
      <c r="D106" s="118" t="s">
        <v>333</v>
      </c>
      <c r="E106" s="118" t="s">
        <v>416</v>
      </c>
      <c r="F106" s="119">
        <v>11</v>
      </c>
      <c r="G106" s="120">
        <v>13</v>
      </c>
      <c r="H106" s="121">
        <f t="shared" si="3"/>
        <v>176</v>
      </c>
      <c r="I106" s="122">
        <f t="shared" si="2"/>
        <v>8.8000000000000007</v>
      </c>
    </row>
    <row r="107" spans="1:9" x14ac:dyDescent="0.35">
      <c r="A107" s="117">
        <v>45500</v>
      </c>
      <c r="B107" s="118" t="s">
        <v>318</v>
      </c>
      <c r="C107" s="118" t="s">
        <v>319</v>
      </c>
      <c r="D107" s="118" t="s">
        <v>390</v>
      </c>
      <c r="E107" s="118" t="s">
        <v>340</v>
      </c>
      <c r="F107" s="119">
        <v>8</v>
      </c>
      <c r="G107" s="120">
        <v>4</v>
      </c>
      <c r="H107" s="121">
        <f t="shared" si="3"/>
        <v>40</v>
      </c>
      <c r="I107" s="122">
        <f t="shared" si="2"/>
        <v>2</v>
      </c>
    </row>
    <row r="108" spans="1:9" x14ac:dyDescent="0.35">
      <c r="A108" s="117">
        <v>45500</v>
      </c>
      <c r="B108" s="118" t="s">
        <v>327</v>
      </c>
      <c r="C108" s="118" t="s">
        <v>332</v>
      </c>
      <c r="D108" s="118" t="s">
        <v>423</v>
      </c>
      <c r="E108" s="118" t="s">
        <v>340</v>
      </c>
      <c r="F108" s="119">
        <v>27</v>
      </c>
      <c r="G108" s="120">
        <v>6</v>
      </c>
      <c r="H108" s="121">
        <f t="shared" si="3"/>
        <v>270</v>
      </c>
      <c r="I108" s="122">
        <f t="shared" si="2"/>
        <v>16.2</v>
      </c>
    </row>
    <row r="109" spans="1:9" x14ac:dyDescent="0.35">
      <c r="A109" s="117">
        <v>45501</v>
      </c>
      <c r="B109" s="118" t="s">
        <v>322</v>
      </c>
      <c r="C109" s="118" t="s">
        <v>332</v>
      </c>
      <c r="D109" s="118" t="s">
        <v>423</v>
      </c>
      <c r="E109" s="118" t="s">
        <v>406</v>
      </c>
      <c r="F109" s="119">
        <v>46</v>
      </c>
      <c r="G109" s="120">
        <v>17</v>
      </c>
      <c r="H109" s="121">
        <f t="shared" si="3"/>
        <v>966</v>
      </c>
      <c r="I109" s="122">
        <f t="shared" si="2"/>
        <v>57.96</v>
      </c>
    </row>
    <row r="110" spans="1:9" x14ac:dyDescent="0.35">
      <c r="A110" s="117">
        <v>45501</v>
      </c>
      <c r="B110" s="118" t="s">
        <v>422</v>
      </c>
      <c r="C110" s="118" t="s">
        <v>319</v>
      </c>
      <c r="D110" s="118" t="s">
        <v>320</v>
      </c>
      <c r="E110" s="118" t="s">
        <v>341</v>
      </c>
      <c r="F110" s="119">
        <v>6</v>
      </c>
      <c r="G110" s="120">
        <v>24</v>
      </c>
      <c r="H110" s="121">
        <f t="shared" si="3"/>
        <v>150</v>
      </c>
      <c r="I110" s="122">
        <f t="shared" si="2"/>
        <v>9</v>
      </c>
    </row>
    <row r="111" spans="1:9" x14ac:dyDescent="0.35">
      <c r="A111" s="117">
        <v>45501</v>
      </c>
      <c r="B111" s="118" t="s">
        <v>318</v>
      </c>
      <c r="C111" s="118" t="s">
        <v>319</v>
      </c>
      <c r="D111" s="118" t="s">
        <v>320</v>
      </c>
      <c r="E111" s="118" t="s">
        <v>337</v>
      </c>
      <c r="F111" s="119">
        <v>15</v>
      </c>
      <c r="G111" s="120">
        <v>4</v>
      </c>
      <c r="H111" s="121">
        <f t="shared" si="3"/>
        <v>75</v>
      </c>
      <c r="I111" s="122">
        <f t="shared" si="2"/>
        <v>4.5</v>
      </c>
    </row>
    <row r="112" spans="1:9" x14ac:dyDescent="0.35">
      <c r="A112" s="117">
        <v>45501</v>
      </c>
      <c r="B112" s="118" t="s">
        <v>318</v>
      </c>
      <c r="C112" s="118" t="s">
        <v>314</v>
      </c>
      <c r="D112" s="118" t="s">
        <v>390</v>
      </c>
      <c r="E112" s="118" t="s">
        <v>400</v>
      </c>
      <c r="F112" s="119">
        <v>33</v>
      </c>
      <c r="G112" s="120">
        <v>4</v>
      </c>
      <c r="H112" s="121">
        <f t="shared" si="3"/>
        <v>231</v>
      </c>
      <c r="I112" s="122">
        <f t="shared" si="2"/>
        <v>11.55</v>
      </c>
    </row>
    <row r="113" spans="1:9" x14ac:dyDescent="0.35">
      <c r="A113" s="117">
        <v>45501</v>
      </c>
      <c r="B113" s="118" t="s">
        <v>313</v>
      </c>
      <c r="C113" s="118" t="s">
        <v>319</v>
      </c>
      <c r="D113" s="118" t="s">
        <v>320</v>
      </c>
      <c r="E113" s="118" t="s">
        <v>329</v>
      </c>
      <c r="F113" s="119">
        <v>34</v>
      </c>
      <c r="G113" s="120">
        <v>13</v>
      </c>
      <c r="H113" s="121">
        <f t="shared" si="3"/>
        <v>476</v>
      </c>
      <c r="I113" s="122">
        <f t="shared" si="2"/>
        <v>28.56</v>
      </c>
    </row>
    <row r="114" spans="1:9" x14ac:dyDescent="0.35">
      <c r="A114" s="117">
        <v>45501</v>
      </c>
      <c r="B114" s="118" t="s">
        <v>318</v>
      </c>
      <c r="C114" s="118" t="s">
        <v>393</v>
      </c>
      <c r="D114" s="118" t="s">
        <v>390</v>
      </c>
      <c r="E114" s="118" t="s">
        <v>344</v>
      </c>
      <c r="F114" s="119">
        <v>11</v>
      </c>
      <c r="G114" s="120">
        <v>4</v>
      </c>
      <c r="H114" s="121">
        <f t="shared" si="3"/>
        <v>66</v>
      </c>
      <c r="I114" s="122">
        <f t="shared" si="2"/>
        <v>3.3000000000000003</v>
      </c>
    </row>
    <row r="115" spans="1:9" x14ac:dyDescent="0.35">
      <c r="A115" s="117">
        <v>45501</v>
      </c>
      <c r="B115" s="118" t="s">
        <v>322</v>
      </c>
      <c r="C115" s="118" t="s">
        <v>319</v>
      </c>
      <c r="D115" s="118" t="s">
        <v>333</v>
      </c>
      <c r="E115" s="118" t="s">
        <v>344</v>
      </c>
      <c r="F115" s="119">
        <v>8</v>
      </c>
      <c r="G115" s="120">
        <v>17</v>
      </c>
      <c r="H115" s="121">
        <f t="shared" si="3"/>
        <v>144</v>
      </c>
      <c r="I115" s="122">
        <f t="shared" si="2"/>
        <v>7.2</v>
      </c>
    </row>
    <row r="116" spans="1:9" x14ac:dyDescent="0.35">
      <c r="A116" s="117">
        <v>45502</v>
      </c>
      <c r="B116" s="118" t="s">
        <v>327</v>
      </c>
      <c r="C116" s="118" t="s">
        <v>314</v>
      </c>
      <c r="D116" s="118" t="s">
        <v>315</v>
      </c>
      <c r="E116" s="118" t="s">
        <v>345</v>
      </c>
      <c r="F116" s="119">
        <v>28</v>
      </c>
      <c r="G116" s="120">
        <v>6</v>
      </c>
      <c r="H116" s="121">
        <f t="shared" si="3"/>
        <v>252</v>
      </c>
      <c r="I116" s="122">
        <f t="shared" si="2"/>
        <v>12.600000000000001</v>
      </c>
    </row>
    <row r="117" spans="1:9" x14ac:dyDescent="0.35">
      <c r="A117" s="117">
        <v>45502</v>
      </c>
      <c r="B117" s="118" t="s">
        <v>422</v>
      </c>
      <c r="C117" s="118" t="s">
        <v>314</v>
      </c>
      <c r="D117" s="118" t="s">
        <v>324</v>
      </c>
      <c r="E117" s="118" t="s">
        <v>335</v>
      </c>
      <c r="F117" s="119">
        <v>19</v>
      </c>
      <c r="G117" s="120">
        <v>24</v>
      </c>
      <c r="H117" s="121">
        <f t="shared" si="3"/>
        <v>513</v>
      </c>
      <c r="I117" s="122">
        <f t="shared" si="2"/>
        <v>25.650000000000002</v>
      </c>
    </row>
    <row r="118" spans="1:9" x14ac:dyDescent="0.35">
      <c r="A118" s="117">
        <v>45503</v>
      </c>
      <c r="B118" s="118" t="s">
        <v>322</v>
      </c>
      <c r="C118" s="118" t="s">
        <v>314</v>
      </c>
      <c r="D118" s="118" t="s">
        <v>338</v>
      </c>
      <c r="E118" s="118" t="s">
        <v>340</v>
      </c>
      <c r="F118" s="119">
        <v>16</v>
      </c>
      <c r="G118" s="120">
        <v>17</v>
      </c>
      <c r="H118" s="121">
        <f t="shared" si="3"/>
        <v>320</v>
      </c>
      <c r="I118" s="122">
        <f t="shared" si="2"/>
        <v>19.2</v>
      </c>
    </row>
    <row r="119" spans="1:9" x14ac:dyDescent="0.35">
      <c r="A119" s="117">
        <v>45503</v>
      </c>
      <c r="B119" s="118" t="s">
        <v>327</v>
      </c>
      <c r="C119" s="118" t="s">
        <v>393</v>
      </c>
      <c r="D119" s="118" t="s">
        <v>320</v>
      </c>
      <c r="E119" s="118" t="s">
        <v>339</v>
      </c>
      <c r="F119" s="119">
        <v>23</v>
      </c>
      <c r="G119" s="120">
        <v>6</v>
      </c>
      <c r="H119" s="121">
        <f t="shared" si="3"/>
        <v>184</v>
      </c>
      <c r="I119" s="122">
        <f t="shared" si="2"/>
        <v>11.04</v>
      </c>
    </row>
    <row r="120" spans="1:9" x14ac:dyDescent="0.35">
      <c r="A120" s="117">
        <v>45503</v>
      </c>
      <c r="B120" s="118" t="s">
        <v>327</v>
      </c>
      <c r="C120" s="118" t="s">
        <v>314</v>
      </c>
      <c r="D120" s="118" t="s">
        <v>320</v>
      </c>
      <c r="E120" s="118" t="s">
        <v>339</v>
      </c>
      <c r="F120" s="119">
        <v>27</v>
      </c>
      <c r="G120" s="120">
        <v>6</v>
      </c>
      <c r="H120" s="121">
        <f t="shared" si="3"/>
        <v>243</v>
      </c>
      <c r="I120" s="122">
        <f t="shared" si="2"/>
        <v>14.58</v>
      </c>
    </row>
    <row r="121" spans="1:9" x14ac:dyDescent="0.35">
      <c r="A121" s="117">
        <v>45503</v>
      </c>
      <c r="B121" s="118" t="s">
        <v>422</v>
      </c>
      <c r="C121" s="118" t="s">
        <v>319</v>
      </c>
      <c r="D121" s="118" t="s">
        <v>320</v>
      </c>
      <c r="E121" s="118" t="s">
        <v>405</v>
      </c>
      <c r="F121" s="119">
        <v>31</v>
      </c>
      <c r="G121" s="120">
        <v>24</v>
      </c>
      <c r="H121" s="121">
        <f t="shared" si="3"/>
        <v>775</v>
      </c>
      <c r="I121" s="122">
        <f t="shared" si="2"/>
        <v>46.5</v>
      </c>
    </row>
    <row r="122" spans="1:9" x14ac:dyDescent="0.35">
      <c r="A122" s="117">
        <v>45504</v>
      </c>
      <c r="B122" s="118" t="s">
        <v>322</v>
      </c>
      <c r="C122" s="118" t="s">
        <v>319</v>
      </c>
      <c r="D122" s="118" t="s">
        <v>315</v>
      </c>
      <c r="E122" s="118" t="s">
        <v>340</v>
      </c>
      <c r="F122" s="119">
        <v>24</v>
      </c>
      <c r="G122" s="120">
        <v>17</v>
      </c>
      <c r="H122" s="121">
        <f t="shared" si="3"/>
        <v>432</v>
      </c>
      <c r="I122" s="122">
        <f t="shared" si="2"/>
        <v>21.6</v>
      </c>
    </row>
    <row r="123" spans="1:9" x14ac:dyDescent="0.35">
      <c r="A123" s="117">
        <v>45504</v>
      </c>
      <c r="B123" s="118" t="s">
        <v>322</v>
      </c>
      <c r="C123" s="118" t="s">
        <v>319</v>
      </c>
      <c r="D123" s="118" t="s">
        <v>315</v>
      </c>
      <c r="E123" s="118" t="s">
        <v>345</v>
      </c>
      <c r="F123" s="119">
        <v>64</v>
      </c>
      <c r="G123" s="120">
        <v>17</v>
      </c>
      <c r="H123" s="121">
        <f t="shared" si="3"/>
        <v>1152</v>
      </c>
      <c r="I123" s="122">
        <f t="shared" si="2"/>
        <v>57.6</v>
      </c>
    </row>
    <row r="124" spans="1:9" x14ac:dyDescent="0.35">
      <c r="A124" s="117">
        <v>45504</v>
      </c>
      <c r="B124" s="118" t="s">
        <v>318</v>
      </c>
      <c r="C124" s="118" t="s">
        <v>319</v>
      </c>
      <c r="D124" s="118" t="s">
        <v>320</v>
      </c>
      <c r="E124" s="118" t="s">
        <v>329</v>
      </c>
      <c r="F124" s="119">
        <v>46</v>
      </c>
      <c r="G124" s="120">
        <v>4</v>
      </c>
      <c r="H124" s="121">
        <f t="shared" si="3"/>
        <v>230</v>
      </c>
      <c r="I124" s="122">
        <f t="shared" si="2"/>
        <v>13.799999999999999</v>
      </c>
    </row>
    <row r="125" spans="1:9" x14ac:dyDescent="0.35">
      <c r="A125" s="117">
        <v>45504</v>
      </c>
      <c r="B125" s="118" t="s">
        <v>422</v>
      </c>
      <c r="C125" s="118" t="s">
        <v>332</v>
      </c>
      <c r="D125" s="118" t="s">
        <v>324</v>
      </c>
      <c r="E125" s="118" t="s">
        <v>343</v>
      </c>
      <c r="F125" s="119">
        <v>42</v>
      </c>
      <c r="G125" s="120">
        <v>24</v>
      </c>
      <c r="H125" s="121">
        <f t="shared" si="3"/>
        <v>1176</v>
      </c>
      <c r="I125" s="122">
        <f t="shared" si="2"/>
        <v>58.800000000000004</v>
      </c>
    </row>
    <row r="126" spans="1:9" x14ac:dyDescent="0.35">
      <c r="A126" s="117">
        <v>45505</v>
      </c>
      <c r="B126" s="118" t="s">
        <v>422</v>
      </c>
      <c r="C126" s="118" t="s">
        <v>332</v>
      </c>
      <c r="D126" s="118" t="s">
        <v>338</v>
      </c>
      <c r="E126" s="118" t="s">
        <v>347</v>
      </c>
      <c r="F126" s="119">
        <v>61</v>
      </c>
      <c r="G126" s="120">
        <v>24</v>
      </c>
      <c r="H126" s="121">
        <f t="shared" si="3"/>
        <v>1708</v>
      </c>
      <c r="I126" s="122">
        <f t="shared" si="2"/>
        <v>102.47999999999999</v>
      </c>
    </row>
    <row r="127" spans="1:9" x14ac:dyDescent="0.35">
      <c r="A127" s="117">
        <v>45505</v>
      </c>
      <c r="B127" s="118" t="s">
        <v>327</v>
      </c>
      <c r="C127" s="118" t="s">
        <v>314</v>
      </c>
      <c r="D127" s="118" t="s">
        <v>333</v>
      </c>
      <c r="E127" s="118" t="s">
        <v>394</v>
      </c>
      <c r="F127" s="119">
        <v>39</v>
      </c>
      <c r="G127" s="120">
        <v>6</v>
      </c>
      <c r="H127" s="121">
        <f t="shared" si="3"/>
        <v>351</v>
      </c>
      <c r="I127" s="122">
        <f t="shared" si="2"/>
        <v>17.55</v>
      </c>
    </row>
    <row r="128" spans="1:9" x14ac:dyDescent="0.35">
      <c r="A128" s="117">
        <v>45505</v>
      </c>
      <c r="B128" s="118" t="s">
        <v>322</v>
      </c>
      <c r="C128" s="118" t="s">
        <v>393</v>
      </c>
      <c r="D128" s="118" t="s">
        <v>390</v>
      </c>
      <c r="E128" s="118" t="s">
        <v>344</v>
      </c>
      <c r="F128" s="119">
        <v>22</v>
      </c>
      <c r="G128" s="120">
        <v>17</v>
      </c>
      <c r="H128" s="121">
        <f t="shared" si="3"/>
        <v>418</v>
      </c>
      <c r="I128" s="122">
        <f t="shared" si="2"/>
        <v>20.900000000000002</v>
      </c>
    </row>
    <row r="129" spans="1:9" x14ac:dyDescent="0.35">
      <c r="A129" s="117">
        <v>45506</v>
      </c>
      <c r="B129" s="118" t="s">
        <v>313</v>
      </c>
      <c r="C129" s="118" t="s">
        <v>332</v>
      </c>
      <c r="D129" s="118" t="s">
        <v>338</v>
      </c>
      <c r="E129" s="118" t="s">
        <v>339</v>
      </c>
      <c r="F129" s="119">
        <v>31</v>
      </c>
      <c r="G129" s="120">
        <v>13</v>
      </c>
      <c r="H129" s="121">
        <f t="shared" si="3"/>
        <v>527</v>
      </c>
      <c r="I129" s="122">
        <f t="shared" si="2"/>
        <v>31.619999999999997</v>
      </c>
    </row>
    <row r="130" spans="1:9" x14ac:dyDescent="0.35">
      <c r="A130" s="117">
        <v>45506</v>
      </c>
      <c r="B130" s="118" t="s">
        <v>318</v>
      </c>
      <c r="C130" s="118" t="s">
        <v>332</v>
      </c>
      <c r="D130" s="118" t="s">
        <v>390</v>
      </c>
      <c r="E130" s="118" t="s">
        <v>400</v>
      </c>
      <c r="F130" s="119">
        <v>17</v>
      </c>
      <c r="G130" s="120">
        <v>4</v>
      </c>
      <c r="H130" s="121">
        <f t="shared" si="3"/>
        <v>136</v>
      </c>
      <c r="I130" s="122">
        <f t="shared" ref="I130:I193" si="4">H130*VLOOKUP(D130,$O$4:$P$10,2,TRUE)</f>
        <v>6.8000000000000007</v>
      </c>
    </row>
    <row r="131" spans="1:9" x14ac:dyDescent="0.35">
      <c r="A131" s="117">
        <v>45506</v>
      </c>
      <c r="B131" s="118" t="s">
        <v>318</v>
      </c>
      <c r="C131" s="118" t="s">
        <v>319</v>
      </c>
      <c r="D131" s="118" t="s">
        <v>390</v>
      </c>
      <c r="E131" s="118" t="s">
        <v>329</v>
      </c>
      <c r="F131" s="119">
        <v>20</v>
      </c>
      <c r="G131" s="120">
        <v>4</v>
      </c>
      <c r="H131" s="121">
        <f t="shared" ref="H131:H194" si="5">(F131*G131)+VLOOKUP(C131,$K$11:$L$14,2,FALSE)*F131</f>
        <v>100</v>
      </c>
      <c r="I131" s="122">
        <f t="shared" si="4"/>
        <v>5</v>
      </c>
    </row>
    <row r="132" spans="1:9" x14ac:dyDescent="0.35">
      <c r="A132" s="117">
        <v>45507</v>
      </c>
      <c r="B132" s="118" t="s">
        <v>313</v>
      </c>
      <c r="C132" s="118" t="s">
        <v>314</v>
      </c>
      <c r="D132" s="118" t="s">
        <v>423</v>
      </c>
      <c r="E132" s="118" t="s">
        <v>388</v>
      </c>
      <c r="F132" s="119">
        <v>17</v>
      </c>
      <c r="G132" s="120">
        <v>13</v>
      </c>
      <c r="H132" s="121">
        <f t="shared" si="5"/>
        <v>272</v>
      </c>
      <c r="I132" s="122">
        <f t="shared" si="4"/>
        <v>16.32</v>
      </c>
    </row>
    <row r="133" spans="1:9" x14ac:dyDescent="0.35">
      <c r="A133" s="117">
        <v>45507</v>
      </c>
      <c r="B133" s="118" t="s">
        <v>322</v>
      </c>
      <c r="C133" s="118" t="s">
        <v>332</v>
      </c>
      <c r="D133" s="118" t="s">
        <v>338</v>
      </c>
      <c r="E133" s="118" t="s">
        <v>344</v>
      </c>
      <c r="F133" s="119">
        <v>36</v>
      </c>
      <c r="G133" s="120">
        <v>17</v>
      </c>
      <c r="H133" s="121">
        <f t="shared" si="5"/>
        <v>756</v>
      </c>
      <c r="I133" s="122">
        <f t="shared" si="4"/>
        <v>45.36</v>
      </c>
    </row>
    <row r="134" spans="1:9" x14ac:dyDescent="0.35">
      <c r="A134" s="117">
        <v>45507</v>
      </c>
      <c r="B134" s="118" t="s">
        <v>322</v>
      </c>
      <c r="C134" s="118" t="s">
        <v>393</v>
      </c>
      <c r="D134" s="118" t="s">
        <v>423</v>
      </c>
      <c r="E134" s="118" t="s">
        <v>343</v>
      </c>
      <c r="F134" s="119">
        <v>8</v>
      </c>
      <c r="G134" s="120">
        <v>17</v>
      </c>
      <c r="H134" s="121">
        <f t="shared" si="5"/>
        <v>152</v>
      </c>
      <c r="I134" s="122">
        <f t="shared" si="4"/>
        <v>9.1199999999999992</v>
      </c>
    </row>
    <row r="135" spans="1:9" x14ac:dyDescent="0.35">
      <c r="A135" s="117">
        <v>45508</v>
      </c>
      <c r="B135" s="118" t="s">
        <v>327</v>
      </c>
      <c r="C135" s="118" t="s">
        <v>332</v>
      </c>
      <c r="D135" s="118" t="s">
        <v>423</v>
      </c>
      <c r="E135" s="118" t="s">
        <v>455</v>
      </c>
      <c r="F135" s="119">
        <v>12</v>
      </c>
      <c r="G135" s="120">
        <v>6</v>
      </c>
      <c r="H135" s="121">
        <f t="shared" si="5"/>
        <v>120</v>
      </c>
      <c r="I135" s="122">
        <f t="shared" si="4"/>
        <v>7.1999999999999993</v>
      </c>
    </row>
    <row r="136" spans="1:9" x14ac:dyDescent="0.35">
      <c r="A136" s="117">
        <v>45508</v>
      </c>
      <c r="B136" s="118" t="s">
        <v>318</v>
      </c>
      <c r="C136" s="118" t="s">
        <v>332</v>
      </c>
      <c r="D136" s="118" t="s">
        <v>324</v>
      </c>
      <c r="E136" s="118" t="s">
        <v>395</v>
      </c>
      <c r="F136" s="119">
        <v>38</v>
      </c>
      <c r="G136" s="120">
        <v>4</v>
      </c>
      <c r="H136" s="121">
        <f t="shared" si="5"/>
        <v>304</v>
      </c>
      <c r="I136" s="122">
        <f t="shared" si="4"/>
        <v>15.200000000000001</v>
      </c>
    </row>
    <row r="137" spans="1:9" x14ac:dyDescent="0.35">
      <c r="A137" s="117">
        <v>45508</v>
      </c>
      <c r="B137" s="118" t="s">
        <v>318</v>
      </c>
      <c r="C137" s="118" t="s">
        <v>314</v>
      </c>
      <c r="D137" s="118" t="s">
        <v>390</v>
      </c>
      <c r="E137" s="118" t="s">
        <v>343</v>
      </c>
      <c r="F137" s="119">
        <v>56</v>
      </c>
      <c r="G137" s="120">
        <v>4</v>
      </c>
      <c r="H137" s="121">
        <f t="shared" si="5"/>
        <v>392</v>
      </c>
      <c r="I137" s="122">
        <f t="shared" si="4"/>
        <v>19.600000000000001</v>
      </c>
    </row>
    <row r="138" spans="1:9" x14ac:dyDescent="0.35">
      <c r="A138" s="117">
        <v>45509</v>
      </c>
      <c r="B138" s="118" t="s">
        <v>313</v>
      </c>
      <c r="C138" s="118" t="s">
        <v>319</v>
      </c>
      <c r="D138" s="118" t="s">
        <v>320</v>
      </c>
      <c r="E138" s="118" t="s">
        <v>340</v>
      </c>
      <c r="F138" s="119">
        <v>57</v>
      </c>
      <c r="G138" s="120">
        <v>13</v>
      </c>
      <c r="H138" s="121">
        <f t="shared" si="5"/>
        <v>798</v>
      </c>
      <c r="I138" s="122">
        <f t="shared" si="4"/>
        <v>47.879999999999995</v>
      </c>
    </row>
    <row r="139" spans="1:9" x14ac:dyDescent="0.35">
      <c r="A139" s="117">
        <v>45509</v>
      </c>
      <c r="B139" s="118" t="s">
        <v>422</v>
      </c>
      <c r="C139" s="118" t="s">
        <v>314</v>
      </c>
      <c r="D139" s="118" t="s">
        <v>324</v>
      </c>
      <c r="E139" s="118" t="s">
        <v>346</v>
      </c>
      <c r="F139" s="119">
        <v>19</v>
      </c>
      <c r="G139" s="120">
        <v>24</v>
      </c>
      <c r="H139" s="121">
        <f t="shared" si="5"/>
        <v>513</v>
      </c>
      <c r="I139" s="122">
        <f t="shared" si="4"/>
        <v>25.650000000000002</v>
      </c>
    </row>
    <row r="140" spans="1:9" x14ac:dyDescent="0.35">
      <c r="A140" s="117">
        <v>45509</v>
      </c>
      <c r="B140" s="118" t="s">
        <v>318</v>
      </c>
      <c r="C140" s="118" t="s">
        <v>319</v>
      </c>
      <c r="D140" s="118" t="s">
        <v>423</v>
      </c>
      <c r="E140" s="118" t="s">
        <v>331</v>
      </c>
      <c r="F140" s="119">
        <v>41</v>
      </c>
      <c r="G140" s="120">
        <v>4</v>
      </c>
      <c r="H140" s="121">
        <f t="shared" si="5"/>
        <v>205</v>
      </c>
      <c r="I140" s="122">
        <f t="shared" si="4"/>
        <v>12.299999999999999</v>
      </c>
    </row>
    <row r="141" spans="1:9" x14ac:dyDescent="0.35">
      <c r="A141" s="117">
        <v>45510</v>
      </c>
      <c r="B141" s="118" t="s">
        <v>327</v>
      </c>
      <c r="C141" s="118" t="s">
        <v>319</v>
      </c>
      <c r="D141" s="118" t="s">
        <v>333</v>
      </c>
      <c r="E141" s="118" t="s">
        <v>340</v>
      </c>
      <c r="F141" s="119">
        <v>65</v>
      </c>
      <c r="G141" s="120">
        <v>6</v>
      </c>
      <c r="H141" s="121">
        <f t="shared" si="5"/>
        <v>455</v>
      </c>
      <c r="I141" s="122">
        <f t="shared" si="4"/>
        <v>22.75</v>
      </c>
    </row>
    <row r="142" spans="1:9" x14ac:dyDescent="0.35">
      <c r="A142" s="117">
        <v>45510</v>
      </c>
      <c r="B142" s="118" t="s">
        <v>318</v>
      </c>
      <c r="C142" s="118" t="s">
        <v>332</v>
      </c>
      <c r="D142" s="118" t="s">
        <v>315</v>
      </c>
      <c r="E142" s="118" t="s">
        <v>339</v>
      </c>
      <c r="F142" s="119">
        <v>48</v>
      </c>
      <c r="G142" s="120">
        <v>4</v>
      </c>
      <c r="H142" s="121">
        <f t="shared" si="5"/>
        <v>384</v>
      </c>
      <c r="I142" s="122">
        <f t="shared" si="4"/>
        <v>19.200000000000003</v>
      </c>
    </row>
    <row r="143" spans="1:9" x14ac:dyDescent="0.35">
      <c r="A143" s="117">
        <v>45510</v>
      </c>
      <c r="B143" s="118" t="s">
        <v>322</v>
      </c>
      <c r="C143" s="118" t="s">
        <v>393</v>
      </c>
      <c r="D143" s="118" t="s">
        <v>320</v>
      </c>
      <c r="E143" s="118" t="s">
        <v>337</v>
      </c>
      <c r="F143" s="119">
        <v>37</v>
      </c>
      <c r="G143" s="120">
        <v>17</v>
      </c>
      <c r="H143" s="121">
        <f t="shared" si="5"/>
        <v>703</v>
      </c>
      <c r="I143" s="122">
        <f t="shared" si="4"/>
        <v>42.18</v>
      </c>
    </row>
    <row r="144" spans="1:9" x14ac:dyDescent="0.35">
      <c r="A144" s="117">
        <v>45510</v>
      </c>
      <c r="B144" s="118" t="s">
        <v>322</v>
      </c>
      <c r="C144" s="118" t="s">
        <v>319</v>
      </c>
      <c r="D144" s="118" t="s">
        <v>324</v>
      </c>
      <c r="E144" s="118" t="s">
        <v>346</v>
      </c>
      <c r="F144" s="119">
        <v>62</v>
      </c>
      <c r="G144" s="120">
        <v>17</v>
      </c>
      <c r="H144" s="121">
        <f t="shared" si="5"/>
        <v>1116</v>
      </c>
      <c r="I144" s="122">
        <f t="shared" si="4"/>
        <v>55.800000000000004</v>
      </c>
    </row>
    <row r="145" spans="1:9" x14ac:dyDescent="0.35">
      <c r="A145" s="117">
        <v>45510</v>
      </c>
      <c r="B145" s="118" t="s">
        <v>313</v>
      </c>
      <c r="C145" s="118" t="s">
        <v>314</v>
      </c>
      <c r="D145" s="118" t="s">
        <v>315</v>
      </c>
      <c r="E145" s="118" t="s">
        <v>331</v>
      </c>
      <c r="F145" s="119">
        <v>12</v>
      </c>
      <c r="G145" s="120">
        <v>13</v>
      </c>
      <c r="H145" s="121">
        <f t="shared" si="5"/>
        <v>192</v>
      </c>
      <c r="I145" s="122">
        <f t="shared" si="4"/>
        <v>9.6000000000000014</v>
      </c>
    </row>
    <row r="146" spans="1:9" x14ac:dyDescent="0.35">
      <c r="A146" s="117">
        <v>45510</v>
      </c>
      <c r="B146" s="118" t="s">
        <v>327</v>
      </c>
      <c r="C146" s="118" t="s">
        <v>314</v>
      </c>
      <c r="D146" s="118" t="s">
        <v>333</v>
      </c>
      <c r="E146" s="118" t="s">
        <v>343</v>
      </c>
      <c r="F146" s="119">
        <v>10</v>
      </c>
      <c r="G146" s="120">
        <v>6</v>
      </c>
      <c r="H146" s="121">
        <f t="shared" si="5"/>
        <v>90</v>
      </c>
      <c r="I146" s="122">
        <f t="shared" si="4"/>
        <v>4.5</v>
      </c>
    </row>
    <row r="147" spans="1:9" x14ac:dyDescent="0.35">
      <c r="A147" s="117">
        <v>45512</v>
      </c>
      <c r="B147" s="118" t="s">
        <v>318</v>
      </c>
      <c r="C147" s="118" t="s">
        <v>393</v>
      </c>
      <c r="D147" s="118" t="s">
        <v>338</v>
      </c>
      <c r="E147" s="118" t="s">
        <v>340</v>
      </c>
      <c r="F147" s="119">
        <v>18</v>
      </c>
      <c r="G147" s="120">
        <v>4</v>
      </c>
      <c r="H147" s="121">
        <f t="shared" si="5"/>
        <v>108</v>
      </c>
      <c r="I147" s="122">
        <f t="shared" si="4"/>
        <v>6.4799999999999995</v>
      </c>
    </row>
    <row r="148" spans="1:9" x14ac:dyDescent="0.35">
      <c r="A148" s="117">
        <v>45512</v>
      </c>
      <c r="B148" s="118" t="s">
        <v>327</v>
      </c>
      <c r="C148" s="118" t="s">
        <v>393</v>
      </c>
      <c r="D148" s="118" t="s">
        <v>423</v>
      </c>
      <c r="E148" s="118" t="s">
        <v>329</v>
      </c>
      <c r="F148" s="119">
        <v>57</v>
      </c>
      <c r="G148" s="120">
        <v>6</v>
      </c>
      <c r="H148" s="121">
        <f t="shared" si="5"/>
        <v>456</v>
      </c>
      <c r="I148" s="122">
        <f t="shared" si="4"/>
        <v>27.36</v>
      </c>
    </row>
    <row r="149" spans="1:9" x14ac:dyDescent="0.35">
      <c r="A149" s="117">
        <v>45512</v>
      </c>
      <c r="B149" s="118" t="s">
        <v>318</v>
      </c>
      <c r="C149" s="118" t="s">
        <v>319</v>
      </c>
      <c r="D149" s="118" t="s">
        <v>423</v>
      </c>
      <c r="E149" s="118" t="s">
        <v>394</v>
      </c>
      <c r="F149" s="119">
        <v>40</v>
      </c>
      <c r="G149" s="120">
        <v>4</v>
      </c>
      <c r="H149" s="121">
        <f t="shared" si="5"/>
        <v>200</v>
      </c>
      <c r="I149" s="122">
        <f t="shared" si="4"/>
        <v>12</v>
      </c>
    </row>
    <row r="150" spans="1:9" x14ac:dyDescent="0.35">
      <c r="A150" s="117">
        <v>45513</v>
      </c>
      <c r="B150" s="118" t="s">
        <v>322</v>
      </c>
      <c r="C150" s="118" t="s">
        <v>314</v>
      </c>
      <c r="D150" s="118" t="s">
        <v>333</v>
      </c>
      <c r="E150" s="118" t="s">
        <v>406</v>
      </c>
      <c r="F150" s="119">
        <v>58</v>
      </c>
      <c r="G150" s="120">
        <v>17</v>
      </c>
      <c r="H150" s="121">
        <f t="shared" si="5"/>
        <v>1160</v>
      </c>
      <c r="I150" s="122">
        <f t="shared" si="4"/>
        <v>58</v>
      </c>
    </row>
    <row r="151" spans="1:9" x14ac:dyDescent="0.35">
      <c r="A151" s="117">
        <v>45513</v>
      </c>
      <c r="B151" s="118" t="s">
        <v>318</v>
      </c>
      <c r="C151" s="118" t="s">
        <v>319</v>
      </c>
      <c r="D151" s="118" t="s">
        <v>320</v>
      </c>
      <c r="E151" s="118" t="s">
        <v>455</v>
      </c>
      <c r="F151" s="119">
        <v>45</v>
      </c>
      <c r="G151" s="120">
        <v>4</v>
      </c>
      <c r="H151" s="121">
        <f t="shared" si="5"/>
        <v>225</v>
      </c>
      <c r="I151" s="122">
        <f t="shared" si="4"/>
        <v>13.5</v>
      </c>
    </row>
    <row r="152" spans="1:9" x14ac:dyDescent="0.35">
      <c r="A152" s="117">
        <v>45513</v>
      </c>
      <c r="B152" s="118" t="s">
        <v>313</v>
      </c>
      <c r="C152" s="118" t="s">
        <v>319</v>
      </c>
      <c r="D152" s="118" t="s">
        <v>333</v>
      </c>
      <c r="E152" s="118" t="s">
        <v>341</v>
      </c>
      <c r="F152" s="119">
        <v>26</v>
      </c>
      <c r="G152" s="120">
        <v>13</v>
      </c>
      <c r="H152" s="121">
        <f t="shared" si="5"/>
        <v>364</v>
      </c>
      <c r="I152" s="122">
        <f t="shared" si="4"/>
        <v>18.2</v>
      </c>
    </row>
    <row r="153" spans="1:9" x14ac:dyDescent="0.35">
      <c r="A153" s="117">
        <v>45513</v>
      </c>
      <c r="B153" s="118" t="s">
        <v>422</v>
      </c>
      <c r="C153" s="118" t="s">
        <v>319</v>
      </c>
      <c r="D153" s="118" t="s">
        <v>324</v>
      </c>
      <c r="E153" s="118" t="s">
        <v>340</v>
      </c>
      <c r="F153" s="119">
        <v>61</v>
      </c>
      <c r="G153" s="120">
        <v>24</v>
      </c>
      <c r="H153" s="121">
        <f t="shared" si="5"/>
        <v>1525</v>
      </c>
      <c r="I153" s="122">
        <f t="shared" si="4"/>
        <v>76.25</v>
      </c>
    </row>
    <row r="154" spans="1:9" x14ac:dyDescent="0.35">
      <c r="A154" s="117">
        <v>45513</v>
      </c>
      <c r="B154" s="118" t="s">
        <v>322</v>
      </c>
      <c r="C154" s="118" t="s">
        <v>393</v>
      </c>
      <c r="D154" s="118" t="s">
        <v>320</v>
      </c>
      <c r="E154" s="118" t="s">
        <v>394</v>
      </c>
      <c r="F154" s="119">
        <v>44</v>
      </c>
      <c r="G154" s="120">
        <v>17</v>
      </c>
      <c r="H154" s="121">
        <f t="shared" si="5"/>
        <v>836</v>
      </c>
      <c r="I154" s="122">
        <f t="shared" si="4"/>
        <v>50.16</v>
      </c>
    </row>
    <row r="155" spans="1:9" x14ac:dyDescent="0.35">
      <c r="A155" s="117">
        <v>45513</v>
      </c>
      <c r="B155" s="118" t="s">
        <v>422</v>
      </c>
      <c r="C155" s="118" t="s">
        <v>393</v>
      </c>
      <c r="D155" s="118" t="s">
        <v>423</v>
      </c>
      <c r="E155" s="118" t="s">
        <v>416</v>
      </c>
      <c r="F155" s="119">
        <v>27</v>
      </c>
      <c r="G155" s="120">
        <v>24</v>
      </c>
      <c r="H155" s="121">
        <f t="shared" si="5"/>
        <v>702</v>
      </c>
      <c r="I155" s="122">
        <f t="shared" si="4"/>
        <v>42.12</v>
      </c>
    </row>
    <row r="156" spans="1:9" x14ac:dyDescent="0.35">
      <c r="A156" s="117">
        <v>45513</v>
      </c>
      <c r="B156" s="118" t="s">
        <v>322</v>
      </c>
      <c r="C156" s="118" t="s">
        <v>332</v>
      </c>
      <c r="D156" s="118" t="s">
        <v>324</v>
      </c>
      <c r="E156" s="118" t="s">
        <v>405</v>
      </c>
      <c r="F156" s="119">
        <v>28</v>
      </c>
      <c r="G156" s="120">
        <v>17</v>
      </c>
      <c r="H156" s="121">
        <f t="shared" si="5"/>
        <v>588</v>
      </c>
      <c r="I156" s="122">
        <f t="shared" si="4"/>
        <v>29.400000000000002</v>
      </c>
    </row>
    <row r="157" spans="1:9" x14ac:dyDescent="0.35">
      <c r="A157" s="117">
        <v>45513</v>
      </c>
      <c r="B157" s="118" t="s">
        <v>313</v>
      </c>
      <c r="C157" s="118" t="s">
        <v>393</v>
      </c>
      <c r="D157" s="118" t="s">
        <v>423</v>
      </c>
      <c r="E157" s="118" t="s">
        <v>405</v>
      </c>
      <c r="F157" s="119">
        <v>32</v>
      </c>
      <c r="G157" s="120">
        <v>13</v>
      </c>
      <c r="H157" s="121">
        <f t="shared" si="5"/>
        <v>480</v>
      </c>
      <c r="I157" s="122">
        <f t="shared" si="4"/>
        <v>28.799999999999997</v>
      </c>
    </row>
    <row r="158" spans="1:9" x14ac:dyDescent="0.35">
      <c r="A158" s="117">
        <v>45514</v>
      </c>
      <c r="B158" s="118" t="s">
        <v>422</v>
      </c>
      <c r="C158" s="118" t="s">
        <v>332</v>
      </c>
      <c r="D158" s="118" t="s">
        <v>324</v>
      </c>
      <c r="E158" s="118" t="s">
        <v>455</v>
      </c>
      <c r="F158" s="119">
        <v>24</v>
      </c>
      <c r="G158" s="120">
        <v>24</v>
      </c>
      <c r="H158" s="121">
        <f t="shared" si="5"/>
        <v>672</v>
      </c>
      <c r="I158" s="122">
        <f t="shared" si="4"/>
        <v>33.6</v>
      </c>
    </row>
    <row r="159" spans="1:9" x14ac:dyDescent="0.35">
      <c r="A159" s="117">
        <v>45514</v>
      </c>
      <c r="B159" s="118" t="s">
        <v>318</v>
      </c>
      <c r="C159" s="118" t="s">
        <v>332</v>
      </c>
      <c r="D159" s="118" t="s">
        <v>390</v>
      </c>
      <c r="E159" s="118" t="s">
        <v>341</v>
      </c>
      <c r="F159" s="119">
        <v>8</v>
      </c>
      <c r="G159" s="120">
        <v>4</v>
      </c>
      <c r="H159" s="121">
        <f t="shared" si="5"/>
        <v>64</v>
      </c>
      <c r="I159" s="122">
        <f t="shared" si="4"/>
        <v>3.2</v>
      </c>
    </row>
    <row r="160" spans="1:9" x14ac:dyDescent="0.35">
      <c r="A160" s="117">
        <v>45514</v>
      </c>
      <c r="B160" s="118" t="s">
        <v>327</v>
      </c>
      <c r="C160" s="118" t="s">
        <v>332</v>
      </c>
      <c r="D160" s="118" t="s">
        <v>390</v>
      </c>
      <c r="E160" s="118" t="s">
        <v>394</v>
      </c>
      <c r="F160" s="119">
        <v>19</v>
      </c>
      <c r="G160" s="120">
        <v>6</v>
      </c>
      <c r="H160" s="121">
        <f t="shared" si="5"/>
        <v>190</v>
      </c>
      <c r="I160" s="122">
        <f t="shared" si="4"/>
        <v>9.5</v>
      </c>
    </row>
    <row r="161" spans="1:9" x14ac:dyDescent="0.35">
      <c r="A161" s="117">
        <v>45514</v>
      </c>
      <c r="B161" s="118" t="s">
        <v>322</v>
      </c>
      <c r="C161" s="118" t="s">
        <v>319</v>
      </c>
      <c r="D161" s="118" t="s">
        <v>324</v>
      </c>
      <c r="E161" s="118" t="s">
        <v>394</v>
      </c>
      <c r="F161" s="119">
        <v>14</v>
      </c>
      <c r="G161" s="120">
        <v>17</v>
      </c>
      <c r="H161" s="121">
        <f t="shared" si="5"/>
        <v>252</v>
      </c>
      <c r="I161" s="122">
        <f t="shared" si="4"/>
        <v>12.600000000000001</v>
      </c>
    </row>
    <row r="162" spans="1:9" x14ac:dyDescent="0.35">
      <c r="A162" s="117">
        <v>45515</v>
      </c>
      <c r="B162" s="118" t="s">
        <v>318</v>
      </c>
      <c r="C162" s="118" t="s">
        <v>319</v>
      </c>
      <c r="D162" s="118" t="s">
        <v>338</v>
      </c>
      <c r="E162" s="118" t="s">
        <v>405</v>
      </c>
      <c r="F162" s="119">
        <v>10</v>
      </c>
      <c r="G162" s="120">
        <v>4</v>
      </c>
      <c r="H162" s="121">
        <f t="shared" si="5"/>
        <v>50</v>
      </c>
      <c r="I162" s="122">
        <f t="shared" si="4"/>
        <v>3</v>
      </c>
    </row>
    <row r="163" spans="1:9" x14ac:dyDescent="0.35">
      <c r="A163" s="117">
        <v>45516</v>
      </c>
      <c r="B163" s="118" t="s">
        <v>322</v>
      </c>
      <c r="C163" s="118" t="s">
        <v>314</v>
      </c>
      <c r="D163" s="118" t="s">
        <v>324</v>
      </c>
      <c r="E163" s="118" t="s">
        <v>337</v>
      </c>
      <c r="F163" s="119">
        <v>7</v>
      </c>
      <c r="G163" s="120">
        <v>17</v>
      </c>
      <c r="H163" s="121">
        <f t="shared" si="5"/>
        <v>140</v>
      </c>
      <c r="I163" s="122">
        <f t="shared" si="4"/>
        <v>7</v>
      </c>
    </row>
    <row r="164" spans="1:9" x14ac:dyDescent="0.35">
      <c r="A164" s="117">
        <v>45516</v>
      </c>
      <c r="B164" s="118" t="s">
        <v>422</v>
      </c>
      <c r="C164" s="118" t="s">
        <v>393</v>
      </c>
      <c r="D164" s="118" t="s">
        <v>320</v>
      </c>
      <c r="E164" s="118" t="s">
        <v>394</v>
      </c>
      <c r="F164" s="119">
        <v>42</v>
      </c>
      <c r="G164" s="120">
        <v>24</v>
      </c>
      <c r="H164" s="121">
        <f t="shared" si="5"/>
        <v>1092</v>
      </c>
      <c r="I164" s="122">
        <f t="shared" si="4"/>
        <v>65.52</v>
      </c>
    </row>
    <row r="165" spans="1:9" x14ac:dyDescent="0.35">
      <c r="A165" s="117">
        <v>45516</v>
      </c>
      <c r="B165" s="118" t="s">
        <v>313</v>
      </c>
      <c r="C165" s="118" t="s">
        <v>319</v>
      </c>
      <c r="D165" s="118" t="s">
        <v>333</v>
      </c>
      <c r="E165" s="118" t="s">
        <v>316</v>
      </c>
      <c r="F165" s="119">
        <v>27</v>
      </c>
      <c r="G165" s="120">
        <v>13</v>
      </c>
      <c r="H165" s="121">
        <f t="shared" si="5"/>
        <v>378</v>
      </c>
      <c r="I165" s="122">
        <f t="shared" si="4"/>
        <v>18.900000000000002</v>
      </c>
    </row>
    <row r="166" spans="1:9" x14ac:dyDescent="0.35">
      <c r="A166" s="117">
        <v>45517</v>
      </c>
      <c r="B166" s="118" t="s">
        <v>322</v>
      </c>
      <c r="C166" s="118" t="s">
        <v>393</v>
      </c>
      <c r="D166" s="118" t="s">
        <v>320</v>
      </c>
      <c r="E166" s="118" t="s">
        <v>406</v>
      </c>
      <c r="F166" s="119">
        <v>42</v>
      </c>
      <c r="G166" s="120">
        <v>17</v>
      </c>
      <c r="H166" s="121">
        <f t="shared" si="5"/>
        <v>798</v>
      </c>
      <c r="I166" s="122">
        <f t="shared" si="4"/>
        <v>47.879999999999995</v>
      </c>
    </row>
    <row r="167" spans="1:9" x14ac:dyDescent="0.35">
      <c r="A167" s="117">
        <v>45517</v>
      </c>
      <c r="B167" s="118" t="s">
        <v>313</v>
      </c>
      <c r="C167" s="118" t="s">
        <v>393</v>
      </c>
      <c r="D167" s="118" t="s">
        <v>333</v>
      </c>
      <c r="E167" s="118" t="s">
        <v>337</v>
      </c>
      <c r="F167" s="119">
        <v>58</v>
      </c>
      <c r="G167" s="120">
        <v>13</v>
      </c>
      <c r="H167" s="121">
        <f t="shared" si="5"/>
        <v>870</v>
      </c>
      <c r="I167" s="122">
        <f t="shared" si="4"/>
        <v>43.5</v>
      </c>
    </row>
    <row r="168" spans="1:9" x14ac:dyDescent="0.35">
      <c r="A168" s="117">
        <v>45517</v>
      </c>
      <c r="B168" s="118" t="s">
        <v>422</v>
      </c>
      <c r="C168" s="118" t="s">
        <v>314</v>
      </c>
      <c r="D168" s="118" t="s">
        <v>320</v>
      </c>
      <c r="E168" s="118" t="s">
        <v>400</v>
      </c>
      <c r="F168" s="119">
        <v>28</v>
      </c>
      <c r="G168" s="120">
        <v>24</v>
      </c>
      <c r="H168" s="121">
        <f t="shared" si="5"/>
        <v>756</v>
      </c>
      <c r="I168" s="122">
        <f t="shared" si="4"/>
        <v>45.36</v>
      </c>
    </row>
    <row r="169" spans="1:9" x14ac:dyDescent="0.35">
      <c r="A169" s="117">
        <v>45517</v>
      </c>
      <c r="B169" s="118" t="s">
        <v>318</v>
      </c>
      <c r="C169" s="118" t="s">
        <v>319</v>
      </c>
      <c r="D169" s="118" t="s">
        <v>333</v>
      </c>
      <c r="E169" s="118" t="s">
        <v>331</v>
      </c>
      <c r="F169" s="119">
        <v>55</v>
      </c>
      <c r="G169" s="120">
        <v>4</v>
      </c>
      <c r="H169" s="121">
        <f t="shared" si="5"/>
        <v>275</v>
      </c>
      <c r="I169" s="122">
        <f t="shared" si="4"/>
        <v>13.75</v>
      </c>
    </row>
    <row r="170" spans="1:9" x14ac:dyDescent="0.35">
      <c r="A170" s="117">
        <v>45517</v>
      </c>
      <c r="B170" s="118" t="s">
        <v>313</v>
      </c>
      <c r="C170" s="118" t="s">
        <v>319</v>
      </c>
      <c r="D170" s="118" t="s">
        <v>315</v>
      </c>
      <c r="E170" s="118" t="s">
        <v>394</v>
      </c>
      <c r="F170" s="119">
        <v>57</v>
      </c>
      <c r="G170" s="120">
        <v>13</v>
      </c>
      <c r="H170" s="121">
        <f t="shared" si="5"/>
        <v>798</v>
      </c>
      <c r="I170" s="122">
        <f t="shared" si="4"/>
        <v>39.900000000000006</v>
      </c>
    </row>
    <row r="171" spans="1:9" x14ac:dyDescent="0.35">
      <c r="A171" s="117">
        <v>45517</v>
      </c>
      <c r="B171" s="118" t="s">
        <v>327</v>
      </c>
      <c r="C171" s="118" t="s">
        <v>332</v>
      </c>
      <c r="D171" s="118" t="s">
        <v>423</v>
      </c>
      <c r="E171" s="118" t="s">
        <v>350</v>
      </c>
      <c r="F171" s="119">
        <v>32</v>
      </c>
      <c r="G171" s="120">
        <v>6</v>
      </c>
      <c r="H171" s="121">
        <f t="shared" si="5"/>
        <v>320</v>
      </c>
      <c r="I171" s="122">
        <f t="shared" si="4"/>
        <v>19.2</v>
      </c>
    </row>
    <row r="172" spans="1:9" x14ac:dyDescent="0.35">
      <c r="A172" s="117">
        <v>45518</v>
      </c>
      <c r="B172" s="118" t="s">
        <v>318</v>
      </c>
      <c r="C172" s="118" t="s">
        <v>332</v>
      </c>
      <c r="D172" s="118" t="s">
        <v>315</v>
      </c>
      <c r="E172" s="118" t="s">
        <v>345</v>
      </c>
      <c r="F172" s="119">
        <v>11</v>
      </c>
      <c r="G172" s="120">
        <v>4</v>
      </c>
      <c r="H172" s="121">
        <f t="shared" si="5"/>
        <v>88</v>
      </c>
      <c r="I172" s="122">
        <f t="shared" si="4"/>
        <v>4.4000000000000004</v>
      </c>
    </row>
    <row r="173" spans="1:9" x14ac:dyDescent="0.35">
      <c r="A173" s="117">
        <v>45518</v>
      </c>
      <c r="B173" s="118" t="s">
        <v>313</v>
      </c>
      <c r="C173" s="118" t="s">
        <v>393</v>
      </c>
      <c r="D173" s="118" t="s">
        <v>315</v>
      </c>
      <c r="E173" s="118" t="s">
        <v>394</v>
      </c>
      <c r="F173" s="119">
        <v>31</v>
      </c>
      <c r="G173" s="120">
        <v>13</v>
      </c>
      <c r="H173" s="121">
        <f t="shared" si="5"/>
        <v>465</v>
      </c>
      <c r="I173" s="122">
        <f t="shared" si="4"/>
        <v>23.25</v>
      </c>
    </row>
    <row r="174" spans="1:9" x14ac:dyDescent="0.35">
      <c r="A174" s="117">
        <v>45518</v>
      </c>
      <c r="B174" s="118" t="s">
        <v>327</v>
      </c>
      <c r="C174" s="118" t="s">
        <v>393</v>
      </c>
      <c r="D174" s="118" t="s">
        <v>320</v>
      </c>
      <c r="E174" s="118" t="s">
        <v>350</v>
      </c>
      <c r="F174" s="119">
        <v>65</v>
      </c>
      <c r="G174" s="120">
        <v>6</v>
      </c>
      <c r="H174" s="121">
        <f t="shared" si="5"/>
        <v>520</v>
      </c>
      <c r="I174" s="122">
        <f t="shared" si="4"/>
        <v>31.2</v>
      </c>
    </row>
    <row r="175" spans="1:9" x14ac:dyDescent="0.35">
      <c r="A175" s="117">
        <v>45519</v>
      </c>
      <c r="B175" s="118" t="s">
        <v>422</v>
      </c>
      <c r="C175" s="118" t="s">
        <v>314</v>
      </c>
      <c r="D175" s="118" t="s">
        <v>338</v>
      </c>
      <c r="E175" s="118" t="s">
        <v>406</v>
      </c>
      <c r="F175" s="119">
        <v>20</v>
      </c>
      <c r="G175" s="120">
        <v>24</v>
      </c>
      <c r="H175" s="121">
        <f t="shared" si="5"/>
        <v>540</v>
      </c>
      <c r="I175" s="122">
        <f t="shared" si="4"/>
        <v>32.4</v>
      </c>
    </row>
    <row r="176" spans="1:9" x14ac:dyDescent="0.35">
      <c r="A176" s="117">
        <v>45519</v>
      </c>
      <c r="B176" s="118" t="s">
        <v>327</v>
      </c>
      <c r="C176" s="118" t="s">
        <v>393</v>
      </c>
      <c r="D176" s="118" t="s">
        <v>423</v>
      </c>
      <c r="E176" s="118" t="s">
        <v>400</v>
      </c>
      <c r="F176" s="119">
        <v>30</v>
      </c>
      <c r="G176" s="120">
        <v>6</v>
      </c>
      <c r="H176" s="121">
        <f t="shared" si="5"/>
        <v>240</v>
      </c>
      <c r="I176" s="122">
        <f t="shared" si="4"/>
        <v>14.399999999999999</v>
      </c>
    </row>
    <row r="177" spans="1:9" x14ac:dyDescent="0.35">
      <c r="A177" s="117">
        <v>45519</v>
      </c>
      <c r="B177" s="118" t="s">
        <v>422</v>
      </c>
      <c r="C177" s="118" t="s">
        <v>314</v>
      </c>
      <c r="D177" s="118" t="s">
        <v>324</v>
      </c>
      <c r="E177" s="118" t="s">
        <v>416</v>
      </c>
      <c r="F177" s="119">
        <v>64</v>
      </c>
      <c r="G177" s="120">
        <v>24</v>
      </c>
      <c r="H177" s="121">
        <f t="shared" si="5"/>
        <v>1728</v>
      </c>
      <c r="I177" s="122">
        <f t="shared" si="4"/>
        <v>86.4</v>
      </c>
    </row>
    <row r="178" spans="1:9" x14ac:dyDescent="0.35">
      <c r="A178" s="117">
        <v>45520</v>
      </c>
      <c r="B178" s="118" t="s">
        <v>313</v>
      </c>
      <c r="C178" s="118" t="s">
        <v>314</v>
      </c>
      <c r="D178" s="118" t="s">
        <v>315</v>
      </c>
      <c r="E178" s="118" t="s">
        <v>349</v>
      </c>
      <c r="F178" s="119">
        <v>16</v>
      </c>
      <c r="G178" s="120">
        <v>13</v>
      </c>
      <c r="H178" s="121">
        <f t="shared" si="5"/>
        <v>256</v>
      </c>
      <c r="I178" s="122">
        <f t="shared" si="4"/>
        <v>12.8</v>
      </c>
    </row>
    <row r="179" spans="1:9" x14ac:dyDescent="0.35">
      <c r="A179" s="117">
        <v>45520</v>
      </c>
      <c r="B179" s="118" t="s">
        <v>322</v>
      </c>
      <c r="C179" s="118" t="s">
        <v>393</v>
      </c>
      <c r="D179" s="118" t="s">
        <v>333</v>
      </c>
      <c r="E179" s="118" t="s">
        <v>405</v>
      </c>
      <c r="F179" s="119">
        <v>58</v>
      </c>
      <c r="G179" s="120">
        <v>17</v>
      </c>
      <c r="H179" s="121">
        <f t="shared" si="5"/>
        <v>1102</v>
      </c>
      <c r="I179" s="122">
        <f t="shared" si="4"/>
        <v>55.1</v>
      </c>
    </row>
    <row r="180" spans="1:9" x14ac:dyDescent="0.35">
      <c r="A180" s="117">
        <v>45521</v>
      </c>
      <c r="B180" s="118" t="s">
        <v>322</v>
      </c>
      <c r="C180" s="118" t="s">
        <v>319</v>
      </c>
      <c r="D180" s="118" t="s">
        <v>338</v>
      </c>
      <c r="E180" s="118" t="s">
        <v>342</v>
      </c>
      <c r="F180" s="119">
        <v>8</v>
      </c>
      <c r="G180" s="120">
        <v>17</v>
      </c>
      <c r="H180" s="121">
        <f t="shared" si="5"/>
        <v>144</v>
      </c>
      <c r="I180" s="122">
        <f t="shared" si="4"/>
        <v>8.64</v>
      </c>
    </row>
    <row r="181" spans="1:9" x14ac:dyDescent="0.35">
      <c r="A181" s="117">
        <v>45521</v>
      </c>
      <c r="B181" s="118" t="s">
        <v>322</v>
      </c>
      <c r="C181" s="118" t="s">
        <v>314</v>
      </c>
      <c r="D181" s="118" t="s">
        <v>320</v>
      </c>
      <c r="E181" s="118" t="s">
        <v>340</v>
      </c>
      <c r="F181" s="119">
        <v>54</v>
      </c>
      <c r="G181" s="120">
        <v>17</v>
      </c>
      <c r="H181" s="121">
        <f t="shared" si="5"/>
        <v>1080</v>
      </c>
      <c r="I181" s="122">
        <f t="shared" si="4"/>
        <v>64.8</v>
      </c>
    </row>
    <row r="182" spans="1:9" x14ac:dyDescent="0.35">
      <c r="A182" s="117">
        <v>45522</v>
      </c>
      <c r="B182" s="118" t="s">
        <v>322</v>
      </c>
      <c r="C182" s="118" t="s">
        <v>393</v>
      </c>
      <c r="D182" s="118" t="s">
        <v>324</v>
      </c>
      <c r="E182" s="118" t="s">
        <v>395</v>
      </c>
      <c r="F182" s="119">
        <v>35</v>
      </c>
      <c r="G182" s="120">
        <v>17</v>
      </c>
      <c r="H182" s="121">
        <f t="shared" si="5"/>
        <v>665</v>
      </c>
      <c r="I182" s="122">
        <f t="shared" si="4"/>
        <v>33.25</v>
      </c>
    </row>
    <row r="183" spans="1:9" x14ac:dyDescent="0.35">
      <c r="A183" s="117">
        <v>45522</v>
      </c>
      <c r="B183" s="118" t="s">
        <v>318</v>
      </c>
      <c r="C183" s="118" t="s">
        <v>393</v>
      </c>
      <c r="D183" s="118" t="s">
        <v>333</v>
      </c>
      <c r="E183" s="118" t="s">
        <v>329</v>
      </c>
      <c r="F183" s="119">
        <v>62</v>
      </c>
      <c r="G183" s="120">
        <v>4</v>
      </c>
      <c r="H183" s="121">
        <f t="shared" si="5"/>
        <v>372</v>
      </c>
      <c r="I183" s="122">
        <f t="shared" si="4"/>
        <v>18.600000000000001</v>
      </c>
    </row>
    <row r="184" spans="1:9" x14ac:dyDescent="0.35">
      <c r="A184" s="117">
        <v>45522</v>
      </c>
      <c r="B184" s="118" t="s">
        <v>313</v>
      </c>
      <c r="C184" s="118" t="s">
        <v>393</v>
      </c>
      <c r="D184" s="118" t="s">
        <v>390</v>
      </c>
      <c r="E184" s="118" t="s">
        <v>394</v>
      </c>
      <c r="F184" s="119">
        <v>31</v>
      </c>
      <c r="G184" s="120">
        <v>13</v>
      </c>
      <c r="H184" s="121">
        <f t="shared" si="5"/>
        <v>465</v>
      </c>
      <c r="I184" s="122">
        <f t="shared" si="4"/>
        <v>23.25</v>
      </c>
    </row>
    <row r="185" spans="1:9" x14ac:dyDescent="0.35">
      <c r="A185" s="117">
        <v>45522</v>
      </c>
      <c r="B185" s="118" t="s">
        <v>422</v>
      </c>
      <c r="C185" s="118" t="s">
        <v>319</v>
      </c>
      <c r="D185" s="118" t="s">
        <v>324</v>
      </c>
      <c r="E185" s="118" t="s">
        <v>394</v>
      </c>
      <c r="F185" s="119">
        <v>22</v>
      </c>
      <c r="G185" s="120">
        <v>24</v>
      </c>
      <c r="H185" s="121">
        <f t="shared" si="5"/>
        <v>550</v>
      </c>
      <c r="I185" s="122">
        <f t="shared" si="4"/>
        <v>27.5</v>
      </c>
    </row>
    <row r="186" spans="1:9" x14ac:dyDescent="0.35">
      <c r="A186" s="117">
        <v>45523</v>
      </c>
      <c r="B186" s="118" t="s">
        <v>422</v>
      </c>
      <c r="C186" s="118" t="s">
        <v>314</v>
      </c>
      <c r="D186" s="118" t="s">
        <v>320</v>
      </c>
      <c r="E186" s="118" t="s">
        <v>316</v>
      </c>
      <c r="F186" s="119">
        <v>41</v>
      </c>
      <c r="G186" s="120">
        <v>24</v>
      </c>
      <c r="H186" s="121">
        <f t="shared" si="5"/>
        <v>1107</v>
      </c>
      <c r="I186" s="122">
        <f t="shared" si="4"/>
        <v>66.42</v>
      </c>
    </row>
    <row r="187" spans="1:9" x14ac:dyDescent="0.35">
      <c r="A187" s="117">
        <v>45524</v>
      </c>
      <c r="B187" s="118" t="s">
        <v>318</v>
      </c>
      <c r="C187" s="118" t="s">
        <v>319</v>
      </c>
      <c r="D187" s="118" t="s">
        <v>315</v>
      </c>
      <c r="E187" s="118" t="s">
        <v>341</v>
      </c>
      <c r="F187" s="119">
        <v>51</v>
      </c>
      <c r="G187" s="120">
        <v>4</v>
      </c>
      <c r="H187" s="121">
        <f t="shared" si="5"/>
        <v>255</v>
      </c>
      <c r="I187" s="122">
        <f t="shared" si="4"/>
        <v>12.75</v>
      </c>
    </row>
    <row r="188" spans="1:9" x14ac:dyDescent="0.35">
      <c r="A188" s="117">
        <v>45525</v>
      </c>
      <c r="B188" s="118" t="s">
        <v>327</v>
      </c>
      <c r="C188" s="118" t="s">
        <v>332</v>
      </c>
      <c r="D188" s="118" t="s">
        <v>338</v>
      </c>
      <c r="E188" s="118" t="s">
        <v>337</v>
      </c>
      <c r="F188" s="119">
        <v>63</v>
      </c>
      <c r="G188" s="120">
        <v>6</v>
      </c>
      <c r="H188" s="121">
        <f t="shared" si="5"/>
        <v>630</v>
      </c>
      <c r="I188" s="122">
        <f t="shared" si="4"/>
        <v>37.799999999999997</v>
      </c>
    </row>
    <row r="189" spans="1:9" x14ac:dyDescent="0.35">
      <c r="A189" s="117">
        <v>45525</v>
      </c>
      <c r="B189" s="118" t="s">
        <v>422</v>
      </c>
      <c r="C189" s="118" t="s">
        <v>393</v>
      </c>
      <c r="D189" s="118" t="s">
        <v>423</v>
      </c>
      <c r="E189" s="118" t="s">
        <v>343</v>
      </c>
      <c r="F189" s="119">
        <v>27</v>
      </c>
      <c r="G189" s="120">
        <v>24</v>
      </c>
      <c r="H189" s="121">
        <f t="shared" si="5"/>
        <v>702</v>
      </c>
      <c r="I189" s="122">
        <f t="shared" si="4"/>
        <v>42.12</v>
      </c>
    </row>
    <row r="190" spans="1:9" x14ac:dyDescent="0.35">
      <c r="A190" s="117">
        <v>45526</v>
      </c>
      <c r="B190" s="118" t="s">
        <v>327</v>
      </c>
      <c r="C190" s="118" t="s">
        <v>393</v>
      </c>
      <c r="D190" s="118" t="s">
        <v>315</v>
      </c>
      <c r="E190" s="118" t="s">
        <v>340</v>
      </c>
      <c r="F190" s="119">
        <v>65</v>
      </c>
      <c r="G190" s="120">
        <v>6</v>
      </c>
      <c r="H190" s="121">
        <f t="shared" si="5"/>
        <v>520</v>
      </c>
      <c r="I190" s="122">
        <f t="shared" si="4"/>
        <v>26</v>
      </c>
    </row>
    <row r="191" spans="1:9" x14ac:dyDescent="0.35">
      <c r="A191" s="117">
        <v>45526</v>
      </c>
      <c r="B191" s="118" t="s">
        <v>313</v>
      </c>
      <c r="C191" s="118" t="s">
        <v>319</v>
      </c>
      <c r="D191" s="118" t="s">
        <v>324</v>
      </c>
      <c r="E191" s="118" t="s">
        <v>345</v>
      </c>
      <c r="F191" s="119">
        <v>46</v>
      </c>
      <c r="G191" s="120">
        <v>13</v>
      </c>
      <c r="H191" s="121">
        <f t="shared" si="5"/>
        <v>644</v>
      </c>
      <c r="I191" s="122">
        <f t="shared" si="4"/>
        <v>32.200000000000003</v>
      </c>
    </row>
    <row r="192" spans="1:9" x14ac:dyDescent="0.35">
      <c r="A192" s="117">
        <v>45526</v>
      </c>
      <c r="B192" s="118" t="s">
        <v>322</v>
      </c>
      <c r="C192" s="118" t="s">
        <v>332</v>
      </c>
      <c r="D192" s="118" t="s">
        <v>423</v>
      </c>
      <c r="E192" s="118" t="s">
        <v>454</v>
      </c>
      <c r="F192" s="119">
        <v>36</v>
      </c>
      <c r="G192" s="120">
        <v>17</v>
      </c>
      <c r="H192" s="121">
        <f t="shared" si="5"/>
        <v>756</v>
      </c>
      <c r="I192" s="122">
        <f t="shared" si="4"/>
        <v>45.36</v>
      </c>
    </row>
    <row r="193" spans="1:9" x14ac:dyDescent="0.35">
      <c r="A193" s="117">
        <v>45526</v>
      </c>
      <c r="B193" s="118" t="s">
        <v>327</v>
      </c>
      <c r="C193" s="118" t="s">
        <v>319</v>
      </c>
      <c r="D193" s="118" t="s">
        <v>390</v>
      </c>
      <c r="E193" s="118" t="s">
        <v>400</v>
      </c>
      <c r="F193" s="119">
        <v>56</v>
      </c>
      <c r="G193" s="120">
        <v>6</v>
      </c>
      <c r="H193" s="121">
        <f t="shared" si="5"/>
        <v>392</v>
      </c>
      <c r="I193" s="122">
        <f t="shared" si="4"/>
        <v>19.600000000000001</v>
      </c>
    </row>
    <row r="194" spans="1:9" x14ac:dyDescent="0.35">
      <c r="A194" s="117">
        <v>45526</v>
      </c>
      <c r="B194" s="118" t="s">
        <v>313</v>
      </c>
      <c r="C194" s="118" t="s">
        <v>319</v>
      </c>
      <c r="D194" s="118" t="s">
        <v>315</v>
      </c>
      <c r="E194" s="118" t="s">
        <v>394</v>
      </c>
      <c r="F194" s="119">
        <v>7</v>
      </c>
      <c r="G194" s="120">
        <v>13</v>
      </c>
      <c r="H194" s="121">
        <f t="shared" si="5"/>
        <v>98</v>
      </c>
      <c r="I194" s="122">
        <f t="shared" ref="I194:I257" si="6">H194*VLOOKUP(D194,$O$4:$P$10,2,TRUE)</f>
        <v>4.9000000000000004</v>
      </c>
    </row>
    <row r="195" spans="1:9" x14ac:dyDescent="0.35">
      <c r="A195" s="117">
        <v>45526</v>
      </c>
      <c r="B195" s="118" t="s">
        <v>322</v>
      </c>
      <c r="C195" s="118" t="s">
        <v>319</v>
      </c>
      <c r="D195" s="118" t="s">
        <v>324</v>
      </c>
      <c r="E195" s="118" t="s">
        <v>343</v>
      </c>
      <c r="F195" s="119">
        <v>57</v>
      </c>
      <c r="G195" s="120">
        <v>17</v>
      </c>
      <c r="H195" s="121">
        <f t="shared" ref="H195:H258" si="7">(F195*G195)+VLOOKUP(C195,$K$11:$L$14,2,FALSE)*F195</f>
        <v>1026</v>
      </c>
      <c r="I195" s="122">
        <f t="shared" si="6"/>
        <v>51.300000000000004</v>
      </c>
    </row>
    <row r="196" spans="1:9" x14ac:dyDescent="0.35">
      <c r="A196" s="117">
        <v>45527</v>
      </c>
      <c r="B196" s="118" t="s">
        <v>422</v>
      </c>
      <c r="C196" s="118" t="s">
        <v>314</v>
      </c>
      <c r="D196" s="118" t="s">
        <v>315</v>
      </c>
      <c r="E196" s="118" t="s">
        <v>388</v>
      </c>
      <c r="F196" s="119">
        <v>48</v>
      </c>
      <c r="G196" s="120">
        <v>24</v>
      </c>
      <c r="H196" s="121">
        <f t="shared" si="7"/>
        <v>1296</v>
      </c>
      <c r="I196" s="122">
        <f t="shared" si="6"/>
        <v>64.8</v>
      </c>
    </row>
    <row r="197" spans="1:9" x14ac:dyDescent="0.35">
      <c r="A197" s="117">
        <v>45527</v>
      </c>
      <c r="B197" s="118" t="s">
        <v>322</v>
      </c>
      <c r="C197" s="118" t="s">
        <v>314</v>
      </c>
      <c r="D197" s="118" t="s">
        <v>324</v>
      </c>
      <c r="E197" s="118" t="s">
        <v>329</v>
      </c>
      <c r="F197" s="119">
        <v>17</v>
      </c>
      <c r="G197" s="120">
        <v>17</v>
      </c>
      <c r="H197" s="121">
        <f t="shared" si="7"/>
        <v>340</v>
      </c>
      <c r="I197" s="122">
        <f t="shared" si="6"/>
        <v>17</v>
      </c>
    </row>
    <row r="198" spans="1:9" x14ac:dyDescent="0.35">
      <c r="A198" s="117">
        <v>45528</v>
      </c>
      <c r="B198" s="118" t="s">
        <v>422</v>
      </c>
      <c r="C198" s="118" t="s">
        <v>332</v>
      </c>
      <c r="D198" s="118" t="s">
        <v>423</v>
      </c>
      <c r="E198" s="118" t="s">
        <v>455</v>
      </c>
      <c r="F198" s="119">
        <v>19</v>
      </c>
      <c r="G198" s="120">
        <v>24</v>
      </c>
      <c r="H198" s="121">
        <f t="shared" si="7"/>
        <v>532</v>
      </c>
      <c r="I198" s="122">
        <f t="shared" si="6"/>
        <v>31.919999999999998</v>
      </c>
    </row>
    <row r="199" spans="1:9" x14ac:dyDescent="0.35">
      <c r="A199" s="117">
        <v>45528</v>
      </c>
      <c r="B199" s="118" t="s">
        <v>422</v>
      </c>
      <c r="C199" s="118" t="s">
        <v>319</v>
      </c>
      <c r="D199" s="118" t="s">
        <v>338</v>
      </c>
      <c r="E199" s="118" t="s">
        <v>339</v>
      </c>
      <c r="F199" s="119">
        <v>26</v>
      </c>
      <c r="G199" s="120">
        <v>24</v>
      </c>
      <c r="H199" s="121">
        <f t="shared" si="7"/>
        <v>650</v>
      </c>
      <c r="I199" s="122">
        <f t="shared" si="6"/>
        <v>39</v>
      </c>
    </row>
    <row r="200" spans="1:9" x14ac:dyDescent="0.35">
      <c r="A200" s="117">
        <v>45528</v>
      </c>
      <c r="B200" s="118" t="s">
        <v>327</v>
      </c>
      <c r="C200" s="118" t="s">
        <v>314</v>
      </c>
      <c r="D200" s="118" t="s">
        <v>333</v>
      </c>
      <c r="E200" s="118" t="s">
        <v>416</v>
      </c>
      <c r="F200" s="119">
        <v>48</v>
      </c>
      <c r="G200" s="120">
        <v>6</v>
      </c>
      <c r="H200" s="121">
        <f t="shared" si="7"/>
        <v>432</v>
      </c>
      <c r="I200" s="122">
        <f t="shared" si="6"/>
        <v>21.6</v>
      </c>
    </row>
    <row r="201" spans="1:9" x14ac:dyDescent="0.35">
      <c r="A201" s="117">
        <v>45528</v>
      </c>
      <c r="B201" s="118" t="s">
        <v>313</v>
      </c>
      <c r="C201" s="118" t="s">
        <v>314</v>
      </c>
      <c r="D201" s="118" t="s">
        <v>320</v>
      </c>
      <c r="E201" s="118" t="s">
        <v>344</v>
      </c>
      <c r="F201" s="119">
        <v>15</v>
      </c>
      <c r="G201" s="120">
        <v>13</v>
      </c>
      <c r="H201" s="121">
        <f t="shared" si="7"/>
        <v>240</v>
      </c>
      <c r="I201" s="122">
        <f t="shared" si="6"/>
        <v>14.399999999999999</v>
      </c>
    </row>
    <row r="202" spans="1:9" x14ac:dyDescent="0.35">
      <c r="A202" s="117">
        <v>45530</v>
      </c>
      <c r="B202" s="118" t="s">
        <v>422</v>
      </c>
      <c r="C202" s="118" t="s">
        <v>319</v>
      </c>
      <c r="D202" s="118" t="s">
        <v>333</v>
      </c>
      <c r="E202" s="118" t="s">
        <v>341</v>
      </c>
      <c r="F202" s="119">
        <v>12</v>
      </c>
      <c r="G202" s="120">
        <v>24</v>
      </c>
      <c r="H202" s="121">
        <f t="shared" si="7"/>
        <v>300</v>
      </c>
      <c r="I202" s="122">
        <f t="shared" si="6"/>
        <v>15</v>
      </c>
    </row>
    <row r="203" spans="1:9" x14ac:dyDescent="0.35">
      <c r="A203" s="117">
        <v>45530</v>
      </c>
      <c r="B203" s="118" t="s">
        <v>327</v>
      </c>
      <c r="C203" s="118" t="s">
        <v>332</v>
      </c>
      <c r="D203" s="118" t="s">
        <v>320</v>
      </c>
      <c r="E203" s="118" t="s">
        <v>335</v>
      </c>
      <c r="F203" s="119">
        <v>65</v>
      </c>
      <c r="G203" s="120">
        <v>6</v>
      </c>
      <c r="H203" s="121">
        <f t="shared" si="7"/>
        <v>650</v>
      </c>
      <c r="I203" s="122">
        <f t="shared" si="6"/>
        <v>39</v>
      </c>
    </row>
    <row r="204" spans="1:9" x14ac:dyDescent="0.35">
      <c r="A204" s="117">
        <v>45530</v>
      </c>
      <c r="B204" s="118" t="s">
        <v>313</v>
      </c>
      <c r="C204" s="118" t="s">
        <v>332</v>
      </c>
      <c r="D204" s="118" t="s">
        <v>423</v>
      </c>
      <c r="E204" s="118" t="s">
        <v>316</v>
      </c>
      <c r="F204" s="119">
        <v>30</v>
      </c>
      <c r="G204" s="120">
        <v>13</v>
      </c>
      <c r="H204" s="121">
        <f t="shared" si="7"/>
        <v>510</v>
      </c>
      <c r="I204" s="122">
        <f t="shared" si="6"/>
        <v>30.599999999999998</v>
      </c>
    </row>
    <row r="205" spans="1:9" x14ac:dyDescent="0.35">
      <c r="A205" s="117">
        <v>45531</v>
      </c>
      <c r="B205" s="118" t="s">
        <v>318</v>
      </c>
      <c r="C205" s="118" t="s">
        <v>314</v>
      </c>
      <c r="D205" s="118" t="s">
        <v>320</v>
      </c>
      <c r="E205" s="118" t="s">
        <v>341</v>
      </c>
      <c r="F205" s="119">
        <v>19</v>
      </c>
      <c r="G205" s="120">
        <v>4</v>
      </c>
      <c r="H205" s="121">
        <f t="shared" si="7"/>
        <v>133</v>
      </c>
      <c r="I205" s="122">
        <f t="shared" si="6"/>
        <v>7.9799999999999995</v>
      </c>
    </row>
    <row r="206" spans="1:9" x14ac:dyDescent="0.35">
      <c r="A206" s="117">
        <v>45531</v>
      </c>
      <c r="B206" s="118" t="s">
        <v>327</v>
      </c>
      <c r="C206" s="118" t="s">
        <v>332</v>
      </c>
      <c r="D206" s="118" t="s">
        <v>315</v>
      </c>
      <c r="E206" s="118" t="s">
        <v>346</v>
      </c>
      <c r="F206" s="119">
        <v>18</v>
      </c>
      <c r="G206" s="120">
        <v>6</v>
      </c>
      <c r="H206" s="121">
        <f t="shared" si="7"/>
        <v>180</v>
      </c>
      <c r="I206" s="122">
        <f t="shared" si="6"/>
        <v>9</v>
      </c>
    </row>
    <row r="207" spans="1:9" x14ac:dyDescent="0.35">
      <c r="A207" s="117">
        <v>45531</v>
      </c>
      <c r="B207" s="118" t="s">
        <v>313</v>
      </c>
      <c r="C207" s="118" t="s">
        <v>393</v>
      </c>
      <c r="D207" s="118" t="s">
        <v>320</v>
      </c>
      <c r="E207" s="118" t="s">
        <v>344</v>
      </c>
      <c r="F207" s="119">
        <v>32</v>
      </c>
      <c r="G207" s="120">
        <v>13</v>
      </c>
      <c r="H207" s="121">
        <f t="shared" si="7"/>
        <v>480</v>
      </c>
      <c r="I207" s="122">
        <f t="shared" si="6"/>
        <v>28.799999999999997</v>
      </c>
    </row>
    <row r="208" spans="1:9" x14ac:dyDescent="0.35">
      <c r="A208" s="117">
        <v>45532</v>
      </c>
      <c r="B208" s="118" t="s">
        <v>318</v>
      </c>
      <c r="C208" s="118" t="s">
        <v>319</v>
      </c>
      <c r="D208" s="118" t="s">
        <v>333</v>
      </c>
      <c r="E208" s="118" t="s">
        <v>406</v>
      </c>
      <c r="F208" s="119">
        <v>45</v>
      </c>
      <c r="G208" s="120">
        <v>4</v>
      </c>
      <c r="H208" s="121">
        <f t="shared" si="7"/>
        <v>225</v>
      </c>
      <c r="I208" s="122">
        <f t="shared" si="6"/>
        <v>11.25</v>
      </c>
    </row>
    <row r="209" spans="1:9" x14ac:dyDescent="0.35">
      <c r="A209" s="117">
        <v>45533</v>
      </c>
      <c r="B209" s="118" t="s">
        <v>313</v>
      </c>
      <c r="C209" s="118" t="s">
        <v>393</v>
      </c>
      <c r="D209" s="118" t="s">
        <v>324</v>
      </c>
      <c r="E209" s="118" t="s">
        <v>406</v>
      </c>
      <c r="F209" s="119">
        <v>36</v>
      </c>
      <c r="G209" s="120">
        <v>13</v>
      </c>
      <c r="H209" s="121">
        <f t="shared" si="7"/>
        <v>540</v>
      </c>
      <c r="I209" s="122">
        <f t="shared" si="6"/>
        <v>27</v>
      </c>
    </row>
    <row r="210" spans="1:9" x14ac:dyDescent="0.35">
      <c r="A210" s="117">
        <v>45533</v>
      </c>
      <c r="B210" s="118" t="s">
        <v>313</v>
      </c>
      <c r="C210" s="118" t="s">
        <v>332</v>
      </c>
      <c r="D210" s="118" t="s">
        <v>315</v>
      </c>
      <c r="E210" s="118" t="s">
        <v>340</v>
      </c>
      <c r="F210" s="119">
        <v>23</v>
      </c>
      <c r="G210" s="120">
        <v>13</v>
      </c>
      <c r="H210" s="121">
        <f t="shared" si="7"/>
        <v>391</v>
      </c>
      <c r="I210" s="122">
        <f t="shared" si="6"/>
        <v>19.55</v>
      </c>
    </row>
    <row r="211" spans="1:9" x14ac:dyDescent="0.35">
      <c r="A211" s="117">
        <v>45534</v>
      </c>
      <c r="B211" s="118" t="s">
        <v>422</v>
      </c>
      <c r="C211" s="118" t="s">
        <v>332</v>
      </c>
      <c r="D211" s="118" t="s">
        <v>423</v>
      </c>
      <c r="E211" s="118" t="s">
        <v>394</v>
      </c>
      <c r="F211" s="119">
        <v>59</v>
      </c>
      <c r="G211" s="120">
        <v>24</v>
      </c>
      <c r="H211" s="121">
        <f t="shared" si="7"/>
        <v>1652</v>
      </c>
      <c r="I211" s="122">
        <f t="shared" si="6"/>
        <v>99.11999999999999</v>
      </c>
    </row>
    <row r="212" spans="1:9" x14ac:dyDescent="0.35">
      <c r="A212" s="117">
        <v>45535</v>
      </c>
      <c r="B212" s="118" t="s">
        <v>313</v>
      </c>
      <c r="C212" s="118" t="s">
        <v>319</v>
      </c>
      <c r="D212" s="118" t="s">
        <v>320</v>
      </c>
      <c r="E212" s="118" t="s">
        <v>406</v>
      </c>
      <c r="F212" s="119">
        <v>19</v>
      </c>
      <c r="G212" s="120">
        <v>13</v>
      </c>
      <c r="H212" s="121">
        <f t="shared" si="7"/>
        <v>266</v>
      </c>
      <c r="I212" s="122">
        <f t="shared" si="6"/>
        <v>15.959999999999999</v>
      </c>
    </row>
    <row r="213" spans="1:9" x14ac:dyDescent="0.35">
      <c r="A213" s="117">
        <v>45535</v>
      </c>
      <c r="B213" s="118" t="s">
        <v>422</v>
      </c>
      <c r="C213" s="118" t="s">
        <v>319</v>
      </c>
      <c r="D213" s="118" t="s">
        <v>320</v>
      </c>
      <c r="E213" s="118" t="s">
        <v>388</v>
      </c>
      <c r="F213" s="119">
        <v>51</v>
      </c>
      <c r="G213" s="120">
        <v>24</v>
      </c>
      <c r="H213" s="121">
        <f t="shared" si="7"/>
        <v>1275</v>
      </c>
      <c r="I213" s="122">
        <f t="shared" si="6"/>
        <v>76.5</v>
      </c>
    </row>
    <row r="214" spans="1:9" x14ac:dyDescent="0.35">
      <c r="A214" s="117">
        <v>45535</v>
      </c>
      <c r="B214" s="118" t="s">
        <v>322</v>
      </c>
      <c r="C214" s="118" t="s">
        <v>319</v>
      </c>
      <c r="D214" s="118" t="s">
        <v>315</v>
      </c>
      <c r="E214" s="118" t="s">
        <v>331</v>
      </c>
      <c r="F214" s="119">
        <v>19</v>
      </c>
      <c r="G214" s="120">
        <v>17</v>
      </c>
      <c r="H214" s="121">
        <f t="shared" si="7"/>
        <v>342</v>
      </c>
      <c r="I214" s="122">
        <f t="shared" si="6"/>
        <v>17.100000000000001</v>
      </c>
    </row>
    <row r="215" spans="1:9" x14ac:dyDescent="0.35">
      <c r="A215" s="117">
        <v>45535</v>
      </c>
      <c r="B215" s="118" t="s">
        <v>327</v>
      </c>
      <c r="C215" s="118" t="s">
        <v>319</v>
      </c>
      <c r="D215" s="118" t="s">
        <v>324</v>
      </c>
      <c r="E215" s="118" t="s">
        <v>329</v>
      </c>
      <c r="F215" s="119">
        <v>55</v>
      </c>
      <c r="G215" s="120">
        <v>6</v>
      </c>
      <c r="H215" s="121">
        <f t="shared" si="7"/>
        <v>385</v>
      </c>
      <c r="I215" s="122">
        <f t="shared" si="6"/>
        <v>19.25</v>
      </c>
    </row>
    <row r="216" spans="1:9" x14ac:dyDescent="0.35">
      <c r="A216" s="117">
        <v>45535</v>
      </c>
      <c r="B216" s="118" t="s">
        <v>322</v>
      </c>
      <c r="C216" s="118" t="s">
        <v>332</v>
      </c>
      <c r="D216" s="118" t="s">
        <v>333</v>
      </c>
      <c r="E216" s="118" t="s">
        <v>344</v>
      </c>
      <c r="F216" s="119">
        <v>44</v>
      </c>
      <c r="G216" s="120">
        <v>17</v>
      </c>
      <c r="H216" s="121">
        <f t="shared" si="7"/>
        <v>924</v>
      </c>
      <c r="I216" s="122">
        <f t="shared" si="6"/>
        <v>46.2</v>
      </c>
    </row>
    <row r="217" spans="1:9" x14ac:dyDescent="0.35">
      <c r="A217" s="117">
        <v>45535</v>
      </c>
      <c r="B217" s="118" t="s">
        <v>318</v>
      </c>
      <c r="C217" s="118" t="s">
        <v>314</v>
      </c>
      <c r="D217" s="118" t="s">
        <v>320</v>
      </c>
      <c r="E217" s="118" t="s">
        <v>343</v>
      </c>
      <c r="F217" s="119">
        <v>42</v>
      </c>
      <c r="G217" s="120">
        <v>4</v>
      </c>
      <c r="H217" s="121">
        <f t="shared" si="7"/>
        <v>294</v>
      </c>
      <c r="I217" s="122">
        <f t="shared" si="6"/>
        <v>17.64</v>
      </c>
    </row>
    <row r="218" spans="1:9" x14ac:dyDescent="0.35">
      <c r="A218" s="117">
        <v>45535</v>
      </c>
      <c r="B218" s="118" t="s">
        <v>313</v>
      </c>
      <c r="C218" s="118" t="s">
        <v>314</v>
      </c>
      <c r="D218" s="118" t="s">
        <v>324</v>
      </c>
      <c r="E218" s="118" t="s">
        <v>350</v>
      </c>
      <c r="F218" s="119">
        <v>45</v>
      </c>
      <c r="G218" s="120">
        <v>13</v>
      </c>
      <c r="H218" s="121">
        <f t="shared" si="7"/>
        <v>720</v>
      </c>
      <c r="I218" s="122">
        <f t="shared" si="6"/>
        <v>36</v>
      </c>
    </row>
    <row r="219" spans="1:9" x14ac:dyDescent="0.35">
      <c r="A219" s="117">
        <v>45536</v>
      </c>
      <c r="B219" s="118" t="s">
        <v>313</v>
      </c>
      <c r="C219" s="118" t="s">
        <v>314</v>
      </c>
      <c r="D219" s="118" t="s">
        <v>390</v>
      </c>
      <c r="E219" s="118" t="s">
        <v>455</v>
      </c>
      <c r="F219" s="119">
        <v>31</v>
      </c>
      <c r="G219" s="120">
        <v>13</v>
      </c>
      <c r="H219" s="121">
        <f t="shared" si="7"/>
        <v>496</v>
      </c>
      <c r="I219" s="122">
        <f t="shared" si="6"/>
        <v>24.8</v>
      </c>
    </row>
    <row r="220" spans="1:9" x14ac:dyDescent="0.35">
      <c r="A220" s="117">
        <v>45536</v>
      </c>
      <c r="B220" s="118" t="s">
        <v>327</v>
      </c>
      <c r="C220" s="118" t="s">
        <v>332</v>
      </c>
      <c r="D220" s="118" t="s">
        <v>324</v>
      </c>
      <c r="E220" s="118" t="s">
        <v>341</v>
      </c>
      <c r="F220" s="119">
        <v>58</v>
      </c>
      <c r="G220" s="120">
        <v>6</v>
      </c>
      <c r="H220" s="121">
        <f t="shared" si="7"/>
        <v>580</v>
      </c>
      <c r="I220" s="122">
        <f t="shared" si="6"/>
        <v>29</v>
      </c>
    </row>
    <row r="221" spans="1:9" x14ac:dyDescent="0.35">
      <c r="A221" s="117">
        <v>45536</v>
      </c>
      <c r="B221" s="118" t="s">
        <v>327</v>
      </c>
      <c r="C221" s="118" t="s">
        <v>314</v>
      </c>
      <c r="D221" s="118" t="s">
        <v>423</v>
      </c>
      <c r="E221" s="118" t="s">
        <v>346</v>
      </c>
      <c r="F221" s="119">
        <v>36</v>
      </c>
      <c r="G221" s="120">
        <v>6</v>
      </c>
      <c r="H221" s="121">
        <f t="shared" si="7"/>
        <v>324</v>
      </c>
      <c r="I221" s="122">
        <f t="shared" si="6"/>
        <v>19.439999999999998</v>
      </c>
    </row>
    <row r="222" spans="1:9" x14ac:dyDescent="0.35">
      <c r="A222" s="117">
        <v>45536</v>
      </c>
      <c r="B222" s="118" t="s">
        <v>327</v>
      </c>
      <c r="C222" s="118" t="s">
        <v>332</v>
      </c>
      <c r="D222" s="118" t="s">
        <v>320</v>
      </c>
      <c r="E222" s="118" t="s">
        <v>343</v>
      </c>
      <c r="F222" s="119">
        <v>50</v>
      </c>
      <c r="G222" s="120">
        <v>6</v>
      </c>
      <c r="H222" s="121">
        <f t="shared" si="7"/>
        <v>500</v>
      </c>
      <c r="I222" s="122">
        <f t="shared" si="6"/>
        <v>30</v>
      </c>
    </row>
    <row r="223" spans="1:9" x14ac:dyDescent="0.35">
      <c r="A223" s="117">
        <v>45537</v>
      </c>
      <c r="B223" s="118" t="s">
        <v>422</v>
      </c>
      <c r="C223" s="118" t="s">
        <v>332</v>
      </c>
      <c r="D223" s="118" t="s">
        <v>315</v>
      </c>
      <c r="E223" s="118" t="s">
        <v>455</v>
      </c>
      <c r="F223" s="119">
        <v>10</v>
      </c>
      <c r="G223" s="120">
        <v>24</v>
      </c>
      <c r="H223" s="121">
        <f t="shared" si="7"/>
        <v>280</v>
      </c>
      <c r="I223" s="122">
        <f t="shared" si="6"/>
        <v>14</v>
      </c>
    </row>
    <row r="224" spans="1:9" x14ac:dyDescent="0.35">
      <c r="A224" s="117">
        <v>45537</v>
      </c>
      <c r="B224" s="118" t="s">
        <v>313</v>
      </c>
      <c r="C224" s="118" t="s">
        <v>319</v>
      </c>
      <c r="D224" s="118" t="s">
        <v>320</v>
      </c>
      <c r="E224" s="118" t="s">
        <v>395</v>
      </c>
      <c r="F224" s="119">
        <v>45</v>
      </c>
      <c r="G224" s="120">
        <v>13</v>
      </c>
      <c r="H224" s="121">
        <f t="shared" si="7"/>
        <v>630</v>
      </c>
      <c r="I224" s="122">
        <f t="shared" si="6"/>
        <v>37.799999999999997</v>
      </c>
    </row>
    <row r="225" spans="1:9" x14ac:dyDescent="0.35">
      <c r="A225" s="117">
        <v>45537</v>
      </c>
      <c r="B225" s="118" t="s">
        <v>322</v>
      </c>
      <c r="C225" s="118" t="s">
        <v>332</v>
      </c>
      <c r="D225" s="118" t="s">
        <v>423</v>
      </c>
      <c r="E225" s="118" t="s">
        <v>339</v>
      </c>
      <c r="F225" s="119">
        <v>12</v>
      </c>
      <c r="G225" s="120">
        <v>17</v>
      </c>
      <c r="H225" s="121">
        <f t="shared" si="7"/>
        <v>252</v>
      </c>
      <c r="I225" s="122">
        <f t="shared" si="6"/>
        <v>15.12</v>
      </c>
    </row>
    <row r="226" spans="1:9" x14ac:dyDescent="0.35">
      <c r="A226" s="117">
        <v>45537</v>
      </c>
      <c r="B226" s="118" t="s">
        <v>313</v>
      </c>
      <c r="C226" s="118" t="s">
        <v>314</v>
      </c>
      <c r="D226" s="118" t="s">
        <v>324</v>
      </c>
      <c r="E226" s="118" t="s">
        <v>350</v>
      </c>
      <c r="F226" s="119">
        <v>23</v>
      </c>
      <c r="G226" s="120">
        <v>13</v>
      </c>
      <c r="H226" s="121">
        <f t="shared" si="7"/>
        <v>368</v>
      </c>
      <c r="I226" s="122">
        <f t="shared" si="6"/>
        <v>18.400000000000002</v>
      </c>
    </row>
    <row r="227" spans="1:9" x14ac:dyDescent="0.35">
      <c r="A227" s="117">
        <v>45537</v>
      </c>
      <c r="B227" s="118" t="s">
        <v>313</v>
      </c>
      <c r="C227" s="118" t="s">
        <v>332</v>
      </c>
      <c r="D227" s="118" t="s">
        <v>390</v>
      </c>
      <c r="E227" s="118" t="s">
        <v>316</v>
      </c>
      <c r="F227" s="119">
        <v>7</v>
      </c>
      <c r="G227" s="120">
        <v>13</v>
      </c>
      <c r="H227" s="121">
        <f t="shared" si="7"/>
        <v>119</v>
      </c>
      <c r="I227" s="122">
        <f t="shared" si="6"/>
        <v>5.95</v>
      </c>
    </row>
    <row r="228" spans="1:9" x14ac:dyDescent="0.35">
      <c r="A228" s="117">
        <v>45538</v>
      </c>
      <c r="B228" s="118" t="s">
        <v>322</v>
      </c>
      <c r="C228" s="118" t="s">
        <v>332</v>
      </c>
      <c r="D228" s="118" t="s">
        <v>423</v>
      </c>
      <c r="E228" s="118" t="s">
        <v>337</v>
      </c>
      <c r="F228" s="119">
        <v>23</v>
      </c>
      <c r="G228" s="120">
        <v>17</v>
      </c>
      <c r="H228" s="121">
        <f t="shared" si="7"/>
        <v>483</v>
      </c>
      <c r="I228" s="122">
        <f t="shared" si="6"/>
        <v>28.98</v>
      </c>
    </row>
    <row r="229" spans="1:9" x14ac:dyDescent="0.35">
      <c r="A229" s="117">
        <v>45538</v>
      </c>
      <c r="B229" s="118" t="s">
        <v>422</v>
      </c>
      <c r="C229" s="118" t="s">
        <v>319</v>
      </c>
      <c r="D229" s="118" t="s">
        <v>423</v>
      </c>
      <c r="E229" s="118" t="s">
        <v>346</v>
      </c>
      <c r="F229" s="119">
        <v>59</v>
      </c>
      <c r="G229" s="120">
        <v>24</v>
      </c>
      <c r="H229" s="121">
        <f t="shared" si="7"/>
        <v>1475</v>
      </c>
      <c r="I229" s="122">
        <f t="shared" si="6"/>
        <v>88.5</v>
      </c>
    </row>
    <row r="230" spans="1:9" x14ac:dyDescent="0.35">
      <c r="A230" s="117">
        <v>45539</v>
      </c>
      <c r="B230" s="118" t="s">
        <v>318</v>
      </c>
      <c r="C230" s="118" t="s">
        <v>314</v>
      </c>
      <c r="D230" s="118" t="s">
        <v>333</v>
      </c>
      <c r="E230" s="118" t="s">
        <v>340</v>
      </c>
      <c r="F230" s="119">
        <v>23</v>
      </c>
      <c r="G230" s="120">
        <v>4</v>
      </c>
      <c r="H230" s="121">
        <f t="shared" si="7"/>
        <v>161</v>
      </c>
      <c r="I230" s="122">
        <f t="shared" si="6"/>
        <v>8.0500000000000007</v>
      </c>
    </row>
    <row r="231" spans="1:9" x14ac:dyDescent="0.35">
      <c r="A231" s="117">
        <v>45539</v>
      </c>
      <c r="B231" s="118" t="s">
        <v>313</v>
      </c>
      <c r="C231" s="118" t="s">
        <v>332</v>
      </c>
      <c r="D231" s="118" t="s">
        <v>333</v>
      </c>
      <c r="E231" s="118" t="s">
        <v>454</v>
      </c>
      <c r="F231" s="119">
        <v>62</v>
      </c>
      <c r="G231" s="120">
        <v>13</v>
      </c>
      <c r="H231" s="121">
        <f t="shared" si="7"/>
        <v>1054</v>
      </c>
      <c r="I231" s="122">
        <f t="shared" si="6"/>
        <v>52.7</v>
      </c>
    </row>
    <row r="232" spans="1:9" x14ac:dyDescent="0.35">
      <c r="A232" s="117">
        <v>45539</v>
      </c>
      <c r="B232" s="118" t="s">
        <v>318</v>
      </c>
      <c r="C232" s="118" t="s">
        <v>393</v>
      </c>
      <c r="D232" s="118" t="s">
        <v>390</v>
      </c>
      <c r="E232" s="118" t="s">
        <v>337</v>
      </c>
      <c r="F232" s="119">
        <v>31</v>
      </c>
      <c r="G232" s="120">
        <v>4</v>
      </c>
      <c r="H232" s="121">
        <f t="shared" si="7"/>
        <v>186</v>
      </c>
      <c r="I232" s="122">
        <f t="shared" si="6"/>
        <v>9.3000000000000007</v>
      </c>
    </row>
    <row r="233" spans="1:9" x14ac:dyDescent="0.35">
      <c r="A233" s="117">
        <v>45539</v>
      </c>
      <c r="B233" s="118" t="s">
        <v>322</v>
      </c>
      <c r="C233" s="118" t="s">
        <v>332</v>
      </c>
      <c r="D233" s="118" t="s">
        <v>315</v>
      </c>
      <c r="E233" s="118" t="s">
        <v>394</v>
      </c>
      <c r="F233" s="119">
        <v>27</v>
      </c>
      <c r="G233" s="120">
        <v>17</v>
      </c>
      <c r="H233" s="121">
        <f t="shared" si="7"/>
        <v>567</v>
      </c>
      <c r="I233" s="122">
        <f t="shared" si="6"/>
        <v>28.35</v>
      </c>
    </row>
    <row r="234" spans="1:9" x14ac:dyDescent="0.35">
      <c r="A234" s="117">
        <v>45539</v>
      </c>
      <c r="B234" s="118" t="s">
        <v>422</v>
      </c>
      <c r="C234" s="118" t="s">
        <v>319</v>
      </c>
      <c r="D234" s="118" t="s">
        <v>324</v>
      </c>
      <c r="E234" s="118" t="s">
        <v>416</v>
      </c>
      <c r="F234" s="119">
        <v>41</v>
      </c>
      <c r="G234" s="120">
        <v>24</v>
      </c>
      <c r="H234" s="121">
        <f t="shared" si="7"/>
        <v>1025</v>
      </c>
      <c r="I234" s="122">
        <f t="shared" si="6"/>
        <v>51.25</v>
      </c>
    </row>
    <row r="235" spans="1:9" x14ac:dyDescent="0.35">
      <c r="A235" s="117">
        <v>45540</v>
      </c>
      <c r="B235" s="118" t="s">
        <v>322</v>
      </c>
      <c r="C235" s="118" t="s">
        <v>332</v>
      </c>
      <c r="D235" s="118" t="s">
        <v>390</v>
      </c>
      <c r="E235" s="118" t="s">
        <v>400</v>
      </c>
      <c r="F235" s="119">
        <v>51</v>
      </c>
      <c r="G235" s="120">
        <v>17</v>
      </c>
      <c r="H235" s="121">
        <f t="shared" si="7"/>
        <v>1071</v>
      </c>
      <c r="I235" s="122">
        <f t="shared" si="6"/>
        <v>53.550000000000004</v>
      </c>
    </row>
    <row r="236" spans="1:9" x14ac:dyDescent="0.35">
      <c r="A236" s="117">
        <v>45540</v>
      </c>
      <c r="B236" s="118" t="s">
        <v>322</v>
      </c>
      <c r="C236" s="118" t="s">
        <v>314</v>
      </c>
      <c r="D236" s="118" t="s">
        <v>324</v>
      </c>
      <c r="E236" s="118" t="s">
        <v>331</v>
      </c>
      <c r="F236" s="119">
        <v>10</v>
      </c>
      <c r="G236" s="120">
        <v>17</v>
      </c>
      <c r="H236" s="121">
        <f t="shared" si="7"/>
        <v>200</v>
      </c>
      <c r="I236" s="122">
        <f t="shared" si="6"/>
        <v>10</v>
      </c>
    </row>
    <row r="237" spans="1:9" x14ac:dyDescent="0.35">
      <c r="A237" s="117">
        <v>45540</v>
      </c>
      <c r="B237" s="118" t="s">
        <v>322</v>
      </c>
      <c r="C237" s="118" t="s">
        <v>314</v>
      </c>
      <c r="D237" s="118" t="s">
        <v>320</v>
      </c>
      <c r="E237" s="118" t="s">
        <v>405</v>
      </c>
      <c r="F237" s="119">
        <v>29</v>
      </c>
      <c r="G237" s="120">
        <v>17</v>
      </c>
      <c r="H237" s="121">
        <f t="shared" si="7"/>
        <v>580</v>
      </c>
      <c r="I237" s="122">
        <f t="shared" si="6"/>
        <v>34.799999999999997</v>
      </c>
    </row>
    <row r="238" spans="1:9" x14ac:dyDescent="0.35">
      <c r="A238" s="117">
        <v>45540</v>
      </c>
      <c r="B238" s="118" t="s">
        <v>422</v>
      </c>
      <c r="C238" s="118" t="s">
        <v>332</v>
      </c>
      <c r="D238" s="118" t="s">
        <v>324</v>
      </c>
      <c r="E238" s="118" t="s">
        <v>405</v>
      </c>
      <c r="F238" s="119">
        <v>6</v>
      </c>
      <c r="G238" s="120">
        <v>24</v>
      </c>
      <c r="H238" s="121">
        <f t="shared" si="7"/>
        <v>168</v>
      </c>
      <c r="I238" s="122">
        <f t="shared" si="6"/>
        <v>8.4</v>
      </c>
    </row>
    <row r="239" spans="1:9" x14ac:dyDescent="0.35">
      <c r="A239" s="117">
        <v>45541</v>
      </c>
      <c r="B239" s="118" t="s">
        <v>313</v>
      </c>
      <c r="C239" s="118" t="s">
        <v>393</v>
      </c>
      <c r="D239" s="118" t="s">
        <v>324</v>
      </c>
      <c r="E239" s="118" t="s">
        <v>346</v>
      </c>
      <c r="F239" s="119">
        <v>65</v>
      </c>
      <c r="G239" s="120">
        <v>13</v>
      </c>
      <c r="H239" s="121">
        <f t="shared" si="7"/>
        <v>975</v>
      </c>
      <c r="I239" s="122">
        <f t="shared" si="6"/>
        <v>48.75</v>
      </c>
    </row>
    <row r="240" spans="1:9" x14ac:dyDescent="0.35">
      <c r="A240" s="117">
        <v>45542</v>
      </c>
      <c r="B240" s="118" t="s">
        <v>327</v>
      </c>
      <c r="C240" s="118" t="s">
        <v>314</v>
      </c>
      <c r="D240" s="118" t="s">
        <v>423</v>
      </c>
      <c r="E240" s="118" t="s">
        <v>395</v>
      </c>
      <c r="F240" s="119">
        <v>29</v>
      </c>
      <c r="G240" s="120">
        <v>6</v>
      </c>
      <c r="H240" s="121">
        <f t="shared" si="7"/>
        <v>261</v>
      </c>
      <c r="I240" s="122">
        <f t="shared" si="6"/>
        <v>15.66</v>
      </c>
    </row>
    <row r="241" spans="1:9" x14ac:dyDescent="0.35">
      <c r="A241" s="117">
        <v>45543</v>
      </c>
      <c r="B241" s="118" t="s">
        <v>422</v>
      </c>
      <c r="C241" s="118" t="s">
        <v>314</v>
      </c>
      <c r="D241" s="118" t="s">
        <v>320</v>
      </c>
      <c r="E241" s="118" t="s">
        <v>455</v>
      </c>
      <c r="F241" s="119">
        <v>30</v>
      </c>
      <c r="G241" s="120">
        <v>24</v>
      </c>
      <c r="H241" s="121">
        <f t="shared" si="7"/>
        <v>810</v>
      </c>
      <c r="I241" s="122">
        <f t="shared" si="6"/>
        <v>48.6</v>
      </c>
    </row>
    <row r="242" spans="1:9" x14ac:dyDescent="0.35">
      <c r="A242" s="117">
        <v>45543</v>
      </c>
      <c r="B242" s="118" t="s">
        <v>422</v>
      </c>
      <c r="C242" s="118" t="s">
        <v>332</v>
      </c>
      <c r="D242" s="118" t="s">
        <v>315</v>
      </c>
      <c r="E242" s="118" t="s">
        <v>340</v>
      </c>
      <c r="F242" s="119">
        <v>58</v>
      </c>
      <c r="G242" s="120">
        <v>24</v>
      </c>
      <c r="H242" s="121">
        <f t="shared" si="7"/>
        <v>1624</v>
      </c>
      <c r="I242" s="122">
        <f t="shared" si="6"/>
        <v>81.2</v>
      </c>
    </row>
    <row r="243" spans="1:9" x14ac:dyDescent="0.35">
      <c r="A243" s="117">
        <v>45543</v>
      </c>
      <c r="B243" s="118" t="s">
        <v>313</v>
      </c>
      <c r="C243" s="118" t="s">
        <v>319</v>
      </c>
      <c r="D243" s="118" t="s">
        <v>423</v>
      </c>
      <c r="E243" s="118" t="s">
        <v>346</v>
      </c>
      <c r="F243" s="119">
        <v>63</v>
      </c>
      <c r="G243" s="120">
        <v>13</v>
      </c>
      <c r="H243" s="121">
        <f t="shared" si="7"/>
        <v>882</v>
      </c>
      <c r="I243" s="122">
        <f t="shared" si="6"/>
        <v>52.919999999999995</v>
      </c>
    </row>
    <row r="244" spans="1:9" x14ac:dyDescent="0.35">
      <c r="A244" s="117">
        <v>45544</v>
      </c>
      <c r="B244" s="118" t="s">
        <v>318</v>
      </c>
      <c r="C244" s="118" t="s">
        <v>314</v>
      </c>
      <c r="D244" s="118" t="s">
        <v>320</v>
      </c>
      <c r="E244" s="118" t="s">
        <v>344</v>
      </c>
      <c r="F244" s="119">
        <v>30</v>
      </c>
      <c r="G244" s="120">
        <v>4</v>
      </c>
      <c r="H244" s="121">
        <f t="shared" si="7"/>
        <v>210</v>
      </c>
      <c r="I244" s="122">
        <f t="shared" si="6"/>
        <v>12.6</v>
      </c>
    </row>
    <row r="245" spans="1:9" x14ac:dyDescent="0.35">
      <c r="A245" s="117">
        <v>45545</v>
      </c>
      <c r="B245" s="118" t="s">
        <v>313</v>
      </c>
      <c r="C245" s="118" t="s">
        <v>332</v>
      </c>
      <c r="D245" s="118" t="s">
        <v>390</v>
      </c>
      <c r="E245" s="118" t="s">
        <v>455</v>
      </c>
      <c r="F245" s="119">
        <v>12</v>
      </c>
      <c r="G245" s="120">
        <v>13</v>
      </c>
      <c r="H245" s="121">
        <f t="shared" si="7"/>
        <v>204</v>
      </c>
      <c r="I245" s="122">
        <f t="shared" si="6"/>
        <v>10.200000000000001</v>
      </c>
    </row>
    <row r="246" spans="1:9" x14ac:dyDescent="0.35">
      <c r="A246" s="117">
        <v>45545</v>
      </c>
      <c r="B246" s="118" t="s">
        <v>327</v>
      </c>
      <c r="C246" s="118" t="s">
        <v>319</v>
      </c>
      <c r="D246" s="118" t="s">
        <v>333</v>
      </c>
      <c r="E246" s="118" t="s">
        <v>348</v>
      </c>
      <c r="F246" s="119">
        <v>49</v>
      </c>
      <c r="G246" s="120">
        <v>6</v>
      </c>
      <c r="H246" s="121">
        <f t="shared" si="7"/>
        <v>343</v>
      </c>
      <c r="I246" s="122">
        <f t="shared" si="6"/>
        <v>17.150000000000002</v>
      </c>
    </row>
    <row r="247" spans="1:9" x14ac:dyDescent="0.35">
      <c r="A247" s="117">
        <v>45545</v>
      </c>
      <c r="B247" s="118" t="s">
        <v>318</v>
      </c>
      <c r="C247" s="118" t="s">
        <v>332</v>
      </c>
      <c r="D247" s="118" t="s">
        <v>315</v>
      </c>
      <c r="E247" s="118" t="s">
        <v>340</v>
      </c>
      <c r="F247" s="119">
        <v>17</v>
      </c>
      <c r="G247" s="120">
        <v>4</v>
      </c>
      <c r="H247" s="121">
        <f t="shared" si="7"/>
        <v>136</v>
      </c>
      <c r="I247" s="122">
        <f t="shared" si="6"/>
        <v>6.8000000000000007</v>
      </c>
    </row>
    <row r="248" spans="1:9" x14ac:dyDescent="0.35">
      <c r="A248" s="117">
        <v>45545</v>
      </c>
      <c r="B248" s="118" t="s">
        <v>318</v>
      </c>
      <c r="C248" s="118" t="s">
        <v>332</v>
      </c>
      <c r="D248" s="118" t="s">
        <v>324</v>
      </c>
      <c r="E248" s="118" t="s">
        <v>394</v>
      </c>
      <c r="F248" s="119">
        <v>64</v>
      </c>
      <c r="G248" s="120">
        <v>4</v>
      </c>
      <c r="H248" s="121">
        <f t="shared" si="7"/>
        <v>512</v>
      </c>
      <c r="I248" s="122">
        <f t="shared" si="6"/>
        <v>25.6</v>
      </c>
    </row>
    <row r="249" spans="1:9" x14ac:dyDescent="0.35">
      <c r="A249" s="117">
        <v>45545</v>
      </c>
      <c r="B249" s="118" t="s">
        <v>322</v>
      </c>
      <c r="C249" s="118" t="s">
        <v>319</v>
      </c>
      <c r="D249" s="118" t="s">
        <v>423</v>
      </c>
      <c r="E249" s="118" t="s">
        <v>405</v>
      </c>
      <c r="F249" s="119">
        <v>62</v>
      </c>
      <c r="G249" s="120">
        <v>17</v>
      </c>
      <c r="H249" s="121">
        <f t="shared" si="7"/>
        <v>1116</v>
      </c>
      <c r="I249" s="122">
        <f t="shared" si="6"/>
        <v>66.959999999999994</v>
      </c>
    </row>
    <row r="250" spans="1:9" x14ac:dyDescent="0.35">
      <c r="A250" s="117">
        <v>45545</v>
      </c>
      <c r="B250" s="118" t="s">
        <v>327</v>
      </c>
      <c r="C250" s="118" t="s">
        <v>332</v>
      </c>
      <c r="D250" s="118" t="s">
        <v>390</v>
      </c>
      <c r="E250" s="118" t="s">
        <v>335</v>
      </c>
      <c r="F250" s="119">
        <v>10</v>
      </c>
      <c r="G250" s="120">
        <v>6</v>
      </c>
      <c r="H250" s="121">
        <f t="shared" si="7"/>
        <v>100</v>
      </c>
      <c r="I250" s="122">
        <f t="shared" si="6"/>
        <v>5</v>
      </c>
    </row>
    <row r="251" spans="1:9" x14ac:dyDescent="0.35">
      <c r="A251" s="117">
        <v>45546</v>
      </c>
      <c r="B251" s="118" t="s">
        <v>313</v>
      </c>
      <c r="C251" s="118" t="s">
        <v>319</v>
      </c>
      <c r="D251" s="118" t="s">
        <v>390</v>
      </c>
      <c r="E251" s="118" t="s">
        <v>349</v>
      </c>
      <c r="F251" s="119">
        <v>28</v>
      </c>
      <c r="G251" s="120">
        <v>13</v>
      </c>
      <c r="H251" s="121">
        <f t="shared" si="7"/>
        <v>392</v>
      </c>
      <c r="I251" s="122">
        <f t="shared" si="6"/>
        <v>19.600000000000001</v>
      </c>
    </row>
    <row r="252" spans="1:9" x14ac:dyDescent="0.35">
      <c r="A252" s="117">
        <v>45546</v>
      </c>
      <c r="B252" s="118" t="s">
        <v>313</v>
      </c>
      <c r="C252" s="118" t="s">
        <v>314</v>
      </c>
      <c r="D252" s="118" t="s">
        <v>338</v>
      </c>
      <c r="E252" s="118" t="s">
        <v>344</v>
      </c>
      <c r="F252" s="119">
        <v>60</v>
      </c>
      <c r="G252" s="120">
        <v>13</v>
      </c>
      <c r="H252" s="121">
        <f t="shared" si="7"/>
        <v>960</v>
      </c>
      <c r="I252" s="122">
        <f t="shared" si="6"/>
        <v>57.599999999999994</v>
      </c>
    </row>
    <row r="253" spans="1:9" x14ac:dyDescent="0.35">
      <c r="A253" s="117">
        <v>45547</v>
      </c>
      <c r="B253" s="118" t="s">
        <v>322</v>
      </c>
      <c r="C253" s="118" t="s">
        <v>393</v>
      </c>
      <c r="D253" s="118" t="s">
        <v>315</v>
      </c>
      <c r="E253" s="118" t="s">
        <v>340</v>
      </c>
      <c r="F253" s="119">
        <v>11</v>
      </c>
      <c r="G253" s="120">
        <v>17</v>
      </c>
      <c r="H253" s="121">
        <f t="shared" si="7"/>
        <v>209</v>
      </c>
      <c r="I253" s="122">
        <f t="shared" si="6"/>
        <v>10.450000000000001</v>
      </c>
    </row>
    <row r="254" spans="1:9" x14ac:dyDescent="0.35">
      <c r="A254" s="117">
        <v>45547</v>
      </c>
      <c r="B254" s="118" t="s">
        <v>422</v>
      </c>
      <c r="C254" s="118" t="s">
        <v>332</v>
      </c>
      <c r="D254" s="118" t="s">
        <v>333</v>
      </c>
      <c r="E254" s="118" t="s">
        <v>349</v>
      </c>
      <c r="F254" s="119">
        <v>21</v>
      </c>
      <c r="G254" s="120">
        <v>24</v>
      </c>
      <c r="H254" s="121">
        <f t="shared" si="7"/>
        <v>588</v>
      </c>
      <c r="I254" s="122">
        <f t="shared" si="6"/>
        <v>29.400000000000002</v>
      </c>
    </row>
    <row r="255" spans="1:9" x14ac:dyDescent="0.35">
      <c r="A255" s="117">
        <v>45547</v>
      </c>
      <c r="B255" s="118" t="s">
        <v>313</v>
      </c>
      <c r="C255" s="118" t="s">
        <v>314</v>
      </c>
      <c r="D255" s="118" t="s">
        <v>338</v>
      </c>
      <c r="E255" s="118" t="s">
        <v>339</v>
      </c>
      <c r="F255" s="119">
        <v>44</v>
      </c>
      <c r="G255" s="120">
        <v>13</v>
      </c>
      <c r="H255" s="121">
        <f t="shared" si="7"/>
        <v>704</v>
      </c>
      <c r="I255" s="122">
        <f t="shared" si="6"/>
        <v>42.239999999999995</v>
      </c>
    </row>
    <row r="256" spans="1:9" x14ac:dyDescent="0.35">
      <c r="A256" s="117">
        <v>45547</v>
      </c>
      <c r="B256" s="118" t="s">
        <v>322</v>
      </c>
      <c r="C256" s="118" t="s">
        <v>314</v>
      </c>
      <c r="D256" s="118" t="s">
        <v>423</v>
      </c>
      <c r="E256" s="118" t="s">
        <v>405</v>
      </c>
      <c r="F256" s="119">
        <v>55</v>
      </c>
      <c r="G256" s="120">
        <v>17</v>
      </c>
      <c r="H256" s="121">
        <f t="shared" si="7"/>
        <v>1100</v>
      </c>
      <c r="I256" s="122">
        <f t="shared" si="6"/>
        <v>66</v>
      </c>
    </row>
    <row r="257" spans="1:9" x14ac:dyDescent="0.35">
      <c r="A257" s="117">
        <v>45548</v>
      </c>
      <c r="B257" s="118" t="s">
        <v>422</v>
      </c>
      <c r="C257" s="118" t="s">
        <v>393</v>
      </c>
      <c r="D257" s="118" t="s">
        <v>320</v>
      </c>
      <c r="E257" s="118" t="s">
        <v>341</v>
      </c>
      <c r="F257" s="119">
        <v>39</v>
      </c>
      <c r="G257" s="120">
        <v>24</v>
      </c>
      <c r="H257" s="121">
        <f t="shared" si="7"/>
        <v>1014</v>
      </c>
      <c r="I257" s="122">
        <f t="shared" si="6"/>
        <v>60.839999999999996</v>
      </c>
    </row>
    <row r="258" spans="1:9" x14ac:dyDescent="0.35">
      <c r="A258" s="117">
        <v>45548</v>
      </c>
      <c r="B258" s="118" t="s">
        <v>322</v>
      </c>
      <c r="C258" s="118" t="s">
        <v>314</v>
      </c>
      <c r="D258" s="118" t="s">
        <v>324</v>
      </c>
      <c r="E258" s="118" t="s">
        <v>343</v>
      </c>
      <c r="F258" s="119">
        <v>58</v>
      </c>
      <c r="G258" s="120">
        <v>17</v>
      </c>
      <c r="H258" s="121">
        <f t="shared" si="7"/>
        <v>1160</v>
      </c>
      <c r="I258" s="122">
        <f t="shared" ref="I258:I321" si="8">H258*VLOOKUP(D258,$O$4:$P$10,2,TRUE)</f>
        <v>58</v>
      </c>
    </row>
    <row r="259" spans="1:9" x14ac:dyDescent="0.35">
      <c r="A259" s="117">
        <v>45549</v>
      </c>
      <c r="B259" s="118" t="s">
        <v>318</v>
      </c>
      <c r="C259" s="118" t="s">
        <v>319</v>
      </c>
      <c r="D259" s="118" t="s">
        <v>333</v>
      </c>
      <c r="E259" s="118" t="s">
        <v>341</v>
      </c>
      <c r="F259" s="119">
        <v>46</v>
      </c>
      <c r="G259" s="120">
        <v>4</v>
      </c>
      <c r="H259" s="121">
        <f t="shared" ref="H259:H322" si="9">(F259*G259)+VLOOKUP(C259,$K$11:$L$14,2,FALSE)*F259</f>
        <v>230</v>
      </c>
      <c r="I259" s="122">
        <f t="shared" si="8"/>
        <v>11.5</v>
      </c>
    </row>
    <row r="260" spans="1:9" x14ac:dyDescent="0.35">
      <c r="A260" s="117">
        <v>45549</v>
      </c>
      <c r="B260" s="118" t="s">
        <v>318</v>
      </c>
      <c r="C260" s="118" t="s">
        <v>332</v>
      </c>
      <c r="D260" s="118" t="s">
        <v>320</v>
      </c>
      <c r="E260" s="118" t="s">
        <v>340</v>
      </c>
      <c r="F260" s="119">
        <v>21</v>
      </c>
      <c r="G260" s="120">
        <v>4</v>
      </c>
      <c r="H260" s="121">
        <f t="shared" si="9"/>
        <v>168</v>
      </c>
      <c r="I260" s="122">
        <f t="shared" si="8"/>
        <v>10.08</v>
      </c>
    </row>
    <row r="261" spans="1:9" x14ac:dyDescent="0.35">
      <c r="A261" s="117">
        <v>45549</v>
      </c>
      <c r="B261" s="118" t="s">
        <v>327</v>
      </c>
      <c r="C261" s="118" t="s">
        <v>319</v>
      </c>
      <c r="D261" s="118" t="s">
        <v>324</v>
      </c>
      <c r="E261" s="118" t="s">
        <v>346</v>
      </c>
      <c r="F261" s="119">
        <v>8</v>
      </c>
      <c r="G261" s="120">
        <v>6</v>
      </c>
      <c r="H261" s="121">
        <f t="shared" si="9"/>
        <v>56</v>
      </c>
      <c r="I261" s="122">
        <f t="shared" si="8"/>
        <v>2.8000000000000003</v>
      </c>
    </row>
    <row r="262" spans="1:9" x14ac:dyDescent="0.35">
      <c r="A262" s="117">
        <v>45550</v>
      </c>
      <c r="B262" s="118" t="s">
        <v>313</v>
      </c>
      <c r="C262" s="118" t="s">
        <v>314</v>
      </c>
      <c r="D262" s="118" t="s">
        <v>390</v>
      </c>
      <c r="E262" s="118" t="s">
        <v>349</v>
      </c>
      <c r="F262" s="119">
        <v>36</v>
      </c>
      <c r="G262" s="120">
        <v>13</v>
      </c>
      <c r="H262" s="121">
        <f t="shared" si="9"/>
        <v>576</v>
      </c>
      <c r="I262" s="122">
        <f t="shared" si="8"/>
        <v>28.8</v>
      </c>
    </row>
    <row r="263" spans="1:9" x14ac:dyDescent="0.35">
      <c r="A263" s="117">
        <v>45550</v>
      </c>
      <c r="B263" s="118" t="s">
        <v>313</v>
      </c>
      <c r="C263" s="118" t="s">
        <v>332</v>
      </c>
      <c r="D263" s="118" t="s">
        <v>390</v>
      </c>
      <c r="E263" s="118" t="s">
        <v>339</v>
      </c>
      <c r="F263" s="119">
        <v>61</v>
      </c>
      <c r="G263" s="120">
        <v>13</v>
      </c>
      <c r="H263" s="121">
        <f t="shared" si="9"/>
        <v>1037</v>
      </c>
      <c r="I263" s="122">
        <f t="shared" si="8"/>
        <v>51.85</v>
      </c>
    </row>
    <row r="264" spans="1:9" x14ac:dyDescent="0.35">
      <c r="A264" s="117">
        <v>45551</v>
      </c>
      <c r="B264" s="118" t="s">
        <v>313</v>
      </c>
      <c r="C264" s="118" t="s">
        <v>332</v>
      </c>
      <c r="D264" s="118" t="s">
        <v>423</v>
      </c>
      <c r="E264" s="118" t="s">
        <v>394</v>
      </c>
      <c r="F264" s="119">
        <v>45</v>
      </c>
      <c r="G264" s="120">
        <v>13</v>
      </c>
      <c r="H264" s="121">
        <f t="shared" si="9"/>
        <v>765</v>
      </c>
      <c r="I264" s="122">
        <f t="shared" si="8"/>
        <v>45.9</v>
      </c>
    </row>
    <row r="265" spans="1:9" x14ac:dyDescent="0.35">
      <c r="A265" s="117">
        <v>45551</v>
      </c>
      <c r="B265" s="118" t="s">
        <v>313</v>
      </c>
      <c r="C265" s="118" t="s">
        <v>319</v>
      </c>
      <c r="D265" s="118" t="s">
        <v>333</v>
      </c>
      <c r="E265" s="118" t="s">
        <v>405</v>
      </c>
      <c r="F265" s="119">
        <v>55</v>
      </c>
      <c r="G265" s="120">
        <v>13</v>
      </c>
      <c r="H265" s="121">
        <f t="shared" si="9"/>
        <v>770</v>
      </c>
      <c r="I265" s="122">
        <f t="shared" si="8"/>
        <v>38.5</v>
      </c>
    </row>
    <row r="266" spans="1:9" x14ac:dyDescent="0.35">
      <c r="A266" s="117">
        <v>45552</v>
      </c>
      <c r="B266" s="118" t="s">
        <v>318</v>
      </c>
      <c r="C266" s="118" t="s">
        <v>314</v>
      </c>
      <c r="D266" s="118" t="s">
        <v>315</v>
      </c>
      <c r="E266" s="118" t="s">
        <v>388</v>
      </c>
      <c r="F266" s="119">
        <v>60</v>
      </c>
      <c r="G266" s="120">
        <v>4</v>
      </c>
      <c r="H266" s="121">
        <f t="shared" si="9"/>
        <v>420</v>
      </c>
      <c r="I266" s="122">
        <f t="shared" si="8"/>
        <v>21</v>
      </c>
    </row>
    <row r="267" spans="1:9" x14ac:dyDescent="0.35">
      <c r="A267" s="117">
        <v>45552</v>
      </c>
      <c r="B267" s="118" t="s">
        <v>313</v>
      </c>
      <c r="C267" s="118" t="s">
        <v>332</v>
      </c>
      <c r="D267" s="118" t="s">
        <v>320</v>
      </c>
      <c r="E267" s="118" t="s">
        <v>340</v>
      </c>
      <c r="F267" s="119">
        <v>30</v>
      </c>
      <c r="G267" s="120">
        <v>13</v>
      </c>
      <c r="H267" s="121">
        <f t="shared" si="9"/>
        <v>510</v>
      </c>
      <c r="I267" s="122">
        <f t="shared" si="8"/>
        <v>30.599999999999998</v>
      </c>
    </row>
    <row r="268" spans="1:9" x14ac:dyDescent="0.35">
      <c r="A268" s="117">
        <v>45552</v>
      </c>
      <c r="B268" s="118" t="s">
        <v>322</v>
      </c>
      <c r="C268" s="118" t="s">
        <v>332</v>
      </c>
      <c r="D268" s="118" t="s">
        <v>390</v>
      </c>
      <c r="E268" s="118" t="s">
        <v>454</v>
      </c>
      <c r="F268" s="119">
        <v>41</v>
      </c>
      <c r="G268" s="120">
        <v>17</v>
      </c>
      <c r="H268" s="121">
        <f t="shared" si="9"/>
        <v>861</v>
      </c>
      <c r="I268" s="122">
        <f t="shared" si="8"/>
        <v>43.050000000000004</v>
      </c>
    </row>
    <row r="269" spans="1:9" x14ac:dyDescent="0.35">
      <c r="A269" s="117">
        <v>45552</v>
      </c>
      <c r="B269" s="118" t="s">
        <v>313</v>
      </c>
      <c r="C269" s="118" t="s">
        <v>393</v>
      </c>
      <c r="D269" s="118" t="s">
        <v>423</v>
      </c>
      <c r="E269" s="118" t="s">
        <v>394</v>
      </c>
      <c r="F269" s="119">
        <v>51</v>
      </c>
      <c r="G269" s="120">
        <v>13</v>
      </c>
      <c r="H269" s="121">
        <f t="shared" si="9"/>
        <v>765</v>
      </c>
      <c r="I269" s="122">
        <f t="shared" si="8"/>
        <v>45.9</v>
      </c>
    </row>
    <row r="270" spans="1:9" x14ac:dyDescent="0.35">
      <c r="A270" s="117">
        <v>45552</v>
      </c>
      <c r="B270" s="118" t="s">
        <v>322</v>
      </c>
      <c r="C270" s="118" t="s">
        <v>319</v>
      </c>
      <c r="D270" s="118" t="s">
        <v>333</v>
      </c>
      <c r="E270" s="118" t="s">
        <v>343</v>
      </c>
      <c r="F270" s="119">
        <v>18</v>
      </c>
      <c r="G270" s="120">
        <v>17</v>
      </c>
      <c r="H270" s="121">
        <f t="shared" si="9"/>
        <v>324</v>
      </c>
      <c r="I270" s="122">
        <f t="shared" si="8"/>
        <v>16.2</v>
      </c>
    </row>
    <row r="271" spans="1:9" x14ac:dyDescent="0.35">
      <c r="A271" s="117">
        <v>45552</v>
      </c>
      <c r="B271" s="118" t="s">
        <v>327</v>
      </c>
      <c r="C271" s="118" t="s">
        <v>314</v>
      </c>
      <c r="D271" s="118" t="s">
        <v>324</v>
      </c>
      <c r="E271" s="118" t="s">
        <v>405</v>
      </c>
      <c r="F271" s="119">
        <v>23</v>
      </c>
      <c r="G271" s="120">
        <v>6</v>
      </c>
      <c r="H271" s="121">
        <f t="shared" si="9"/>
        <v>207</v>
      </c>
      <c r="I271" s="122">
        <f t="shared" si="8"/>
        <v>10.350000000000001</v>
      </c>
    </row>
    <row r="272" spans="1:9" x14ac:dyDescent="0.35">
      <c r="A272" s="117">
        <v>45553</v>
      </c>
      <c r="B272" s="118" t="s">
        <v>422</v>
      </c>
      <c r="C272" s="118" t="s">
        <v>393</v>
      </c>
      <c r="D272" s="118" t="s">
        <v>320</v>
      </c>
      <c r="E272" s="118" t="s">
        <v>329</v>
      </c>
      <c r="F272" s="119">
        <v>11</v>
      </c>
      <c r="G272" s="120">
        <v>24</v>
      </c>
      <c r="H272" s="121">
        <f t="shared" si="9"/>
        <v>286</v>
      </c>
      <c r="I272" s="122">
        <f t="shared" si="8"/>
        <v>17.16</v>
      </c>
    </row>
    <row r="273" spans="1:9" x14ac:dyDescent="0.35">
      <c r="A273" s="117">
        <v>45554</v>
      </c>
      <c r="B273" s="118" t="s">
        <v>313</v>
      </c>
      <c r="C273" s="118" t="s">
        <v>332</v>
      </c>
      <c r="D273" s="118" t="s">
        <v>333</v>
      </c>
      <c r="E273" s="118" t="s">
        <v>342</v>
      </c>
      <c r="F273" s="119">
        <v>49</v>
      </c>
      <c r="G273" s="120">
        <v>13</v>
      </c>
      <c r="H273" s="121">
        <f t="shared" si="9"/>
        <v>833</v>
      </c>
      <c r="I273" s="122">
        <f t="shared" si="8"/>
        <v>41.650000000000006</v>
      </c>
    </row>
    <row r="274" spans="1:9" x14ac:dyDescent="0.35">
      <c r="A274" s="117">
        <v>45554</v>
      </c>
      <c r="B274" s="118" t="s">
        <v>322</v>
      </c>
      <c r="C274" s="118" t="s">
        <v>393</v>
      </c>
      <c r="D274" s="118" t="s">
        <v>333</v>
      </c>
      <c r="E274" s="118" t="s">
        <v>340</v>
      </c>
      <c r="F274" s="119">
        <v>24</v>
      </c>
      <c r="G274" s="120">
        <v>17</v>
      </c>
      <c r="H274" s="121">
        <f t="shared" si="9"/>
        <v>456</v>
      </c>
      <c r="I274" s="122">
        <f t="shared" si="8"/>
        <v>22.8</v>
      </c>
    </row>
    <row r="275" spans="1:9" x14ac:dyDescent="0.35">
      <c r="A275" s="117">
        <v>45554</v>
      </c>
      <c r="B275" s="118" t="s">
        <v>322</v>
      </c>
      <c r="C275" s="118" t="s">
        <v>393</v>
      </c>
      <c r="D275" s="118" t="s">
        <v>333</v>
      </c>
      <c r="E275" s="118" t="s">
        <v>337</v>
      </c>
      <c r="F275" s="119">
        <v>13</v>
      </c>
      <c r="G275" s="120">
        <v>17</v>
      </c>
      <c r="H275" s="121">
        <f t="shared" si="9"/>
        <v>247</v>
      </c>
      <c r="I275" s="122">
        <f t="shared" si="8"/>
        <v>12.350000000000001</v>
      </c>
    </row>
    <row r="276" spans="1:9" x14ac:dyDescent="0.35">
      <c r="A276" s="117">
        <v>45554</v>
      </c>
      <c r="B276" s="118" t="s">
        <v>422</v>
      </c>
      <c r="C276" s="118" t="s">
        <v>332</v>
      </c>
      <c r="D276" s="118" t="s">
        <v>324</v>
      </c>
      <c r="E276" s="118" t="s">
        <v>331</v>
      </c>
      <c r="F276" s="119">
        <v>25</v>
      </c>
      <c r="G276" s="120">
        <v>24</v>
      </c>
      <c r="H276" s="121">
        <f t="shared" si="9"/>
        <v>700</v>
      </c>
      <c r="I276" s="122">
        <f t="shared" si="8"/>
        <v>35</v>
      </c>
    </row>
    <row r="277" spans="1:9" x14ac:dyDescent="0.35">
      <c r="A277" s="117">
        <v>45554</v>
      </c>
      <c r="B277" s="118" t="s">
        <v>422</v>
      </c>
      <c r="C277" s="118" t="s">
        <v>319</v>
      </c>
      <c r="D277" s="118" t="s">
        <v>333</v>
      </c>
      <c r="E277" s="118" t="s">
        <v>350</v>
      </c>
      <c r="F277" s="119">
        <v>26</v>
      </c>
      <c r="G277" s="120">
        <v>24</v>
      </c>
      <c r="H277" s="121">
        <f t="shared" si="9"/>
        <v>650</v>
      </c>
      <c r="I277" s="122">
        <f t="shared" si="8"/>
        <v>32.5</v>
      </c>
    </row>
    <row r="278" spans="1:9" x14ac:dyDescent="0.35">
      <c r="A278" s="117">
        <v>45555</v>
      </c>
      <c r="B278" s="118" t="s">
        <v>422</v>
      </c>
      <c r="C278" s="118" t="s">
        <v>314</v>
      </c>
      <c r="D278" s="118" t="s">
        <v>324</v>
      </c>
      <c r="E278" s="118" t="s">
        <v>349</v>
      </c>
      <c r="F278" s="119">
        <v>52</v>
      </c>
      <c r="G278" s="120">
        <v>24</v>
      </c>
      <c r="H278" s="121">
        <f t="shared" si="9"/>
        <v>1404</v>
      </c>
      <c r="I278" s="122">
        <f t="shared" si="8"/>
        <v>70.2</v>
      </c>
    </row>
    <row r="279" spans="1:9" x14ac:dyDescent="0.35">
      <c r="A279" s="117">
        <v>45555</v>
      </c>
      <c r="B279" s="118" t="s">
        <v>318</v>
      </c>
      <c r="C279" s="118" t="s">
        <v>393</v>
      </c>
      <c r="D279" s="118" t="s">
        <v>390</v>
      </c>
      <c r="E279" s="118" t="s">
        <v>316</v>
      </c>
      <c r="F279" s="119">
        <v>30</v>
      </c>
      <c r="G279" s="120">
        <v>4</v>
      </c>
      <c r="H279" s="121">
        <f t="shared" si="9"/>
        <v>180</v>
      </c>
      <c r="I279" s="122">
        <f t="shared" si="8"/>
        <v>9</v>
      </c>
    </row>
    <row r="280" spans="1:9" x14ac:dyDescent="0.35">
      <c r="A280" s="117">
        <v>45556</v>
      </c>
      <c r="B280" s="118" t="s">
        <v>322</v>
      </c>
      <c r="C280" s="118" t="s">
        <v>314</v>
      </c>
      <c r="D280" s="118" t="s">
        <v>315</v>
      </c>
      <c r="E280" s="118" t="s">
        <v>395</v>
      </c>
      <c r="F280" s="119">
        <v>41</v>
      </c>
      <c r="G280" s="120">
        <v>17</v>
      </c>
      <c r="H280" s="121">
        <f t="shared" si="9"/>
        <v>820</v>
      </c>
      <c r="I280" s="122">
        <f t="shared" si="8"/>
        <v>41</v>
      </c>
    </row>
    <row r="281" spans="1:9" x14ac:dyDescent="0.35">
      <c r="A281" s="117">
        <v>45556</v>
      </c>
      <c r="B281" s="118" t="s">
        <v>313</v>
      </c>
      <c r="C281" s="118" t="s">
        <v>314</v>
      </c>
      <c r="D281" s="118" t="s">
        <v>320</v>
      </c>
      <c r="E281" s="118" t="s">
        <v>400</v>
      </c>
      <c r="F281" s="119">
        <v>34</v>
      </c>
      <c r="G281" s="120">
        <v>13</v>
      </c>
      <c r="H281" s="121">
        <f t="shared" si="9"/>
        <v>544</v>
      </c>
      <c r="I281" s="122">
        <f t="shared" si="8"/>
        <v>32.64</v>
      </c>
    </row>
    <row r="282" spans="1:9" x14ac:dyDescent="0.35">
      <c r="A282" s="117">
        <v>45556</v>
      </c>
      <c r="B282" s="118" t="s">
        <v>327</v>
      </c>
      <c r="C282" s="118" t="s">
        <v>393</v>
      </c>
      <c r="D282" s="118" t="s">
        <v>315</v>
      </c>
      <c r="E282" s="118" t="s">
        <v>405</v>
      </c>
      <c r="F282" s="119">
        <v>30</v>
      </c>
      <c r="G282" s="120">
        <v>6</v>
      </c>
      <c r="H282" s="121">
        <f t="shared" si="9"/>
        <v>240</v>
      </c>
      <c r="I282" s="122">
        <f t="shared" si="8"/>
        <v>12</v>
      </c>
    </row>
    <row r="283" spans="1:9" x14ac:dyDescent="0.35">
      <c r="A283" s="117">
        <v>45557</v>
      </c>
      <c r="B283" s="118" t="s">
        <v>313</v>
      </c>
      <c r="C283" s="118" t="s">
        <v>314</v>
      </c>
      <c r="D283" s="118" t="s">
        <v>315</v>
      </c>
      <c r="E283" s="118" t="s">
        <v>341</v>
      </c>
      <c r="F283" s="119">
        <v>22</v>
      </c>
      <c r="G283" s="120">
        <v>13</v>
      </c>
      <c r="H283" s="121">
        <f t="shared" si="9"/>
        <v>352</v>
      </c>
      <c r="I283" s="122">
        <f t="shared" si="8"/>
        <v>17.600000000000001</v>
      </c>
    </row>
    <row r="284" spans="1:9" x14ac:dyDescent="0.35">
      <c r="A284" s="117">
        <v>45557</v>
      </c>
      <c r="B284" s="118" t="s">
        <v>422</v>
      </c>
      <c r="C284" s="118" t="s">
        <v>314</v>
      </c>
      <c r="D284" s="118" t="s">
        <v>320</v>
      </c>
      <c r="E284" s="118" t="s">
        <v>395</v>
      </c>
      <c r="F284" s="119">
        <v>29</v>
      </c>
      <c r="G284" s="120">
        <v>24</v>
      </c>
      <c r="H284" s="121">
        <f t="shared" si="9"/>
        <v>783</v>
      </c>
      <c r="I284" s="122">
        <f t="shared" si="8"/>
        <v>46.98</v>
      </c>
    </row>
    <row r="285" spans="1:9" x14ac:dyDescent="0.35">
      <c r="A285" s="117">
        <v>45557</v>
      </c>
      <c r="B285" s="118" t="s">
        <v>327</v>
      </c>
      <c r="C285" s="118" t="s">
        <v>393</v>
      </c>
      <c r="D285" s="118" t="s">
        <v>333</v>
      </c>
      <c r="E285" s="118" t="s">
        <v>329</v>
      </c>
      <c r="F285" s="119">
        <v>39</v>
      </c>
      <c r="G285" s="120">
        <v>6</v>
      </c>
      <c r="H285" s="121">
        <f t="shared" si="9"/>
        <v>312</v>
      </c>
      <c r="I285" s="122">
        <f t="shared" si="8"/>
        <v>15.600000000000001</v>
      </c>
    </row>
    <row r="286" spans="1:9" x14ac:dyDescent="0.35">
      <c r="A286" s="117">
        <v>45557</v>
      </c>
      <c r="B286" s="118" t="s">
        <v>322</v>
      </c>
      <c r="C286" s="118" t="s">
        <v>393</v>
      </c>
      <c r="D286" s="118" t="s">
        <v>324</v>
      </c>
      <c r="E286" s="118" t="s">
        <v>394</v>
      </c>
      <c r="F286" s="119">
        <v>40</v>
      </c>
      <c r="G286" s="120">
        <v>17</v>
      </c>
      <c r="H286" s="121">
        <f t="shared" si="9"/>
        <v>760</v>
      </c>
      <c r="I286" s="122">
        <f t="shared" si="8"/>
        <v>38</v>
      </c>
    </row>
    <row r="287" spans="1:9" x14ac:dyDescent="0.35">
      <c r="A287" s="117">
        <v>45557</v>
      </c>
      <c r="B287" s="118" t="s">
        <v>318</v>
      </c>
      <c r="C287" s="118" t="s">
        <v>332</v>
      </c>
      <c r="D287" s="118" t="s">
        <v>423</v>
      </c>
      <c r="E287" s="118" t="s">
        <v>343</v>
      </c>
      <c r="F287" s="119">
        <v>17</v>
      </c>
      <c r="G287" s="120">
        <v>4</v>
      </c>
      <c r="H287" s="121">
        <f t="shared" si="9"/>
        <v>136</v>
      </c>
      <c r="I287" s="122">
        <f t="shared" si="8"/>
        <v>8.16</v>
      </c>
    </row>
    <row r="288" spans="1:9" x14ac:dyDescent="0.35">
      <c r="A288" s="117">
        <v>45558</v>
      </c>
      <c r="B288" s="118" t="s">
        <v>327</v>
      </c>
      <c r="C288" s="118" t="s">
        <v>314</v>
      </c>
      <c r="D288" s="118" t="s">
        <v>333</v>
      </c>
      <c r="E288" s="118" t="s">
        <v>406</v>
      </c>
      <c r="F288" s="119">
        <v>20</v>
      </c>
      <c r="G288" s="120">
        <v>6</v>
      </c>
      <c r="H288" s="121">
        <f t="shared" si="9"/>
        <v>180</v>
      </c>
      <c r="I288" s="122">
        <f t="shared" si="8"/>
        <v>9</v>
      </c>
    </row>
    <row r="289" spans="1:9" x14ac:dyDescent="0.35">
      <c r="A289" s="117">
        <v>45558</v>
      </c>
      <c r="B289" s="118" t="s">
        <v>327</v>
      </c>
      <c r="C289" s="118" t="s">
        <v>319</v>
      </c>
      <c r="D289" s="118" t="s">
        <v>320</v>
      </c>
      <c r="E289" s="118" t="s">
        <v>341</v>
      </c>
      <c r="F289" s="119">
        <v>12</v>
      </c>
      <c r="G289" s="120">
        <v>6</v>
      </c>
      <c r="H289" s="121">
        <f t="shared" si="9"/>
        <v>84</v>
      </c>
      <c r="I289" s="122">
        <f t="shared" si="8"/>
        <v>5.04</v>
      </c>
    </row>
    <row r="290" spans="1:9" x14ac:dyDescent="0.35">
      <c r="A290" s="117">
        <v>45558</v>
      </c>
      <c r="B290" s="118" t="s">
        <v>422</v>
      </c>
      <c r="C290" s="118" t="s">
        <v>319</v>
      </c>
      <c r="D290" s="118" t="s">
        <v>320</v>
      </c>
      <c r="E290" s="118" t="s">
        <v>400</v>
      </c>
      <c r="F290" s="119">
        <v>26</v>
      </c>
      <c r="G290" s="120">
        <v>24</v>
      </c>
      <c r="H290" s="121">
        <f t="shared" si="9"/>
        <v>650</v>
      </c>
      <c r="I290" s="122">
        <f t="shared" si="8"/>
        <v>39</v>
      </c>
    </row>
    <row r="291" spans="1:9" x14ac:dyDescent="0.35">
      <c r="A291" s="117">
        <v>45559</v>
      </c>
      <c r="B291" s="118" t="s">
        <v>422</v>
      </c>
      <c r="C291" s="118" t="s">
        <v>393</v>
      </c>
      <c r="D291" s="118" t="s">
        <v>315</v>
      </c>
      <c r="E291" s="118" t="s">
        <v>388</v>
      </c>
      <c r="F291" s="119">
        <v>11</v>
      </c>
      <c r="G291" s="120">
        <v>24</v>
      </c>
      <c r="H291" s="121">
        <f t="shared" si="9"/>
        <v>286</v>
      </c>
      <c r="I291" s="122">
        <f t="shared" si="8"/>
        <v>14.3</v>
      </c>
    </row>
    <row r="292" spans="1:9" x14ac:dyDescent="0.35">
      <c r="A292" s="117">
        <v>45559</v>
      </c>
      <c r="B292" s="118" t="s">
        <v>313</v>
      </c>
      <c r="C292" s="118" t="s">
        <v>393</v>
      </c>
      <c r="D292" s="118" t="s">
        <v>333</v>
      </c>
      <c r="E292" s="118" t="s">
        <v>395</v>
      </c>
      <c r="F292" s="119">
        <v>39</v>
      </c>
      <c r="G292" s="120">
        <v>13</v>
      </c>
      <c r="H292" s="121">
        <f t="shared" si="9"/>
        <v>585</v>
      </c>
      <c r="I292" s="122">
        <f t="shared" si="8"/>
        <v>29.25</v>
      </c>
    </row>
    <row r="293" spans="1:9" x14ac:dyDescent="0.35">
      <c r="A293" s="117">
        <v>45559</v>
      </c>
      <c r="B293" s="118" t="s">
        <v>422</v>
      </c>
      <c r="C293" s="118" t="s">
        <v>314</v>
      </c>
      <c r="D293" s="118" t="s">
        <v>320</v>
      </c>
      <c r="E293" s="118" t="s">
        <v>339</v>
      </c>
      <c r="F293" s="119">
        <v>63</v>
      </c>
      <c r="G293" s="120">
        <v>24</v>
      </c>
      <c r="H293" s="121">
        <f t="shared" si="9"/>
        <v>1701</v>
      </c>
      <c r="I293" s="122">
        <f t="shared" si="8"/>
        <v>102.06</v>
      </c>
    </row>
    <row r="294" spans="1:9" x14ac:dyDescent="0.35">
      <c r="A294" s="117">
        <v>45559</v>
      </c>
      <c r="B294" s="118" t="s">
        <v>422</v>
      </c>
      <c r="C294" s="118" t="s">
        <v>393</v>
      </c>
      <c r="D294" s="118" t="s">
        <v>315</v>
      </c>
      <c r="E294" s="118" t="s">
        <v>331</v>
      </c>
      <c r="F294" s="119">
        <v>65</v>
      </c>
      <c r="G294" s="120">
        <v>24</v>
      </c>
      <c r="H294" s="121">
        <f t="shared" si="9"/>
        <v>1690</v>
      </c>
      <c r="I294" s="122">
        <f t="shared" si="8"/>
        <v>84.5</v>
      </c>
    </row>
    <row r="295" spans="1:9" x14ac:dyDescent="0.35">
      <c r="A295" s="117">
        <v>45559</v>
      </c>
      <c r="B295" s="118" t="s">
        <v>318</v>
      </c>
      <c r="C295" s="118" t="s">
        <v>314</v>
      </c>
      <c r="D295" s="118" t="s">
        <v>333</v>
      </c>
      <c r="E295" s="118" t="s">
        <v>394</v>
      </c>
      <c r="F295" s="119">
        <v>34</v>
      </c>
      <c r="G295" s="120">
        <v>4</v>
      </c>
      <c r="H295" s="121">
        <f t="shared" si="9"/>
        <v>238</v>
      </c>
      <c r="I295" s="122">
        <f t="shared" si="8"/>
        <v>11.9</v>
      </c>
    </row>
    <row r="296" spans="1:9" x14ac:dyDescent="0.35">
      <c r="A296" s="117">
        <v>45560</v>
      </c>
      <c r="B296" s="118" t="s">
        <v>322</v>
      </c>
      <c r="C296" s="118" t="s">
        <v>332</v>
      </c>
      <c r="D296" s="118" t="s">
        <v>333</v>
      </c>
      <c r="E296" s="118" t="s">
        <v>350</v>
      </c>
      <c r="F296" s="119">
        <v>23</v>
      </c>
      <c r="G296" s="120">
        <v>17</v>
      </c>
      <c r="H296" s="121">
        <f t="shared" si="9"/>
        <v>483</v>
      </c>
      <c r="I296" s="122">
        <f t="shared" si="8"/>
        <v>24.150000000000002</v>
      </c>
    </row>
    <row r="297" spans="1:9" x14ac:dyDescent="0.35">
      <c r="A297" s="117">
        <v>45561</v>
      </c>
      <c r="B297" s="118" t="s">
        <v>322</v>
      </c>
      <c r="C297" s="118" t="s">
        <v>319</v>
      </c>
      <c r="D297" s="118" t="s">
        <v>315</v>
      </c>
      <c r="E297" s="118" t="s">
        <v>342</v>
      </c>
      <c r="F297" s="119">
        <v>16</v>
      </c>
      <c r="G297" s="120">
        <v>17</v>
      </c>
      <c r="H297" s="121">
        <f t="shared" si="9"/>
        <v>288</v>
      </c>
      <c r="I297" s="122">
        <f t="shared" si="8"/>
        <v>14.4</v>
      </c>
    </row>
    <row r="298" spans="1:9" x14ac:dyDescent="0.35">
      <c r="A298" s="117">
        <v>45561</v>
      </c>
      <c r="B298" s="118" t="s">
        <v>318</v>
      </c>
      <c r="C298" s="118" t="s">
        <v>332</v>
      </c>
      <c r="D298" s="118" t="s">
        <v>333</v>
      </c>
      <c r="E298" s="118" t="s">
        <v>388</v>
      </c>
      <c r="F298" s="119">
        <v>60</v>
      </c>
      <c r="G298" s="120">
        <v>4</v>
      </c>
      <c r="H298" s="121">
        <f t="shared" si="9"/>
        <v>480</v>
      </c>
      <c r="I298" s="122">
        <f t="shared" si="8"/>
        <v>24</v>
      </c>
    </row>
    <row r="299" spans="1:9" x14ac:dyDescent="0.35">
      <c r="A299" s="117">
        <v>45561</v>
      </c>
      <c r="B299" s="118" t="s">
        <v>313</v>
      </c>
      <c r="C299" s="118" t="s">
        <v>332</v>
      </c>
      <c r="D299" s="118" t="s">
        <v>333</v>
      </c>
      <c r="E299" s="118" t="s">
        <v>344</v>
      </c>
      <c r="F299" s="119">
        <v>29</v>
      </c>
      <c r="G299" s="120">
        <v>13</v>
      </c>
      <c r="H299" s="121">
        <f t="shared" si="9"/>
        <v>493</v>
      </c>
      <c r="I299" s="122">
        <f t="shared" si="8"/>
        <v>24.650000000000002</v>
      </c>
    </row>
    <row r="300" spans="1:9" x14ac:dyDescent="0.35">
      <c r="A300" s="117">
        <v>45561</v>
      </c>
      <c r="B300" s="118" t="s">
        <v>327</v>
      </c>
      <c r="C300" s="118" t="s">
        <v>314</v>
      </c>
      <c r="D300" s="118" t="s">
        <v>324</v>
      </c>
      <c r="E300" s="118" t="s">
        <v>343</v>
      </c>
      <c r="F300" s="119">
        <v>15</v>
      </c>
      <c r="G300" s="120">
        <v>6</v>
      </c>
      <c r="H300" s="121">
        <f t="shared" si="9"/>
        <v>135</v>
      </c>
      <c r="I300" s="122">
        <f t="shared" si="8"/>
        <v>6.75</v>
      </c>
    </row>
    <row r="301" spans="1:9" x14ac:dyDescent="0.35">
      <c r="A301" s="117">
        <v>45561</v>
      </c>
      <c r="B301" s="118" t="s">
        <v>327</v>
      </c>
      <c r="C301" s="118" t="s">
        <v>332</v>
      </c>
      <c r="D301" s="118" t="s">
        <v>320</v>
      </c>
      <c r="E301" s="118" t="s">
        <v>335</v>
      </c>
      <c r="F301" s="119">
        <v>49</v>
      </c>
      <c r="G301" s="120">
        <v>6</v>
      </c>
      <c r="H301" s="121">
        <f t="shared" si="9"/>
        <v>490</v>
      </c>
      <c r="I301" s="122">
        <f t="shared" si="8"/>
        <v>29.4</v>
      </c>
    </row>
    <row r="302" spans="1:9" x14ac:dyDescent="0.35">
      <c r="A302" s="117">
        <v>45562</v>
      </c>
      <c r="B302" s="118" t="s">
        <v>422</v>
      </c>
      <c r="C302" s="118" t="s">
        <v>393</v>
      </c>
      <c r="D302" s="118" t="s">
        <v>333</v>
      </c>
      <c r="E302" s="118" t="s">
        <v>406</v>
      </c>
      <c r="F302" s="119">
        <v>44</v>
      </c>
      <c r="G302" s="120">
        <v>24</v>
      </c>
      <c r="H302" s="121">
        <f t="shared" si="9"/>
        <v>1144</v>
      </c>
      <c r="I302" s="122">
        <f t="shared" si="8"/>
        <v>57.2</v>
      </c>
    </row>
    <row r="303" spans="1:9" x14ac:dyDescent="0.35">
      <c r="A303" s="117">
        <v>45562</v>
      </c>
      <c r="B303" s="118" t="s">
        <v>327</v>
      </c>
      <c r="C303" s="118" t="s">
        <v>314</v>
      </c>
      <c r="D303" s="118" t="s">
        <v>423</v>
      </c>
      <c r="E303" s="118" t="s">
        <v>340</v>
      </c>
      <c r="F303" s="119">
        <v>55</v>
      </c>
      <c r="G303" s="120">
        <v>6</v>
      </c>
      <c r="H303" s="121">
        <f t="shared" si="9"/>
        <v>495</v>
      </c>
      <c r="I303" s="122">
        <f t="shared" si="8"/>
        <v>29.7</v>
      </c>
    </row>
    <row r="304" spans="1:9" x14ac:dyDescent="0.35">
      <c r="A304" s="117">
        <v>45562</v>
      </c>
      <c r="B304" s="118" t="s">
        <v>318</v>
      </c>
      <c r="C304" s="118" t="s">
        <v>393</v>
      </c>
      <c r="D304" s="118" t="s">
        <v>423</v>
      </c>
      <c r="E304" s="118" t="s">
        <v>400</v>
      </c>
      <c r="F304" s="119">
        <v>12</v>
      </c>
      <c r="G304" s="120">
        <v>4</v>
      </c>
      <c r="H304" s="121">
        <f t="shared" si="9"/>
        <v>72</v>
      </c>
      <c r="I304" s="122">
        <f t="shared" si="8"/>
        <v>4.32</v>
      </c>
    </row>
    <row r="305" spans="1:9" x14ac:dyDescent="0.35">
      <c r="A305" s="117">
        <v>45562</v>
      </c>
      <c r="B305" s="118" t="s">
        <v>313</v>
      </c>
      <c r="C305" s="118" t="s">
        <v>314</v>
      </c>
      <c r="D305" s="118" t="s">
        <v>390</v>
      </c>
      <c r="E305" s="118" t="s">
        <v>394</v>
      </c>
      <c r="F305" s="119">
        <v>42</v>
      </c>
      <c r="G305" s="120">
        <v>13</v>
      </c>
      <c r="H305" s="121">
        <f t="shared" si="9"/>
        <v>672</v>
      </c>
      <c r="I305" s="122">
        <f t="shared" si="8"/>
        <v>33.6</v>
      </c>
    </row>
    <row r="306" spans="1:9" x14ac:dyDescent="0.35">
      <c r="A306" s="117">
        <v>45562</v>
      </c>
      <c r="B306" s="118" t="s">
        <v>313</v>
      </c>
      <c r="C306" s="118" t="s">
        <v>332</v>
      </c>
      <c r="D306" s="118" t="s">
        <v>315</v>
      </c>
      <c r="E306" s="118" t="s">
        <v>416</v>
      </c>
      <c r="F306" s="119">
        <v>60</v>
      </c>
      <c r="G306" s="120">
        <v>13</v>
      </c>
      <c r="H306" s="121">
        <f t="shared" si="9"/>
        <v>1020</v>
      </c>
      <c r="I306" s="122">
        <f t="shared" si="8"/>
        <v>51</v>
      </c>
    </row>
    <row r="307" spans="1:9" x14ac:dyDescent="0.35">
      <c r="A307" s="117">
        <v>45562</v>
      </c>
      <c r="B307" s="118" t="s">
        <v>318</v>
      </c>
      <c r="C307" s="118" t="s">
        <v>319</v>
      </c>
      <c r="D307" s="118" t="s">
        <v>320</v>
      </c>
      <c r="E307" s="118" t="s">
        <v>416</v>
      </c>
      <c r="F307" s="119">
        <v>40</v>
      </c>
      <c r="G307" s="120">
        <v>4</v>
      </c>
      <c r="H307" s="121">
        <f t="shared" si="9"/>
        <v>200</v>
      </c>
      <c r="I307" s="122">
        <f t="shared" si="8"/>
        <v>12</v>
      </c>
    </row>
    <row r="308" spans="1:9" x14ac:dyDescent="0.35">
      <c r="A308" s="117">
        <v>45562</v>
      </c>
      <c r="B308" s="118" t="s">
        <v>322</v>
      </c>
      <c r="C308" s="118" t="s">
        <v>332</v>
      </c>
      <c r="D308" s="118" t="s">
        <v>315</v>
      </c>
      <c r="E308" s="118" t="s">
        <v>344</v>
      </c>
      <c r="F308" s="119">
        <v>63</v>
      </c>
      <c r="G308" s="120">
        <v>17</v>
      </c>
      <c r="H308" s="121">
        <f t="shared" si="9"/>
        <v>1323</v>
      </c>
      <c r="I308" s="122">
        <f t="shared" si="8"/>
        <v>66.150000000000006</v>
      </c>
    </row>
    <row r="309" spans="1:9" x14ac:dyDescent="0.35">
      <c r="A309" s="117">
        <v>45562</v>
      </c>
      <c r="B309" s="118" t="s">
        <v>327</v>
      </c>
      <c r="C309" s="118" t="s">
        <v>314</v>
      </c>
      <c r="D309" s="118" t="s">
        <v>333</v>
      </c>
      <c r="E309" s="118" t="s">
        <v>335</v>
      </c>
      <c r="F309" s="119">
        <v>6</v>
      </c>
      <c r="G309" s="120">
        <v>6</v>
      </c>
      <c r="H309" s="121">
        <f t="shared" si="9"/>
        <v>54</v>
      </c>
      <c r="I309" s="122">
        <f t="shared" si="8"/>
        <v>2.7</v>
      </c>
    </row>
    <row r="310" spans="1:9" x14ac:dyDescent="0.35">
      <c r="A310" s="117">
        <v>45563</v>
      </c>
      <c r="B310" s="118" t="s">
        <v>318</v>
      </c>
      <c r="C310" s="118" t="s">
        <v>332</v>
      </c>
      <c r="D310" s="118" t="s">
        <v>390</v>
      </c>
      <c r="E310" s="118" t="s">
        <v>344</v>
      </c>
      <c r="F310" s="119">
        <v>60</v>
      </c>
      <c r="G310" s="120">
        <v>4</v>
      </c>
      <c r="H310" s="121">
        <f t="shared" si="9"/>
        <v>480</v>
      </c>
      <c r="I310" s="122">
        <f t="shared" si="8"/>
        <v>24</v>
      </c>
    </row>
    <row r="311" spans="1:9" x14ac:dyDescent="0.35">
      <c r="A311" s="117">
        <v>45564</v>
      </c>
      <c r="B311" s="118" t="s">
        <v>318</v>
      </c>
      <c r="C311" s="118" t="s">
        <v>314</v>
      </c>
      <c r="D311" s="118" t="s">
        <v>333</v>
      </c>
      <c r="E311" s="118" t="s">
        <v>340</v>
      </c>
      <c r="F311" s="119">
        <v>28</v>
      </c>
      <c r="G311" s="120">
        <v>4</v>
      </c>
      <c r="H311" s="121">
        <f t="shared" si="9"/>
        <v>196</v>
      </c>
      <c r="I311" s="122">
        <f t="shared" si="8"/>
        <v>9.8000000000000007</v>
      </c>
    </row>
    <row r="312" spans="1:9" x14ac:dyDescent="0.35">
      <c r="A312" s="117">
        <v>45564</v>
      </c>
      <c r="B312" s="118" t="s">
        <v>313</v>
      </c>
      <c r="C312" s="118" t="s">
        <v>332</v>
      </c>
      <c r="D312" s="118" t="s">
        <v>315</v>
      </c>
      <c r="E312" s="118" t="s">
        <v>340</v>
      </c>
      <c r="F312" s="119">
        <v>59</v>
      </c>
      <c r="G312" s="120">
        <v>13</v>
      </c>
      <c r="H312" s="121">
        <f t="shared" si="9"/>
        <v>1003</v>
      </c>
      <c r="I312" s="122">
        <f t="shared" si="8"/>
        <v>50.150000000000006</v>
      </c>
    </row>
    <row r="313" spans="1:9" x14ac:dyDescent="0.35">
      <c r="A313" s="117">
        <v>45565</v>
      </c>
      <c r="B313" s="118" t="s">
        <v>313</v>
      </c>
      <c r="C313" s="118" t="s">
        <v>393</v>
      </c>
      <c r="D313" s="118" t="s">
        <v>333</v>
      </c>
      <c r="E313" s="118" t="s">
        <v>455</v>
      </c>
      <c r="F313" s="119">
        <v>21</v>
      </c>
      <c r="G313" s="120">
        <v>13</v>
      </c>
      <c r="H313" s="121">
        <f t="shared" si="9"/>
        <v>315</v>
      </c>
      <c r="I313" s="122">
        <f t="shared" si="8"/>
        <v>15.75</v>
      </c>
    </row>
    <row r="314" spans="1:9" x14ac:dyDescent="0.35">
      <c r="A314" s="117">
        <v>45565</v>
      </c>
      <c r="B314" s="118" t="s">
        <v>322</v>
      </c>
      <c r="C314" s="118" t="s">
        <v>314</v>
      </c>
      <c r="D314" s="118" t="s">
        <v>423</v>
      </c>
      <c r="E314" s="118" t="s">
        <v>340</v>
      </c>
      <c r="F314" s="119">
        <v>28</v>
      </c>
      <c r="G314" s="120">
        <v>17</v>
      </c>
      <c r="H314" s="121">
        <f t="shared" si="9"/>
        <v>560</v>
      </c>
      <c r="I314" s="122">
        <f t="shared" si="8"/>
        <v>33.6</v>
      </c>
    </row>
    <row r="315" spans="1:9" x14ac:dyDescent="0.35">
      <c r="A315" s="117">
        <v>45565</v>
      </c>
      <c r="B315" s="118" t="s">
        <v>322</v>
      </c>
      <c r="C315" s="118" t="s">
        <v>314</v>
      </c>
      <c r="D315" s="118" t="s">
        <v>423</v>
      </c>
      <c r="E315" s="118" t="s">
        <v>331</v>
      </c>
      <c r="F315" s="119">
        <v>15</v>
      </c>
      <c r="G315" s="120">
        <v>17</v>
      </c>
      <c r="H315" s="121">
        <f t="shared" si="9"/>
        <v>300</v>
      </c>
      <c r="I315" s="122">
        <f t="shared" si="8"/>
        <v>18</v>
      </c>
    </row>
    <row r="316" spans="1:9" x14ac:dyDescent="0.35">
      <c r="A316" s="117">
        <v>45566</v>
      </c>
      <c r="B316" s="118" t="s">
        <v>422</v>
      </c>
      <c r="C316" s="118" t="s">
        <v>319</v>
      </c>
      <c r="D316" s="118" t="s">
        <v>338</v>
      </c>
      <c r="E316" s="118" t="s">
        <v>329</v>
      </c>
      <c r="F316" s="119">
        <v>42</v>
      </c>
      <c r="G316" s="120">
        <v>24</v>
      </c>
      <c r="H316" s="121">
        <f t="shared" si="9"/>
        <v>1050</v>
      </c>
      <c r="I316" s="122">
        <f t="shared" si="8"/>
        <v>63</v>
      </c>
    </row>
    <row r="317" spans="1:9" x14ac:dyDescent="0.35">
      <c r="A317" s="117">
        <v>45566</v>
      </c>
      <c r="B317" s="118" t="s">
        <v>313</v>
      </c>
      <c r="C317" s="118" t="s">
        <v>314</v>
      </c>
      <c r="D317" s="118" t="s">
        <v>423</v>
      </c>
      <c r="E317" s="118" t="s">
        <v>316</v>
      </c>
      <c r="F317" s="119">
        <v>23</v>
      </c>
      <c r="G317" s="120">
        <v>13</v>
      </c>
      <c r="H317" s="121">
        <f t="shared" si="9"/>
        <v>368</v>
      </c>
      <c r="I317" s="122">
        <f t="shared" si="8"/>
        <v>22.08</v>
      </c>
    </row>
    <row r="318" spans="1:9" x14ac:dyDescent="0.35">
      <c r="A318" s="117">
        <v>45567</v>
      </c>
      <c r="B318" s="118" t="s">
        <v>318</v>
      </c>
      <c r="C318" s="118" t="s">
        <v>319</v>
      </c>
      <c r="D318" s="118" t="s">
        <v>338</v>
      </c>
      <c r="E318" s="118" t="s">
        <v>388</v>
      </c>
      <c r="F318" s="119">
        <v>41</v>
      </c>
      <c r="G318" s="120">
        <v>4</v>
      </c>
      <c r="H318" s="121">
        <f t="shared" si="9"/>
        <v>205</v>
      </c>
      <c r="I318" s="122">
        <f t="shared" si="8"/>
        <v>12.299999999999999</v>
      </c>
    </row>
    <row r="319" spans="1:9" x14ac:dyDescent="0.35">
      <c r="A319" s="117">
        <v>45567</v>
      </c>
      <c r="B319" s="118" t="s">
        <v>422</v>
      </c>
      <c r="C319" s="118" t="s">
        <v>332</v>
      </c>
      <c r="D319" s="118" t="s">
        <v>390</v>
      </c>
      <c r="E319" s="118" t="s">
        <v>344</v>
      </c>
      <c r="F319" s="119">
        <v>63</v>
      </c>
      <c r="G319" s="120">
        <v>24</v>
      </c>
      <c r="H319" s="121">
        <f t="shared" si="9"/>
        <v>1764</v>
      </c>
      <c r="I319" s="122">
        <f t="shared" si="8"/>
        <v>88.2</v>
      </c>
    </row>
    <row r="320" spans="1:9" x14ac:dyDescent="0.35">
      <c r="A320" s="117">
        <v>45567</v>
      </c>
      <c r="B320" s="118" t="s">
        <v>422</v>
      </c>
      <c r="C320" s="118" t="s">
        <v>314</v>
      </c>
      <c r="D320" s="118" t="s">
        <v>338</v>
      </c>
      <c r="E320" s="118" t="s">
        <v>343</v>
      </c>
      <c r="F320" s="119">
        <v>22</v>
      </c>
      <c r="G320" s="120">
        <v>24</v>
      </c>
      <c r="H320" s="121">
        <f t="shared" si="9"/>
        <v>594</v>
      </c>
      <c r="I320" s="122">
        <f t="shared" si="8"/>
        <v>35.64</v>
      </c>
    </row>
    <row r="321" spans="1:9" x14ac:dyDescent="0.35">
      <c r="A321" s="117">
        <v>45567</v>
      </c>
      <c r="B321" s="118" t="s">
        <v>313</v>
      </c>
      <c r="C321" s="118" t="s">
        <v>314</v>
      </c>
      <c r="D321" s="118" t="s">
        <v>423</v>
      </c>
      <c r="E321" s="118" t="s">
        <v>405</v>
      </c>
      <c r="F321" s="119">
        <v>7</v>
      </c>
      <c r="G321" s="120">
        <v>13</v>
      </c>
      <c r="H321" s="121">
        <f t="shared" si="9"/>
        <v>112</v>
      </c>
      <c r="I321" s="122">
        <f t="shared" si="8"/>
        <v>6.72</v>
      </c>
    </row>
    <row r="322" spans="1:9" x14ac:dyDescent="0.35">
      <c r="A322" s="117">
        <v>45568</v>
      </c>
      <c r="B322" s="118" t="s">
        <v>313</v>
      </c>
      <c r="C322" s="118" t="s">
        <v>319</v>
      </c>
      <c r="D322" s="118" t="s">
        <v>333</v>
      </c>
      <c r="E322" s="118" t="s">
        <v>406</v>
      </c>
      <c r="F322" s="119">
        <v>39</v>
      </c>
      <c r="G322" s="120">
        <v>13</v>
      </c>
      <c r="H322" s="121">
        <f t="shared" si="9"/>
        <v>546</v>
      </c>
      <c r="I322" s="122">
        <f t="shared" ref="I322:I385" si="10">H322*VLOOKUP(D322,$O$4:$P$10,2,TRUE)</f>
        <v>27.3</v>
      </c>
    </row>
    <row r="323" spans="1:9" x14ac:dyDescent="0.35">
      <c r="A323" s="117">
        <v>45568</v>
      </c>
      <c r="B323" s="118" t="s">
        <v>422</v>
      </c>
      <c r="C323" s="118" t="s">
        <v>319</v>
      </c>
      <c r="D323" s="118" t="s">
        <v>390</v>
      </c>
      <c r="E323" s="118" t="s">
        <v>339</v>
      </c>
      <c r="F323" s="119">
        <v>58</v>
      </c>
      <c r="G323" s="120">
        <v>24</v>
      </c>
      <c r="H323" s="121">
        <f t="shared" ref="H323:H386" si="11">(F323*G323)+VLOOKUP(C323,$K$11:$L$14,2,FALSE)*F323</f>
        <v>1450</v>
      </c>
      <c r="I323" s="122">
        <f t="shared" si="10"/>
        <v>72.5</v>
      </c>
    </row>
    <row r="324" spans="1:9" x14ac:dyDescent="0.35">
      <c r="A324" s="117">
        <v>45568</v>
      </c>
      <c r="B324" s="118" t="s">
        <v>322</v>
      </c>
      <c r="C324" s="118" t="s">
        <v>314</v>
      </c>
      <c r="D324" s="118" t="s">
        <v>320</v>
      </c>
      <c r="E324" s="118" t="s">
        <v>394</v>
      </c>
      <c r="F324" s="119">
        <v>19</v>
      </c>
      <c r="G324" s="120">
        <v>17</v>
      </c>
      <c r="H324" s="121">
        <f t="shared" si="11"/>
        <v>380</v>
      </c>
      <c r="I324" s="122">
        <f t="shared" si="10"/>
        <v>22.8</v>
      </c>
    </row>
    <row r="325" spans="1:9" x14ac:dyDescent="0.35">
      <c r="A325" s="117">
        <v>45568</v>
      </c>
      <c r="B325" s="118" t="s">
        <v>322</v>
      </c>
      <c r="C325" s="118" t="s">
        <v>332</v>
      </c>
      <c r="D325" s="118" t="s">
        <v>324</v>
      </c>
      <c r="E325" s="118" t="s">
        <v>416</v>
      </c>
      <c r="F325" s="119">
        <v>43</v>
      </c>
      <c r="G325" s="120">
        <v>17</v>
      </c>
      <c r="H325" s="121">
        <f t="shared" si="11"/>
        <v>903</v>
      </c>
      <c r="I325" s="122">
        <f t="shared" si="10"/>
        <v>45.150000000000006</v>
      </c>
    </row>
    <row r="326" spans="1:9" x14ac:dyDescent="0.35">
      <c r="A326" s="117">
        <v>45569</v>
      </c>
      <c r="B326" s="118" t="s">
        <v>422</v>
      </c>
      <c r="C326" s="118" t="s">
        <v>314</v>
      </c>
      <c r="D326" s="118" t="s">
        <v>390</v>
      </c>
      <c r="E326" s="118" t="s">
        <v>341</v>
      </c>
      <c r="F326" s="119">
        <v>15</v>
      </c>
      <c r="G326" s="120">
        <v>24</v>
      </c>
      <c r="H326" s="121">
        <f t="shared" si="11"/>
        <v>405</v>
      </c>
      <c r="I326" s="122">
        <f t="shared" si="10"/>
        <v>20.25</v>
      </c>
    </row>
    <row r="327" spans="1:9" x14ac:dyDescent="0.35">
      <c r="A327" s="117">
        <v>45569</v>
      </c>
      <c r="B327" s="118" t="s">
        <v>313</v>
      </c>
      <c r="C327" s="118" t="s">
        <v>332</v>
      </c>
      <c r="D327" s="118" t="s">
        <v>390</v>
      </c>
      <c r="E327" s="118" t="s">
        <v>341</v>
      </c>
      <c r="F327" s="119">
        <v>16</v>
      </c>
      <c r="G327" s="120">
        <v>13</v>
      </c>
      <c r="H327" s="121">
        <f t="shared" si="11"/>
        <v>272</v>
      </c>
      <c r="I327" s="122">
        <f t="shared" si="10"/>
        <v>13.600000000000001</v>
      </c>
    </row>
    <row r="328" spans="1:9" x14ac:dyDescent="0.35">
      <c r="A328" s="117">
        <v>45569</v>
      </c>
      <c r="B328" s="118" t="s">
        <v>318</v>
      </c>
      <c r="C328" s="118" t="s">
        <v>319</v>
      </c>
      <c r="D328" s="118" t="s">
        <v>324</v>
      </c>
      <c r="E328" s="118" t="s">
        <v>339</v>
      </c>
      <c r="F328" s="119">
        <v>35</v>
      </c>
      <c r="G328" s="120">
        <v>4</v>
      </c>
      <c r="H328" s="121">
        <f t="shared" si="11"/>
        <v>175</v>
      </c>
      <c r="I328" s="122">
        <f t="shared" si="10"/>
        <v>8.75</v>
      </c>
    </row>
    <row r="329" spans="1:9" x14ac:dyDescent="0.35">
      <c r="A329" s="117">
        <v>45569</v>
      </c>
      <c r="B329" s="118" t="s">
        <v>327</v>
      </c>
      <c r="C329" s="118" t="s">
        <v>314</v>
      </c>
      <c r="D329" s="118" t="s">
        <v>320</v>
      </c>
      <c r="E329" s="118" t="s">
        <v>400</v>
      </c>
      <c r="F329" s="119">
        <v>16</v>
      </c>
      <c r="G329" s="120">
        <v>6</v>
      </c>
      <c r="H329" s="121">
        <f t="shared" si="11"/>
        <v>144</v>
      </c>
      <c r="I329" s="122">
        <f t="shared" si="10"/>
        <v>8.64</v>
      </c>
    </row>
    <row r="330" spans="1:9" x14ac:dyDescent="0.35">
      <c r="A330" s="117">
        <v>45569</v>
      </c>
      <c r="B330" s="118" t="s">
        <v>318</v>
      </c>
      <c r="C330" s="118" t="s">
        <v>393</v>
      </c>
      <c r="D330" s="118" t="s">
        <v>315</v>
      </c>
      <c r="E330" s="118" t="s">
        <v>344</v>
      </c>
      <c r="F330" s="119">
        <v>22</v>
      </c>
      <c r="G330" s="120">
        <v>4</v>
      </c>
      <c r="H330" s="121">
        <f t="shared" si="11"/>
        <v>132</v>
      </c>
      <c r="I330" s="122">
        <f t="shared" si="10"/>
        <v>6.6000000000000005</v>
      </c>
    </row>
    <row r="331" spans="1:9" x14ac:dyDescent="0.35">
      <c r="A331" s="117">
        <v>45570</v>
      </c>
      <c r="B331" s="118" t="s">
        <v>322</v>
      </c>
      <c r="C331" s="118" t="s">
        <v>319</v>
      </c>
      <c r="D331" s="118" t="s">
        <v>315</v>
      </c>
      <c r="E331" s="118" t="s">
        <v>347</v>
      </c>
      <c r="F331" s="119">
        <v>19</v>
      </c>
      <c r="G331" s="120">
        <v>17</v>
      </c>
      <c r="H331" s="121">
        <f t="shared" si="11"/>
        <v>342</v>
      </c>
      <c r="I331" s="122">
        <f t="shared" si="10"/>
        <v>17.100000000000001</v>
      </c>
    </row>
    <row r="332" spans="1:9" x14ac:dyDescent="0.35">
      <c r="A332" s="117">
        <v>45570</v>
      </c>
      <c r="B332" s="118" t="s">
        <v>322</v>
      </c>
      <c r="C332" s="118" t="s">
        <v>314</v>
      </c>
      <c r="D332" s="118" t="s">
        <v>320</v>
      </c>
      <c r="E332" s="118" t="s">
        <v>345</v>
      </c>
      <c r="F332" s="119">
        <v>9</v>
      </c>
      <c r="G332" s="120">
        <v>17</v>
      </c>
      <c r="H332" s="121">
        <f t="shared" si="11"/>
        <v>180</v>
      </c>
      <c r="I332" s="122">
        <f t="shared" si="10"/>
        <v>10.799999999999999</v>
      </c>
    </row>
    <row r="333" spans="1:9" x14ac:dyDescent="0.35">
      <c r="A333" s="117">
        <v>45570</v>
      </c>
      <c r="B333" s="118" t="s">
        <v>327</v>
      </c>
      <c r="C333" s="118" t="s">
        <v>319</v>
      </c>
      <c r="D333" s="118" t="s">
        <v>333</v>
      </c>
      <c r="E333" s="118" t="s">
        <v>454</v>
      </c>
      <c r="F333" s="119">
        <v>53</v>
      </c>
      <c r="G333" s="120">
        <v>6</v>
      </c>
      <c r="H333" s="121">
        <f t="shared" si="11"/>
        <v>371</v>
      </c>
      <c r="I333" s="122">
        <f t="shared" si="10"/>
        <v>18.55</v>
      </c>
    </row>
    <row r="334" spans="1:9" x14ac:dyDescent="0.35">
      <c r="A334" s="117">
        <v>45572</v>
      </c>
      <c r="B334" s="118" t="s">
        <v>422</v>
      </c>
      <c r="C334" s="118" t="s">
        <v>332</v>
      </c>
      <c r="D334" s="118" t="s">
        <v>338</v>
      </c>
      <c r="E334" s="118" t="s">
        <v>340</v>
      </c>
      <c r="F334" s="119">
        <v>65</v>
      </c>
      <c r="G334" s="120">
        <v>24</v>
      </c>
      <c r="H334" s="121">
        <f t="shared" si="11"/>
        <v>1820</v>
      </c>
      <c r="I334" s="122">
        <f t="shared" si="10"/>
        <v>109.2</v>
      </c>
    </row>
    <row r="335" spans="1:9" x14ac:dyDescent="0.35">
      <c r="A335" s="117">
        <v>45572</v>
      </c>
      <c r="B335" s="118" t="s">
        <v>313</v>
      </c>
      <c r="C335" s="118" t="s">
        <v>332</v>
      </c>
      <c r="D335" s="118" t="s">
        <v>333</v>
      </c>
      <c r="E335" s="118" t="s">
        <v>454</v>
      </c>
      <c r="F335" s="119">
        <v>11</v>
      </c>
      <c r="G335" s="120">
        <v>13</v>
      </c>
      <c r="H335" s="121">
        <f t="shared" si="11"/>
        <v>187</v>
      </c>
      <c r="I335" s="122">
        <f t="shared" si="10"/>
        <v>9.35</v>
      </c>
    </row>
    <row r="336" spans="1:9" x14ac:dyDescent="0.35">
      <c r="A336" s="117">
        <v>45572</v>
      </c>
      <c r="B336" s="118" t="s">
        <v>318</v>
      </c>
      <c r="C336" s="118" t="s">
        <v>319</v>
      </c>
      <c r="D336" s="118" t="s">
        <v>333</v>
      </c>
      <c r="E336" s="118" t="s">
        <v>405</v>
      </c>
      <c r="F336" s="119">
        <v>24</v>
      </c>
      <c r="G336" s="120">
        <v>4</v>
      </c>
      <c r="H336" s="121">
        <f t="shared" si="11"/>
        <v>120</v>
      </c>
      <c r="I336" s="122">
        <f t="shared" si="10"/>
        <v>6</v>
      </c>
    </row>
    <row r="337" spans="1:9" x14ac:dyDescent="0.35">
      <c r="A337" s="117">
        <v>45572</v>
      </c>
      <c r="B337" s="118" t="s">
        <v>422</v>
      </c>
      <c r="C337" s="118" t="s">
        <v>319</v>
      </c>
      <c r="D337" s="118" t="s">
        <v>320</v>
      </c>
      <c r="E337" s="118" t="s">
        <v>350</v>
      </c>
      <c r="F337" s="119">
        <v>9</v>
      </c>
      <c r="G337" s="120">
        <v>24</v>
      </c>
      <c r="H337" s="121">
        <f t="shared" si="11"/>
        <v>225</v>
      </c>
      <c r="I337" s="122">
        <f t="shared" si="10"/>
        <v>13.5</v>
      </c>
    </row>
    <row r="338" spans="1:9" x14ac:dyDescent="0.35">
      <c r="A338" s="117">
        <v>45573</v>
      </c>
      <c r="B338" s="118" t="s">
        <v>313</v>
      </c>
      <c r="C338" s="118" t="s">
        <v>332</v>
      </c>
      <c r="D338" s="118" t="s">
        <v>390</v>
      </c>
      <c r="E338" s="118" t="s">
        <v>341</v>
      </c>
      <c r="F338" s="119">
        <v>28</v>
      </c>
      <c r="G338" s="120">
        <v>13</v>
      </c>
      <c r="H338" s="121">
        <f t="shared" si="11"/>
        <v>476</v>
      </c>
      <c r="I338" s="122">
        <f t="shared" si="10"/>
        <v>23.8</v>
      </c>
    </row>
    <row r="339" spans="1:9" x14ac:dyDescent="0.35">
      <c r="A339" s="117">
        <v>45573</v>
      </c>
      <c r="B339" s="118" t="s">
        <v>327</v>
      </c>
      <c r="C339" s="118" t="s">
        <v>332</v>
      </c>
      <c r="D339" s="118" t="s">
        <v>423</v>
      </c>
      <c r="E339" s="118" t="s">
        <v>339</v>
      </c>
      <c r="F339" s="119">
        <v>18</v>
      </c>
      <c r="G339" s="120">
        <v>6</v>
      </c>
      <c r="H339" s="121">
        <f t="shared" si="11"/>
        <v>180</v>
      </c>
      <c r="I339" s="122">
        <f t="shared" si="10"/>
        <v>10.799999999999999</v>
      </c>
    </row>
    <row r="340" spans="1:9" x14ac:dyDescent="0.35">
      <c r="A340" s="117">
        <v>45574</v>
      </c>
      <c r="B340" s="118" t="s">
        <v>313</v>
      </c>
      <c r="C340" s="118" t="s">
        <v>314</v>
      </c>
      <c r="D340" s="118" t="s">
        <v>324</v>
      </c>
      <c r="E340" s="118" t="s">
        <v>341</v>
      </c>
      <c r="F340" s="119">
        <v>31</v>
      </c>
      <c r="G340" s="120">
        <v>13</v>
      </c>
      <c r="H340" s="121">
        <f t="shared" si="11"/>
        <v>496</v>
      </c>
      <c r="I340" s="122">
        <f t="shared" si="10"/>
        <v>24.8</v>
      </c>
    </row>
    <row r="341" spans="1:9" x14ac:dyDescent="0.35">
      <c r="A341" s="117">
        <v>45574</v>
      </c>
      <c r="B341" s="118" t="s">
        <v>313</v>
      </c>
      <c r="C341" s="118" t="s">
        <v>332</v>
      </c>
      <c r="D341" s="118" t="s">
        <v>333</v>
      </c>
      <c r="E341" s="118" t="s">
        <v>348</v>
      </c>
      <c r="F341" s="119">
        <v>37</v>
      </c>
      <c r="G341" s="120">
        <v>13</v>
      </c>
      <c r="H341" s="121">
        <f t="shared" si="11"/>
        <v>629</v>
      </c>
      <c r="I341" s="122">
        <f t="shared" si="10"/>
        <v>31.450000000000003</v>
      </c>
    </row>
    <row r="342" spans="1:9" x14ac:dyDescent="0.35">
      <c r="A342" s="117">
        <v>45574</v>
      </c>
      <c r="B342" s="118" t="s">
        <v>318</v>
      </c>
      <c r="C342" s="118" t="s">
        <v>319</v>
      </c>
      <c r="D342" s="118" t="s">
        <v>315</v>
      </c>
      <c r="E342" s="118" t="s">
        <v>340</v>
      </c>
      <c r="F342" s="119">
        <v>65</v>
      </c>
      <c r="G342" s="120">
        <v>4</v>
      </c>
      <c r="H342" s="121">
        <f t="shared" si="11"/>
        <v>325</v>
      </c>
      <c r="I342" s="122">
        <f t="shared" si="10"/>
        <v>16.25</v>
      </c>
    </row>
    <row r="343" spans="1:9" x14ac:dyDescent="0.35">
      <c r="A343" s="117">
        <v>45574</v>
      </c>
      <c r="B343" s="118" t="s">
        <v>422</v>
      </c>
      <c r="C343" s="118" t="s">
        <v>319</v>
      </c>
      <c r="D343" s="118" t="s">
        <v>338</v>
      </c>
      <c r="E343" s="118" t="s">
        <v>395</v>
      </c>
      <c r="F343" s="119">
        <v>47</v>
      </c>
      <c r="G343" s="120">
        <v>24</v>
      </c>
      <c r="H343" s="121">
        <f t="shared" si="11"/>
        <v>1175</v>
      </c>
      <c r="I343" s="122">
        <f t="shared" si="10"/>
        <v>70.5</v>
      </c>
    </row>
    <row r="344" spans="1:9" x14ac:dyDescent="0.35">
      <c r="A344" s="117">
        <v>45574</v>
      </c>
      <c r="B344" s="118" t="s">
        <v>322</v>
      </c>
      <c r="C344" s="118" t="s">
        <v>314</v>
      </c>
      <c r="D344" s="118" t="s">
        <v>320</v>
      </c>
      <c r="E344" s="118" t="s">
        <v>337</v>
      </c>
      <c r="F344" s="119">
        <v>54</v>
      </c>
      <c r="G344" s="120">
        <v>17</v>
      </c>
      <c r="H344" s="121">
        <f t="shared" si="11"/>
        <v>1080</v>
      </c>
      <c r="I344" s="122">
        <f t="shared" si="10"/>
        <v>64.8</v>
      </c>
    </row>
    <row r="345" spans="1:9" x14ac:dyDescent="0.35">
      <c r="A345" s="117">
        <v>45575</v>
      </c>
      <c r="B345" s="118" t="s">
        <v>313</v>
      </c>
      <c r="C345" s="118" t="s">
        <v>332</v>
      </c>
      <c r="D345" s="118" t="s">
        <v>338</v>
      </c>
      <c r="E345" s="118" t="s">
        <v>341</v>
      </c>
      <c r="F345" s="119">
        <v>6</v>
      </c>
      <c r="G345" s="120">
        <v>13</v>
      </c>
      <c r="H345" s="121">
        <f t="shared" si="11"/>
        <v>102</v>
      </c>
      <c r="I345" s="122">
        <f t="shared" si="10"/>
        <v>6.12</v>
      </c>
    </row>
    <row r="346" spans="1:9" x14ac:dyDescent="0.35">
      <c r="A346" s="117">
        <v>45575</v>
      </c>
      <c r="B346" s="118" t="s">
        <v>422</v>
      </c>
      <c r="C346" s="118" t="s">
        <v>393</v>
      </c>
      <c r="D346" s="118" t="s">
        <v>423</v>
      </c>
      <c r="E346" s="118" t="s">
        <v>345</v>
      </c>
      <c r="F346" s="119">
        <v>12</v>
      </c>
      <c r="G346" s="120">
        <v>24</v>
      </c>
      <c r="H346" s="121">
        <f t="shared" si="11"/>
        <v>312</v>
      </c>
      <c r="I346" s="122">
        <f t="shared" si="10"/>
        <v>18.72</v>
      </c>
    </row>
    <row r="347" spans="1:9" x14ac:dyDescent="0.35">
      <c r="A347" s="117">
        <v>45575</v>
      </c>
      <c r="B347" s="118" t="s">
        <v>322</v>
      </c>
      <c r="C347" s="118" t="s">
        <v>393</v>
      </c>
      <c r="D347" s="118" t="s">
        <v>333</v>
      </c>
      <c r="E347" s="118" t="s">
        <v>329</v>
      </c>
      <c r="F347" s="119">
        <v>56</v>
      </c>
      <c r="G347" s="120">
        <v>17</v>
      </c>
      <c r="H347" s="121">
        <f t="shared" si="11"/>
        <v>1064</v>
      </c>
      <c r="I347" s="122">
        <f t="shared" si="10"/>
        <v>53.2</v>
      </c>
    </row>
    <row r="348" spans="1:9" x14ac:dyDescent="0.35">
      <c r="A348" s="117">
        <v>45575</v>
      </c>
      <c r="B348" s="118" t="s">
        <v>322</v>
      </c>
      <c r="C348" s="118" t="s">
        <v>332</v>
      </c>
      <c r="D348" s="118" t="s">
        <v>315</v>
      </c>
      <c r="E348" s="118" t="s">
        <v>344</v>
      </c>
      <c r="F348" s="119">
        <v>62</v>
      </c>
      <c r="G348" s="120">
        <v>17</v>
      </c>
      <c r="H348" s="121">
        <f t="shared" si="11"/>
        <v>1302</v>
      </c>
      <c r="I348" s="122">
        <f t="shared" si="10"/>
        <v>65.100000000000009</v>
      </c>
    </row>
    <row r="349" spans="1:9" x14ac:dyDescent="0.35">
      <c r="A349" s="117">
        <v>45575</v>
      </c>
      <c r="B349" s="118" t="s">
        <v>422</v>
      </c>
      <c r="C349" s="118" t="s">
        <v>319</v>
      </c>
      <c r="D349" s="118" t="s">
        <v>315</v>
      </c>
      <c r="E349" s="118" t="s">
        <v>344</v>
      </c>
      <c r="F349" s="119">
        <v>39</v>
      </c>
      <c r="G349" s="120">
        <v>24</v>
      </c>
      <c r="H349" s="121">
        <f t="shared" si="11"/>
        <v>975</v>
      </c>
      <c r="I349" s="122">
        <f t="shared" si="10"/>
        <v>48.75</v>
      </c>
    </row>
    <row r="350" spans="1:9" x14ac:dyDescent="0.35">
      <c r="A350" s="117">
        <v>45576</v>
      </c>
      <c r="B350" s="118" t="s">
        <v>327</v>
      </c>
      <c r="C350" s="118" t="s">
        <v>332</v>
      </c>
      <c r="D350" s="118" t="s">
        <v>333</v>
      </c>
      <c r="E350" s="118" t="s">
        <v>340</v>
      </c>
      <c r="F350" s="119">
        <v>11</v>
      </c>
      <c r="G350" s="120">
        <v>6</v>
      </c>
      <c r="H350" s="121">
        <f t="shared" si="11"/>
        <v>110</v>
      </c>
      <c r="I350" s="122">
        <f t="shared" si="10"/>
        <v>5.5</v>
      </c>
    </row>
    <row r="351" spans="1:9" x14ac:dyDescent="0.35">
      <c r="A351" s="117">
        <v>45576</v>
      </c>
      <c r="B351" s="118" t="s">
        <v>422</v>
      </c>
      <c r="C351" s="118" t="s">
        <v>332</v>
      </c>
      <c r="D351" s="118" t="s">
        <v>423</v>
      </c>
      <c r="E351" s="118" t="s">
        <v>350</v>
      </c>
      <c r="F351" s="119">
        <v>60</v>
      </c>
      <c r="G351" s="120">
        <v>24</v>
      </c>
      <c r="H351" s="121">
        <f t="shared" si="11"/>
        <v>1680</v>
      </c>
      <c r="I351" s="122">
        <f t="shared" si="10"/>
        <v>100.8</v>
      </c>
    </row>
    <row r="352" spans="1:9" x14ac:dyDescent="0.35">
      <c r="A352" s="117">
        <v>45577</v>
      </c>
      <c r="B352" s="118" t="s">
        <v>313</v>
      </c>
      <c r="C352" s="118" t="s">
        <v>319</v>
      </c>
      <c r="D352" s="118" t="s">
        <v>338</v>
      </c>
      <c r="E352" s="118" t="s">
        <v>406</v>
      </c>
      <c r="F352" s="119">
        <v>65</v>
      </c>
      <c r="G352" s="120">
        <v>13</v>
      </c>
      <c r="H352" s="121">
        <f t="shared" si="11"/>
        <v>910</v>
      </c>
      <c r="I352" s="122">
        <f t="shared" si="10"/>
        <v>54.6</v>
      </c>
    </row>
    <row r="353" spans="1:9" x14ac:dyDescent="0.35">
      <c r="A353" s="117">
        <v>45577</v>
      </c>
      <c r="B353" s="118" t="s">
        <v>322</v>
      </c>
      <c r="C353" s="118" t="s">
        <v>332</v>
      </c>
      <c r="D353" s="118" t="s">
        <v>315</v>
      </c>
      <c r="E353" s="118" t="s">
        <v>349</v>
      </c>
      <c r="F353" s="119">
        <v>63</v>
      </c>
      <c r="G353" s="120">
        <v>17</v>
      </c>
      <c r="H353" s="121">
        <f t="shared" si="11"/>
        <v>1323</v>
      </c>
      <c r="I353" s="122">
        <f t="shared" si="10"/>
        <v>66.150000000000006</v>
      </c>
    </row>
    <row r="354" spans="1:9" x14ac:dyDescent="0.35">
      <c r="A354" s="117">
        <v>45577</v>
      </c>
      <c r="B354" s="118" t="s">
        <v>327</v>
      </c>
      <c r="C354" s="118" t="s">
        <v>393</v>
      </c>
      <c r="D354" s="118" t="s">
        <v>333</v>
      </c>
      <c r="E354" s="118" t="s">
        <v>400</v>
      </c>
      <c r="F354" s="119">
        <v>55</v>
      </c>
      <c r="G354" s="120">
        <v>6</v>
      </c>
      <c r="H354" s="121">
        <f t="shared" si="11"/>
        <v>440</v>
      </c>
      <c r="I354" s="122">
        <f t="shared" si="10"/>
        <v>22</v>
      </c>
    </row>
    <row r="355" spans="1:9" x14ac:dyDescent="0.35">
      <c r="A355" s="117">
        <v>45578</v>
      </c>
      <c r="B355" s="118" t="s">
        <v>313</v>
      </c>
      <c r="C355" s="118" t="s">
        <v>393</v>
      </c>
      <c r="D355" s="118" t="s">
        <v>315</v>
      </c>
      <c r="E355" s="118" t="s">
        <v>339</v>
      </c>
      <c r="F355" s="119">
        <v>22</v>
      </c>
      <c r="G355" s="120">
        <v>13</v>
      </c>
      <c r="H355" s="121">
        <f t="shared" si="11"/>
        <v>330</v>
      </c>
      <c r="I355" s="122">
        <f t="shared" si="10"/>
        <v>16.5</v>
      </c>
    </row>
    <row r="356" spans="1:9" x14ac:dyDescent="0.35">
      <c r="A356" s="117">
        <v>45578</v>
      </c>
      <c r="B356" s="118" t="s">
        <v>422</v>
      </c>
      <c r="C356" s="118" t="s">
        <v>393</v>
      </c>
      <c r="D356" s="118" t="s">
        <v>390</v>
      </c>
      <c r="E356" s="118" t="s">
        <v>345</v>
      </c>
      <c r="F356" s="119">
        <v>52</v>
      </c>
      <c r="G356" s="120">
        <v>24</v>
      </c>
      <c r="H356" s="121">
        <f t="shared" si="11"/>
        <v>1352</v>
      </c>
      <c r="I356" s="122">
        <f t="shared" si="10"/>
        <v>67.600000000000009</v>
      </c>
    </row>
    <row r="357" spans="1:9" x14ac:dyDescent="0.35">
      <c r="A357" s="117">
        <v>45578</v>
      </c>
      <c r="B357" s="118" t="s">
        <v>313</v>
      </c>
      <c r="C357" s="118" t="s">
        <v>393</v>
      </c>
      <c r="D357" s="118" t="s">
        <v>423</v>
      </c>
      <c r="E357" s="118" t="s">
        <v>416</v>
      </c>
      <c r="F357" s="119">
        <v>18</v>
      </c>
      <c r="G357" s="120">
        <v>13</v>
      </c>
      <c r="H357" s="121">
        <f t="shared" si="11"/>
        <v>270</v>
      </c>
      <c r="I357" s="122">
        <f t="shared" si="10"/>
        <v>16.2</v>
      </c>
    </row>
    <row r="358" spans="1:9" x14ac:dyDescent="0.35">
      <c r="A358" s="117">
        <v>45578</v>
      </c>
      <c r="B358" s="118" t="s">
        <v>313</v>
      </c>
      <c r="C358" s="118" t="s">
        <v>319</v>
      </c>
      <c r="D358" s="118" t="s">
        <v>324</v>
      </c>
      <c r="E358" s="118" t="s">
        <v>343</v>
      </c>
      <c r="F358" s="119">
        <v>6</v>
      </c>
      <c r="G358" s="120">
        <v>13</v>
      </c>
      <c r="H358" s="121">
        <f t="shared" si="11"/>
        <v>84</v>
      </c>
      <c r="I358" s="122">
        <f t="shared" si="10"/>
        <v>4.2</v>
      </c>
    </row>
    <row r="359" spans="1:9" x14ac:dyDescent="0.35">
      <c r="A359" s="117">
        <v>45579</v>
      </c>
      <c r="B359" s="118" t="s">
        <v>327</v>
      </c>
      <c r="C359" s="118" t="s">
        <v>314</v>
      </c>
      <c r="D359" s="118" t="s">
        <v>390</v>
      </c>
      <c r="E359" s="118" t="s">
        <v>348</v>
      </c>
      <c r="F359" s="119">
        <v>63</v>
      </c>
      <c r="G359" s="120">
        <v>6</v>
      </c>
      <c r="H359" s="121">
        <f t="shared" si="11"/>
        <v>567</v>
      </c>
      <c r="I359" s="122">
        <f t="shared" si="10"/>
        <v>28.35</v>
      </c>
    </row>
    <row r="360" spans="1:9" x14ac:dyDescent="0.35">
      <c r="A360" s="117">
        <v>45579</v>
      </c>
      <c r="B360" s="118" t="s">
        <v>318</v>
      </c>
      <c r="C360" s="118" t="s">
        <v>314</v>
      </c>
      <c r="D360" s="118" t="s">
        <v>324</v>
      </c>
      <c r="E360" s="118" t="s">
        <v>388</v>
      </c>
      <c r="F360" s="119">
        <v>42</v>
      </c>
      <c r="G360" s="120">
        <v>4</v>
      </c>
      <c r="H360" s="121">
        <f t="shared" si="11"/>
        <v>294</v>
      </c>
      <c r="I360" s="122">
        <f t="shared" si="10"/>
        <v>14.700000000000001</v>
      </c>
    </row>
    <row r="361" spans="1:9" x14ac:dyDescent="0.35">
      <c r="A361" s="117">
        <v>45579</v>
      </c>
      <c r="B361" s="118" t="s">
        <v>318</v>
      </c>
      <c r="C361" s="118" t="s">
        <v>332</v>
      </c>
      <c r="D361" s="118" t="s">
        <v>390</v>
      </c>
      <c r="E361" s="118" t="s">
        <v>400</v>
      </c>
      <c r="F361" s="119">
        <v>26</v>
      </c>
      <c r="G361" s="120">
        <v>4</v>
      </c>
      <c r="H361" s="121">
        <f t="shared" si="11"/>
        <v>208</v>
      </c>
      <c r="I361" s="122">
        <f t="shared" si="10"/>
        <v>10.4</v>
      </c>
    </row>
    <row r="362" spans="1:9" x14ac:dyDescent="0.35">
      <c r="A362" s="117">
        <v>45579</v>
      </c>
      <c r="B362" s="118" t="s">
        <v>313</v>
      </c>
      <c r="C362" s="118" t="s">
        <v>314</v>
      </c>
      <c r="D362" s="118" t="s">
        <v>423</v>
      </c>
      <c r="E362" s="118" t="s">
        <v>394</v>
      </c>
      <c r="F362" s="119">
        <v>40</v>
      </c>
      <c r="G362" s="120">
        <v>13</v>
      </c>
      <c r="H362" s="121">
        <f t="shared" si="11"/>
        <v>640</v>
      </c>
      <c r="I362" s="122">
        <f t="shared" si="10"/>
        <v>38.4</v>
      </c>
    </row>
    <row r="363" spans="1:9" x14ac:dyDescent="0.35">
      <c r="A363" s="117">
        <v>45580</v>
      </c>
      <c r="B363" s="118" t="s">
        <v>318</v>
      </c>
      <c r="C363" s="118" t="s">
        <v>332</v>
      </c>
      <c r="D363" s="118" t="s">
        <v>333</v>
      </c>
      <c r="E363" s="118" t="s">
        <v>344</v>
      </c>
      <c r="F363" s="119">
        <v>57</v>
      </c>
      <c r="G363" s="120">
        <v>4</v>
      </c>
      <c r="H363" s="121">
        <f t="shared" si="11"/>
        <v>456</v>
      </c>
      <c r="I363" s="122">
        <f t="shared" si="10"/>
        <v>22.8</v>
      </c>
    </row>
    <row r="364" spans="1:9" x14ac:dyDescent="0.35">
      <c r="A364" s="117">
        <v>45580</v>
      </c>
      <c r="B364" s="118" t="s">
        <v>313</v>
      </c>
      <c r="C364" s="118" t="s">
        <v>393</v>
      </c>
      <c r="D364" s="118" t="s">
        <v>320</v>
      </c>
      <c r="E364" s="118" t="s">
        <v>316</v>
      </c>
      <c r="F364" s="119">
        <v>25</v>
      </c>
      <c r="G364" s="120">
        <v>13</v>
      </c>
      <c r="H364" s="121">
        <f t="shared" si="11"/>
        <v>375</v>
      </c>
      <c r="I364" s="122">
        <f t="shared" si="10"/>
        <v>22.5</v>
      </c>
    </row>
    <row r="365" spans="1:9" x14ac:dyDescent="0.35">
      <c r="A365" s="117">
        <v>45581</v>
      </c>
      <c r="B365" s="118" t="s">
        <v>318</v>
      </c>
      <c r="C365" s="118" t="s">
        <v>332</v>
      </c>
      <c r="D365" s="118" t="s">
        <v>324</v>
      </c>
      <c r="E365" s="118" t="s">
        <v>394</v>
      </c>
      <c r="F365" s="119">
        <v>35</v>
      </c>
      <c r="G365" s="120">
        <v>4</v>
      </c>
      <c r="H365" s="121">
        <f t="shared" si="11"/>
        <v>280</v>
      </c>
      <c r="I365" s="122">
        <f t="shared" si="10"/>
        <v>14</v>
      </c>
    </row>
    <row r="366" spans="1:9" x14ac:dyDescent="0.35">
      <c r="A366" s="117">
        <v>45581</v>
      </c>
      <c r="B366" s="118" t="s">
        <v>422</v>
      </c>
      <c r="C366" s="118" t="s">
        <v>332</v>
      </c>
      <c r="D366" s="118" t="s">
        <v>315</v>
      </c>
      <c r="E366" s="118" t="s">
        <v>316</v>
      </c>
      <c r="F366" s="119">
        <v>18</v>
      </c>
      <c r="G366" s="120">
        <v>24</v>
      </c>
      <c r="H366" s="121">
        <f t="shared" si="11"/>
        <v>504</v>
      </c>
      <c r="I366" s="122">
        <f t="shared" si="10"/>
        <v>25.200000000000003</v>
      </c>
    </row>
    <row r="367" spans="1:9" x14ac:dyDescent="0.35">
      <c r="A367" s="117">
        <v>45582</v>
      </c>
      <c r="B367" s="118" t="s">
        <v>327</v>
      </c>
      <c r="C367" s="118" t="s">
        <v>319</v>
      </c>
      <c r="D367" s="118" t="s">
        <v>320</v>
      </c>
      <c r="E367" s="118" t="s">
        <v>455</v>
      </c>
      <c r="F367" s="119">
        <v>54</v>
      </c>
      <c r="G367" s="120">
        <v>6</v>
      </c>
      <c r="H367" s="121">
        <f t="shared" si="11"/>
        <v>378</v>
      </c>
      <c r="I367" s="122">
        <f t="shared" si="10"/>
        <v>22.68</v>
      </c>
    </row>
    <row r="368" spans="1:9" x14ac:dyDescent="0.35">
      <c r="A368" s="117">
        <v>45582</v>
      </c>
      <c r="B368" s="118" t="s">
        <v>318</v>
      </c>
      <c r="C368" s="118" t="s">
        <v>393</v>
      </c>
      <c r="D368" s="118" t="s">
        <v>390</v>
      </c>
      <c r="E368" s="118" t="s">
        <v>349</v>
      </c>
      <c r="F368" s="119">
        <v>63</v>
      </c>
      <c r="G368" s="120">
        <v>4</v>
      </c>
      <c r="H368" s="121">
        <f t="shared" si="11"/>
        <v>378</v>
      </c>
      <c r="I368" s="122">
        <f t="shared" si="10"/>
        <v>18.900000000000002</v>
      </c>
    </row>
    <row r="369" spans="1:9" x14ac:dyDescent="0.35">
      <c r="A369" s="117">
        <v>45582</v>
      </c>
      <c r="B369" s="118" t="s">
        <v>322</v>
      </c>
      <c r="C369" s="118" t="s">
        <v>314</v>
      </c>
      <c r="D369" s="118" t="s">
        <v>315</v>
      </c>
      <c r="E369" s="118" t="s">
        <v>400</v>
      </c>
      <c r="F369" s="119">
        <v>45</v>
      </c>
      <c r="G369" s="120">
        <v>17</v>
      </c>
      <c r="H369" s="121">
        <f t="shared" si="11"/>
        <v>900</v>
      </c>
      <c r="I369" s="122">
        <f t="shared" si="10"/>
        <v>45</v>
      </c>
    </row>
    <row r="370" spans="1:9" x14ac:dyDescent="0.35">
      <c r="A370" s="117">
        <v>45582</v>
      </c>
      <c r="B370" s="118" t="s">
        <v>313</v>
      </c>
      <c r="C370" s="118" t="s">
        <v>319</v>
      </c>
      <c r="D370" s="118" t="s">
        <v>423</v>
      </c>
      <c r="E370" s="118" t="s">
        <v>394</v>
      </c>
      <c r="F370" s="119">
        <v>11</v>
      </c>
      <c r="G370" s="120">
        <v>13</v>
      </c>
      <c r="H370" s="121">
        <f t="shared" si="11"/>
        <v>154</v>
      </c>
      <c r="I370" s="122">
        <f t="shared" si="10"/>
        <v>9.24</v>
      </c>
    </row>
    <row r="371" spans="1:9" x14ac:dyDescent="0.35">
      <c r="A371" s="117">
        <v>45583</v>
      </c>
      <c r="B371" s="118" t="s">
        <v>422</v>
      </c>
      <c r="C371" s="118" t="s">
        <v>393</v>
      </c>
      <c r="D371" s="118" t="s">
        <v>320</v>
      </c>
      <c r="E371" s="118" t="s">
        <v>340</v>
      </c>
      <c r="F371" s="119">
        <v>32</v>
      </c>
      <c r="G371" s="120">
        <v>24</v>
      </c>
      <c r="H371" s="121">
        <f t="shared" si="11"/>
        <v>832</v>
      </c>
      <c r="I371" s="122">
        <f t="shared" si="10"/>
        <v>49.92</v>
      </c>
    </row>
    <row r="372" spans="1:9" x14ac:dyDescent="0.35">
      <c r="A372" s="117">
        <v>45583</v>
      </c>
      <c r="B372" s="118" t="s">
        <v>313</v>
      </c>
      <c r="C372" s="118" t="s">
        <v>314</v>
      </c>
      <c r="D372" s="118" t="s">
        <v>320</v>
      </c>
      <c r="E372" s="118" t="s">
        <v>346</v>
      </c>
      <c r="F372" s="119">
        <v>14</v>
      </c>
      <c r="G372" s="120">
        <v>13</v>
      </c>
      <c r="H372" s="121">
        <f t="shared" si="11"/>
        <v>224</v>
      </c>
      <c r="I372" s="122">
        <f t="shared" si="10"/>
        <v>13.44</v>
      </c>
    </row>
    <row r="373" spans="1:9" x14ac:dyDescent="0.35">
      <c r="A373" s="117">
        <v>45583</v>
      </c>
      <c r="B373" s="118" t="s">
        <v>318</v>
      </c>
      <c r="C373" s="118" t="s">
        <v>319</v>
      </c>
      <c r="D373" s="118" t="s">
        <v>423</v>
      </c>
      <c r="E373" s="118" t="s">
        <v>405</v>
      </c>
      <c r="F373" s="119">
        <v>51</v>
      </c>
      <c r="G373" s="120">
        <v>4</v>
      </c>
      <c r="H373" s="121">
        <f t="shared" si="11"/>
        <v>255</v>
      </c>
      <c r="I373" s="122">
        <f t="shared" si="10"/>
        <v>15.299999999999999</v>
      </c>
    </row>
    <row r="374" spans="1:9" x14ac:dyDescent="0.35">
      <c r="A374" s="117">
        <v>45584</v>
      </c>
      <c r="B374" s="118" t="s">
        <v>422</v>
      </c>
      <c r="C374" s="118" t="s">
        <v>319</v>
      </c>
      <c r="D374" s="118" t="s">
        <v>320</v>
      </c>
      <c r="E374" s="118" t="s">
        <v>342</v>
      </c>
      <c r="F374" s="119">
        <v>31</v>
      </c>
      <c r="G374" s="120">
        <v>24</v>
      </c>
      <c r="H374" s="121">
        <f t="shared" si="11"/>
        <v>775</v>
      </c>
      <c r="I374" s="122">
        <f t="shared" si="10"/>
        <v>46.5</v>
      </c>
    </row>
    <row r="375" spans="1:9" x14ac:dyDescent="0.35">
      <c r="A375" s="117">
        <v>45584</v>
      </c>
      <c r="B375" s="118" t="s">
        <v>322</v>
      </c>
      <c r="C375" s="118" t="s">
        <v>314</v>
      </c>
      <c r="D375" s="118" t="s">
        <v>320</v>
      </c>
      <c r="E375" s="118" t="s">
        <v>343</v>
      </c>
      <c r="F375" s="119">
        <v>25</v>
      </c>
      <c r="G375" s="120">
        <v>17</v>
      </c>
      <c r="H375" s="121">
        <f t="shared" si="11"/>
        <v>500</v>
      </c>
      <c r="I375" s="122">
        <f t="shared" si="10"/>
        <v>30</v>
      </c>
    </row>
    <row r="376" spans="1:9" x14ac:dyDescent="0.35">
      <c r="A376" s="117">
        <v>45585</v>
      </c>
      <c r="B376" s="118" t="s">
        <v>318</v>
      </c>
      <c r="C376" s="118" t="s">
        <v>332</v>
      </c>
      <c r="D376" s="118" t="s">
        <v>320</v>
      </c>
      <c r="E376" s="118" t="s">
        <v>406</v>
      </c>
      <c r="F376" s="119">
        <v>44</v>
      </c>
      <c r="G376" s="120">
        <v>4</v>
      </c>
      <c r="H376" s="121">
        <f t="shared" si="11"/>
        <v>352</v>
      </c>
      <c r="I376" s="122">
        <f t="shared" si="10"/>
        <v>21.119999999999997</v>
      </c>
    </row>
    <row r="377" spans="1:9" x14ac:dyDescent="0.35">
      <c r="A377" s="117">
        <v>45585</v>
      </c>
      <c r="B377" s="118" t="s">
        <v>313</v>
      </c>
      <c r="C377" s="118" t="s">
        <v>393</v>
      </c>
      <c r="D377" s="118" t="s">
        <v>320</v>
      </c>
      <c r="E377" s="118" t="s">
        <v>455</v>
      </c>
      <c r="F377" s="119">
        <v>48</v>
      </c>
      <c r="G377" s="120">
        <v>13</v>
      </c>
      <c r="H377" s="121">
        <f t="shared" si="11"/>
        <v>720</v>
      </c>
      <c r="I377" s="122">
        <f t="shared" si="10"/>
        <v>43.199999999999996</v>
      </c>
    </row>
    <row r="378" spans="1:9" x14ac:dyDescent="0.35">
      <c r="A378" s="117">
        <v>45585</v>
      </c>
      <c r="B378" s="118" t="s">
        <v>327</v>
      </c>
      <c r="C378" s="118" t="s">
        <v>393</v>
      </c>
      <c r="D378" s="118" t="s">
        <v>320</v>
      </c>
      <c r="E378" s="118" t="s">
        <v>348</v>
      </c>
      <c r="F378" s="119">
        <v>22</v>
      </c>
      <c r="G378" s="120">
        <v>6</v>
      </c>
      <c r="H378" s="121">
        <f t="shared" si="11"/>
        <v>176</v>
      </c>
      <c r="I378" s="122">
        <f t="shared" si="10"/>
        <v>10.559999999999999</v>
      </c>
    </row>
    <row r="379" spans="1:9" x14ac:dyDescent="0.35">
      <c r="A379" s="117">
        <v>45585</v>
      </c>
      <c r="B379" s="118" t="s">
        <v>327</v>
      </c>
      <c r="C379" s="118" t="s">
        <v>393</v>
      </c>
      <c r="D379" s="118" t="s">
        <v>423</v>
      </c>
      <c r="E379" s="118" t="s">
        <v>340</v>
      </c>
      <c r="F379" s="119">
        <v>45</v>
      </c>
      <c r="G379" s="120">
        <v>6</v>
      </c>
      <c r="H379" s="121">
        <f t="shared" si="11"/>
        <v>360</v>
      </c>
      <c r="I379" s="122">
        <f t="shared" si="10"/>
        <v>21.599999999999998</v>
      </c>
    </row>
    <row r="380" spans="1:9" x14ac:dyDescent="0.35">
      <c r="A380" s="117">
        <v>45585</v>
      </c>
      <c r="B380" s="118" t="s">
        <v>318</v>
      </c>
      <c r="C380" s="118" t="s">
        <v>319</v>
      </c>
      <c r="D380" s="118" t="s">
        <v>320</v>
      </c>
      <c r="E380" s="118" t="s">
        <v>346</v>
      </c>
      <c r="F380" s="119">
        <v>28</v>
      </c>
      <c r="G380" s="120">
        <v>4</v>
      </c>
      <c r="H380" s="121">
        <f t="shared" si="11"/>
        <v>140</v>
      </c>
      <c r="I380" s="122">
        <f t="shared" si="10"/>
        <v>8.4</v>
      </c>
    </row>
    <row r="381" spans="1:9" x14ac:dyDescent="0.35">
      <c r="A381" s="117">
        <v>45586</v>
      </c>
      <c r="B381" s="118" t="s">
        <v>327</v>
      </c>
      <c r="C381" s="118" t="s">
        <v>393</v>
      </c>
      <c r="D381" s="118" t="s">
        <v>315</v>
      </c>
      <c r="E381" s="118" t="s">
        <v>348</v>
      </c>
      <c r="F381" s="119">
        <v>56</v>
      </c>
      <c r="G381" s="120">
        <v>6</v>
      </c>
      <c r="H381" s="121">
        <f t="shared" si="11"/>
        <v>448</v>
      </c>
      <c r="I381" s="122">
        <f t="shared" si="10"/>
        <v>22.400000000000002</v>
      </c>
    </row>
    <row r="382" spans="1:9" x14ac:dyDescent="0.35">
      <c r="A382" s="117">
        <v>45586</v>
      </c>
      <c r="B382" s="118" t="s">
        <v>322</v>
      </c>
      <c r="C382" s="118" t="s">
        <v>314</v>
      </c>
      <c r="D382" s="118" t="s">
        <v>333</v>
      </c>
      <c r="E382" s="118" t="s">
        <v>349</v>
      </c>
      <c r="F382" s="119">
        <v>58</v>
      </c>
      <c r="G382" s="120">
        <v>17</v>
      </c>
      <c r="H382" s="121">
        <f t="shared" si="11"/>
        <v>1160</v>
      </c>
      <c r="I382" s="122">
        <f t="shared" si="10"/>
        <v>58</v>
      </c>
    </row>
    <row r="383" spans="1:9" x14ac:dyDescent="0.35">
      <c r="A383" s="117">
        <v>45586</v>
      </c>
      <c r="B383" s="118" t="s">
        <v>313</v>
      </c>
      <c r="C383" s="118" t="s">
        <v>332</v>
      </c>
      <c r="D383" s="118" t="s">
        <v>333</v>
      </c>
      <c r="E383" s="118" t="s">
        <v>394</v>
      </c>
      <c r="F383" s="119">
        <v>51</v>
      </c>
      <c r="G383" s="120">
        <v>13</v>
      </c>
      <c r="H383" s="121">
        <f t="shared" si="11"/>
        <v>867</v>
      </c>
      <c r="I383" s="122">
        <f t="shared" si="10"/>
        <v>43.35</v>
      </c>
    </row>
    <row r="384" spans="1:9" x14ac:dyDescent="0.35">
      <c r="A384" s="117">
        <v>45586</v>
      </c>
      <c r="B384" s="118" t="s">
        <v>318</v>
      </c>
      <c r="C384" s="118" t="s">
        <v>319</v>
      </c>
      <c r="D384" s="118" t="s">
        <v>423</v>
      </c>
      <c r="E384" s="118" t="s">
        <v>343</v>
      </c>
      <c r="F384" s="119">
        <v>21</v>
      </c>
      <c r="G384" s="120">
        <v>4</v>
      </c>
      <c r="H384" s="121">
        <f t="shared" si="11"/>
        <v>105</v>
      </c>
      <c r="I384" s="122">
        <f t="shared" si="10"/>
        <v>6.3</v>
      </c>
    </row>
    <row r="385" spans="1:9" x14ac:dyDescent="0.35">
      <c r="A385" s="117">
        <v>45587</v>
      </c>
      <c r="B385" s="118" t="s">
        <v>327</v>
      </c>
      <c r="C385" s="118" t="s">
        <v>393</v>
      </c>
      <c r="D385" s="118" t="s">
        <v>320</v>
      </c>
      <c r="E385" s="118" t="s">
        <v>341</v>
      </c>
      <c r="F385" s="119">
        <v>34</v>
      </c>
      <c r="G385" s="120">
        <v>6</v>
      </c>
      <c r="H385" s="121">
        <f t="shared" si="11"/>
        <v>272</v>
      </c>
      <c r="I385" s="122">
        <f t="shared" si="10"/>
        <v>16.32</v>
      </c>
    </row>
    <row r="386" spans="1:9" x14ac:dyDescent="0.35">
      <c r="A386" s="117">
        <v>45588</v>
      </c>
      <c r="B386" s="118" t="s">
        <v>313</v>
      </c>
      <c r="C386" s="118" t="s">
        <v>314</v>
      </c>
      <c r="D386" s="118" t="s">
        <v>324</v>
      </c>
      <c r="E386" s="118" t="s">
        <v>341</v>
      </c>
      <c r="F386" s="119">
        <v>22</v>
      </c>
      <c r="G386" s="120">
        <v>13</v>
      </c>
      <c r="H386" s="121">
        <f t="shared" si="11"/>
        <v>352</v>
      </c>
      <c r="I386" s="122">
        <f t="shared" ref="I386:I449" si="12">H386*VLOOKUP(D386,$O$4:$P$10,2,TRUE)</f>
        <v>17.600000000000001</v>
      </c>
    </row>
    <row r="387" spans="1:9" x14ac:dyDescent="0.35">
      <c r="A387" s="117">
        <v>45588</v>
      </c>
      <c r="B387" s="118" t="s">
        <v>327</v>
      </c>
      <c r="C387" s="118" t="s">
        <v>314</v>
      </c>
      <c r="D387" s="118" t="s">
        <v>324</v>
      </c>
      <c r="E387" s="118" t="s">
        <v>340</v>
      </c>
      <c r="F387" s="119">
        <v>43</v>
      </c>
      <c r="G387" s="120">
        <v>6</v>
      </c>
      <c r="H387" s="121">
        <f t="shared" ref="H387:H450" si="13">(F387*G387)+VLOOKUP(C387,$K$11:$L$14,2,FALSE)*F387</f>
        <v>387</v>
      </c>
      <c r="I387" s="122">
        <f t="shared" si="12"/>
        <v>19.350000000000001</v>
      </c>
    </row>
    <row r="388" spans="1:9" x14ac:dyDescent="0.35">
      <c r="A388" s="117">
        <v>45588</v>
      </c>
      <c r="B388" s="118" t="s">
        <v>318</v>
      </c>
      <c r="C388" s="118" t="s">
        <v>393</v>
      </c>
      <c r="D388" s="118" t="s">
        <v>315</v>
      </c>
      <c r="E388" s="118" t="s">
        <v>347</v>
      </c>
      <c r="F388" s="119">
        <v>34</v>
      </c>
      <c r="G388" s="120">
        <v>4</v>
      </c>
      <c r="H388" s="121">
        <f t="shared" si="13"/>
        <v>204</v>
      </c>
      <c r="I388" s="122">
        <f t="shared" si="12"/>
        <v>10.200000000000001</v>
      </c>
    </row>
    <row r="389" spans="1:9" x14ac:dyDescent="0.35">
      <c r="A389" s="117">
        <v>45588</v>
      </c>
      <c r="B389" s="118" t="s">
        <v>322</v>
      </c>
      <c r="C389" s="118" t="s">
        <v>314</v>
      </c>
      <c r="D389" s="118" t="s">
        <v>320</v>
      </c>
      <c r="E389" s="118" t="s">
        <v>339</v>
      </c>
      <c r="F389" s="119">
        <v>50</v>
      </c>
      <c r="G389" s="120">
        <v>17</v>
      </c>
      <c r="H389" s="121">
        <f t="shared" si="13"/>
        <v>1000</v>
      </c>
      <c r="I389" s="122">
        <f t="shared" si="12"/>
        <v>60</v>
      </c>
    </row>
    <row r="390" spans="1:9" x14ac:dyDescent="0.35">
      <c r="A390" s="117">
        <v>45588</v>
      </c>
      <c r="B390" s="118" t="s">
        <v>422</v>
      </c>
      <c r="C390" s="118" t="s">
        <v>319</v>
      </c>
      <c r="D390" s="118" t="s">
        <v>423</v>
      </c>
      <c r="E390" s="118" t="s">
        <v>454</v>
      </c>
      <c r="F390" s="119">
        <v>46</v>
      </c>
      <c r="G390" s="120">
        <v>24</v>
      </c>
      <c r="H390" s="121">
        <f t="shared" si="13"/>
        <v>1150</v>
      </c>
      <c r="I390" s="122">
        <f t="shared" si="12"/>
        <v>69</v>
      </c>
    </row>
    <row r="391" spans="1:9" x14ac:dyDescent="0.35">
      <c r="A391" s="117">
        <v>45588</v>
      </c>
      <c r="B391" s="118" t="s">
        <v>318</v>
      </c>
      <c r="C391" s="118" t="s">
        <v>314</v>
      </c>
      <c r="D391" s="118" t="s">
        <v>324</v>
      </c>
      <c r="E391" s="118" t="s">
        <v>335</v>
      </c>
      <c r="F391" s="119">
        <v>43</v>
      </c>
      <c r="G391" s="120">
        <v>4</v>
      </c>
      <c r="H391" s="121">
        <f t="shared" si="13"/>
        <v>301</v>
      </c>
      <c r="I391" s="122">
        <f t="shared" si="12"/>
        <v>15.05</v>
      </c>
    </row>
    <row r="392" spans="1:9" x14ac:dyDescent="0.35">
      <c r="A392" s="117">
        <v>45589</v>
      </c>
      <c r="B392" s="118" t="s">
        <v>327</v>
      </c>
      <c r="C392" s="118" t="s">
        <v>332</v>
      </c>
      <c r="D392" s="118" t="s">
        <v>324</v>
      </c>
      <c r="E392" s="118" t="s">
        <v>395</v>
      </c>
      <c r="F392" s="119">
        <v>48</v>
      </c>
      <c r="G392" s="120">
        <v>6</v>
      </c>
      <c r="H392" s="121">
        <f t="shared" si="13"/>
        <v>480</v>
      </c>
      <c r="I392" s="122">
        <f t="shared" si="12"/>
        <v>24</v>
      </c>
    </row>
    <row r="393" spans="1:9" x14ac:dyDescent="0.35">
      <c r="A393" s="117">
        <v>45589</v>
      </c>
      <c r="B393" s="118" t="s">
        <v>422</v>
      </c>
      <c r="C393" s="118" t="s">
        <v>314</v>
      </c>
      <c r="D393" s="118" t="s">
        <v>338</v>
      </c>
      <c r="E393" s="118" t="s">
        <v>400</v>
      </c>
      <c r="F393" s="119">
        <v>8</v>
      </c>
      <c r="G393" s="120">
        <v>24</v>
      </c>
      <c r="H393" s="121">
        <f t="shared" si="13"/>
        <v>216</v>
      </c>
      <c r="I393" s="122">
        <f t="shared" si="12"/>
        <v>12.959999999999999</v>
      </c>
    </row>
    <row r="394" spans="1:9" x14ac:dyDescent="0.35">
      <c r="A394" s="117">
        <v>45590</v>
      </c>
      <c r="B394" s="118" t="s">
        <v>313</v>
      </c>
      <c r="C394" s="118" t="s">
        <v>332</v>
      </c>
      <c r="D394" s="118" t="s">
        <v>320</v>
      </c>
      <c r="E394" s="118" t="s">
        <v>388</v>
      </c>
      <c r="F394" s="119">
        <v>8</v>
      </c>
      <c r="G394" s="120">
        <v>13</v>
      </c>
      <c r="H394" s="121">
        <f t="shared" si="13"/>
        <v>136</v>
      </c>
      <c r="I394" s="122">
        <f t="shared" si="12"/>
        <v>8.16</v>
      </c>
    </row>
    <row r="395" spans="1:9" x14ac:dyDescent="0.35">
      <c r="A395" s="117">
        <v>45590</v>
      </c>
      <c r="B395" s="118" t="s">
        <v>322</v>
      </c>
      <c r="C395" s="118" t="s">
        <v>319</v>
      </c>
      <c r="D395" s="118" t="s">
        <v>423</v>
      </c>
      <c r="E395" s="118" t="s">
        <v>331</v>
      </c>
      <c r="F395" s="119">
        <v>23</v>
      </c>
      <c r="G395" s="120">
        <v>17</v>
      </c>
      <c r="H395" s="121">
        <f t="shared" si="13"/>
        <v>414</v>
      </c>
      <c r="I395" s="122">
        <f t="shared" si="12"/>
        <v>24.84</v>
      </c>
    </row>
    <row r="396" spans="1:9" x14ac:dyDescent="0.35">
      <c r="A396" s="117">
        <v>45591</v>
      </c>
      <c r="B396" s="118" t="s">
        <v>327</v>
      </c>
      <c r="C396" s="118" t="s">
        <v>393</v>
      </c>
      <c r="D396" s="118" t="s">
        <v>390</v>
      </c>
      <c r="E396" s="118" t="s">
        <v>455</v>
      </c>
      <c r="F396" s="119">
        <v>16</v>
      </c>
      <c r="G396" s="120">
        <v>6</v>
      </c>
      <c r="H396" s="121">
        <f t="shared" si="13"/>
        <v>128</v>
      </c>
      <c r="I396" s="122">
        <f t="shared" si="12"/>
        <v>6.4</v>
      </c>
    </row>
    <row r="397" spans="1:9" x14ac:dyDescent="0.35">
      <c r="A397" s="117">
        <v>45591</v>
      </c>
      <c r="B397" s="118" t="s">
        <v>322</v>
      </c>
      <c r="C397" s="118" t="s">
        <v>393</v>
      </c>
      <c r="D397" s="118" t="s">
        <v>333</v>
      </c>
      <c r="E397" s="118" t="s">
        <v>348</v>
      </c>
      <c r="F397" s="119">
        <v>47</v>
      </c>
      <c r="G397" s="120">
        <v>17</v>
      </c>
      <c r="H397" s="121">
        <f t="shared" si="13"/>
        <v>893</v>
      </c>
      <c r="I397" s="122">
        <f t="shared" si="12"/>
        <v>44.650000000000006</v>
      </c>
    </row>
    <row r="398" spans="1:9" x14ac:dyDescent="0.35">
      <c r="A398" s="117">
        <v>45591</v>
      </c>
      <c r="B398" s="118" t="s">
        <v>327</v>
      </c>
      <c r="C398" s="118" t="s">
        <v>393</v>
      </c>
      <c r="D398" s="118" t="s">
        <v>333</v>
      </c>
      <c r="E398" s="118" t="s">
        <v>400</v>
      </c>
      <c r="F398" s="119">
        <v>16</v>
      </c>
      <c r="G398" s="120">
        <v>6</v>
      </c>
      <c r="H398" s="121">
        <f t="shared" si="13"/>
        <v>128</v>
      </c>
      <c r="I398" s="122">
        <f t="shared" si="12"/>
        <v>6.4</v>
      </c>
    </row>
    <row r="399" spans="1:9" x14ac:dyDescent="0.35">
      <c r="A399" s="117">
        <v>45591</v>
      </c>
      <c r="B399" s="118" t="s">
        <v>322</v>
      </c>
      <c r="C399" s="118" t="s">
        <v>332</v>
      </c>
      <c r="D399" s="118" t="s">
        <v>338</v>
      </c>
      <c r="E399" s="118" t="s">
        <v>329</v>
      </c>
      <c r="F399" s="119">
        <v>28</v>
      </c>
      <c r="G399" s="120">
        <v>17</v>
      </c>
      <c r="H399" s="121">
        <f t="shared" si="13"/>
        <v>588</v>
      </c>
      <c r="I399" s="122">
        <f t="shared" si="12"/>
        <v>35.28</v>
      </c>
    </row>
    <row r="400" spans="1:9" x14ac:dyDescent="0.35">
      <c r="A400" s="117">
        <v>45592</v>
      </c>
      <c r="B400" s="118" t="s">
        <v>322</v>
      </c>
      <c r="C400" s="118" t="s">
        <v>332</v>
      </c>
      <c r="D400" s="118" t="s">
        <v>333</v>
      </c>
      <c r="E400" s="118" t="s">
        <v>395</v>
      </c>
      <c r="F400" s="119">
        <v>22</v>
      </c>
      <c r="G400" s="120">
        <v>17</v>
      </c>
      <c r="H400" s="121">
        <f t="shared" si="13"/>
        <v>462</v>
      </c>
      <c r="I400" s="122">
        <f t="shared" si="12"/>
        <v>23.1</v>
      </c>
    </row>
    <row r="401" spans="1:9" x14ac:dyDescent="0.35">
      <c r="A401" s="117">
        <v>45592</v>
      </c>
      <c r="B401" s="118" t="s">
        <v>318</v>
      </c>
      <c r="C401" s="118" t="s">
        <v>332</v>
      </c>
      <c r="D401" s="118" t="s">
        <v>390</v>
      </c>
      <c r="E401" s="118" t="s">
        <v>400</v>
      </c>
      <c r="F401" s="119">
        <v>11</v>
      </c>
      <c r="G401" s="120">
        <v>4</v>
      </c>
      <c r="H401" s="121">
        <f t="shared" si="13"/>
        <v>88</v>
      </c>
      <c r="I401" s="122">
        <f t="shared" si="12"/>
        <v>4.4000000000000004</v>
      </c>
    </row>
    <row r="402" spans="1:9" x14ac:dyDescent="0.35">
      <c r="A402" s="117">
        <v>45593</v>
      </c>
      <c r="B402" s="118" t="s">
        <v>422</v>
      </c>
      <c r="C402" s="118" t="s">
        <v>314</v>
      </c>
      <c r="D402" s="118" t="s">
        <v>338</v>
      </c>
      <c r="E402" s="118" t="s">
        <v>348</v>
      </c>
      <c r="F402" s="119">
        <v>17</v>
      </c>
      <c r="G402" s="120">
        <v>24</v>
      </c>
      <c r="H402" s="121">
        <f t="shared" si="13"/>
        <v>459</v>
      </c>
      <c r="I402" s="122">
        <f t="shared" si="12"/>
        <v>27.54</v>
      </c>
    </row>
    <row r="403" spans="1:9" x14ac:dyDescent="0.35">
      <c r="A403" s="117">
        <v>45593</v>
      </c>
      <c r="B403" s="118" t="s">
        <v>322</v>
      </c>
      <c r="C403" s="118" t="s">
        <v>332</v>
      </c>
      <c r="D403" s="118" t="s">
        <v>315</v>
      </c>
      <c r="E403" s="118" t="s">
        <v>388</v>
      </c>
      <c r="F403" s="119">
        <v>23</v>
      </c>
      <c r="G403" s="120">
        <v>17</v>
      </c>
      <c r="H403" s="121">
        <f t="shared" si="13"/>
        <v>483</v>
      </c>
      <c r="I403" s="122">
        <f t="shared" si="12"/>
        <v>24.150000000000002</v>
      </c>
    </row>
    <row r="404" spans="1:9" x14ac:dyDescent="0.35">
      <c r="A404" s="117">
        <v>45593</v>
      </c>
      <c r="B404" s="118" t="s">
        <v>313</v>
      </c>
      <c r="C404" s="118" t="s">
        <v>319</v>
      </c>
      <c r="D404" s="118" t="s">
        <v>333</v>
      </c>
      <c r="E404" s="118" t="s">
        <v>339</v>
      </c>
      <c r="F404" s="119">
        <v>48</v>
      </c>
      <c r="G404" s="120">
        <v>13</v>
      </c>
      <c r="H404" s="121">
        <f t="shared" si="13"/>
        <v>672</v>
      </c>
      <c r="I404" s="122">
        <f t="shared" si="12"/>
        <v>33.6</v>
      </c>
    </row>
    <row r="405" spans="1:9" x14ac:dyDescent="0.35">
      <c r="A405" s="117">
        <v>45593</v>
      </c>
      <c r="B405" s="118" t="s">
        <v>422</v>
      </c>
      <c r="C405" s="118" t="s">
        <v>314</v>
      </c>
      <c r="D405" s="118" t="s">
        <v>423</v>
      </c>
      <c r="E405" s="118" t="s">
        <v>350</v>
      </c>
      <c r="F405" s="119">
        <v>33</v>
      </c>
      <c r="G405" s="120">
        <v>24</v>
      </c>
      <c r="H405" s="121">
        <f t="shared" si="13"/>
        <v>891</v>
      </c>
      <c r="I405" s="122">
        <f t="shared" si="12"/>
        <v>53.46</v>
      </c>
    </row>
    <row r="406" spans="1:9" x14ac:dyDescent="0.35">
      <c r="A406" s="117">
        <v>45594</v>
      </c>
      <c r="B406" s="118" t="s">
        <v>422</v>
      </c>
      <c r="C406" s="118" t="s">
        <v>332</v>
      </c>
      <c r="D406" s="118" t="s">
        <v>390</v>
      </c>
      <c r="E406" s="118" t="s">
        <v>388</v>
      </c>
      <c r="F406" s="119">
        <v>52</v>
      </c>
      <c r="G406" s="120">
        <v>24</v>
      </c>
      <c r="H406" s="121">
        <f t="shared" si="13"/>
        <v>1456</v>
      </c>
      <c r="I406" s="122">
        <f t="shared" si="12"/>
        <v>72.8</v>
      </c>
    </row>
    <row r="407" spans="1:9" x14ac:dyDescent="0.35">
      <c r="A407" s="117">
        <v>45594</v>
      </c>
      <c r="B407" s="118" t="s">
        <v>322</v>
      </c>
      <c r="C407" s="118" t="s">
        <v>314</v>
      </c>
      <c r="D407" s="118" t="s">
        <v>320</v>
      </c>
      <c r="E407" s="118" t="s">
        <v>394</v>
      </c>
      <c r="F407" s="119">
        <v>47</v>
      </c>
      <c r="G407" s="120">
        <v>17</v>
      </c>
      <c r="H407" s="121">
        <f t="shared" si="13"/>
        <v>940</v>
      </c>
      <c r="I407" s="122">
        <f t="shared" si="12"/>
        <v>56.4</v>
      </c>
    </row>
    <row r="408" spans="1:9" x14ac:dyDescent="0.35">
      <c r="A408" s="117">
        <v>45595</v>
      </c>
      <c r="B408" s="118" t="s">
        <v>313</v>
      </c>
      <c r="C408" s="118" t="s">
        <v>393</v>
      </c>
      <c r="D408" s="118" t="s">
        <v>315</v>
      </c>
      <c r="E408" s="118" t="s">
        <v>342</v>
      </c>
      <c r="F408" s="119">
        <v>8</v>
      </c>
      <c r="G408" s="120">
        <v>13</v>
      </c>
      <c r="H408" s="121">
        <f t="shared" si="13"/>
        <v>120</v>
      </c>
      <c r="I408" s="122">
        <f t="shared" si="12"/>
        <v>6</v>
      </c>
    </row>
    <row r="409" spans="1:9" x14ac:dyDescent="0.35">
      <c r="A409" s="117">
        <v>45595</v>
      </c>
      <c r="B409" s="118" t="s">
        <v>313</v>
      </c>
      <c r="C409" s="118" t="s">
        <v>314</v>
      </c>
      <c r="D409" s="118" t="s">
        <v>423</v>
      </c>
      <c r="E409" s="118" t="s">
        <v>345</v>
      </c>
      <c r="F409" s="119">
        <v>6</v>
      </c>
      <c r="G409" s="120">
        <v>13</v>
      </c>
      <c r="H409" s="121">
        <f t="shared" si="13"/>
        <v>96</v>
      </c>
      <c r="I409" s="122">
        <f t="shared" si="12"/>
        <v>5.76</v>
      </c>
    </row>
    <row r="410" spans="1:9" x14ac:dyDescent="0.35">
      <c r="A410" s="117">
        <v>45595</v>
      </c>
      <c r="B410" s="118" t="s">
        <v>313</v>
      </c>
      <c r="C410" s="118" t="s">
        <v>332</v>
      </c>
      <c r="D410" s="118" t="s">
        <v>320</v>
      </c>
      <c r="E410" s="118" t="s">
        <v>346</v>
      </c>
      <c r="F410" s="119">
        <v>26</v>
      </c>
      <c r="G410" s="120">
        <v>13</v>
      </c>
      <c r="H410" s="121">
        <f t="shared" si="13"/>
        <v>442</v>
      </c>
      <c r="I410" s="122">
        <f t="shared" si="12"/>
        <v>26.52</v>
      </c>
    </row>
    <row r="411" spans="1:9" x14ac:dyDescent="0.35">
      <c r="A411" s="117">
        <v>45595</v>
      </c>
      <c r="B411" s="118" t="s">
        <v>313</v>
      </c>
      <c r="C411" s="118" t="s">
        <v>393</v>
      </c>
      <c r="D411" s="118" t="s">
        <v>423</v>
      </c>
      <c r="E411" s="118" t="s">
        <v>344</v>
      </c>
      <c r="F411" s="119">
        <v>12</v>
      </c>
      <c r="G411" s="120">
        <v>13</v>
      </c>
      <c r="H411" s="121">
        <f t="shared" si="13"/>
        <v>180</v>
      </c>
      <c r="I411" s="122">
        <f t="shared" si="12"/>
        <v>10.799999999999999</v>
      </c>
    </row>
    <row r="412" spans="1:9" x14ac:dyDescent="0.35">
      <c r="A412" s="117">
        <v>45596</v>
      </c>
      <c r="B412" s="118" t="s">
        <v>327</v>
      </c>
      <c r="C412" s="118" t="s">
        <v>393</v>
      </c>
      <c r="D412" s="118" t="s">
        <v>315</v>
      </c>
      <c r="E412" s="118" t="s">
        <v>340</v>
      </c>
      <c r="F412" s="119">
        <v>16</v>
      </c>
      <c r="G412" s="120">
        <v>6</v>
      </c>
      <c r="H412" s="121">
        <f t="shared" si="13"/>
        <v>128</v>
      </c>
      <c r="I412" s="122">
        <f t="shared" si="12"/>
        <v>6.4</v>
      </c>
    </row>
    <row r="413" spans="1:9" x14ac:dyDescent="0.35">
      <c r="A413" s="117">
        <v>45596</v>
      </c>
      <c r="B413" s="118" t="s">
        <v>318</v>
      </c>
      <c r="C413" s="118" t="s">
        <v>332</v>
      </c>
      <c r="D413" s="118" t="s">
        <v>315</v>
      </c>
      <c r="E413" s="118" t="s">
        <v>340</v>
      </c>
      <c r="F413" s="119">
        <v>37</v>
      </c>
      <c r="G413" s="120">
        <v>4</v>
      </c>
      <c r="H413" s="121">
        <f t="shared" si="13"/>
        <v>296</v>
      </c>
      <c r="I413" s="122">
        <f t="shared" si="12"/>
        <v>14.8</v>
      </c>
    </row>
    <row r="414" spans="1:9" x14ac:dyDescent="0.35">
      <c r="A414" s="117">
        <v>45596</v>
      </c>
      <c r="B414" s="118" t="s">
        <v>327</v>
      </c>
      <c r="C414" s="118" t="s">
        <v>314</v>
      </c>
      <c r="D414" s="118" t="s">
        <v>320</v>
      </c>
      <c r="E414" s="118" t="s">
        <v>337</v>
      </c>
      <c r="F414" s="119">
        <v>56</v>
      </c>
      <c r="G414" s="120">
        <v>6</v>
      </c>
      <c r="H414" s="121">
        <f t="shared" si="13"/>
        <v>504</v>
      </c>
      <c r="I414" s="122">
        <f t="shared" si="12"/>
        <v>30.24</v>
      </c>
    </row>
    <row r="415" spans="1:9" x14ac:dyDescent="0.35">
      <c r="A415" s="117">
        <v>45596</v>
      </c>
      <c r="B415" s="118" t="s">
        <v>422</v>
      </c>
      <c r="C415" s="118" t="s">
        <v>332</v>
      </c>
      <c r="D415" s="118" t="s">
        <v>390</v>
      </c>
      <c r="E415" s="118" t="s">
        <v>416</v>
      </c>
      <c r="F415" s="119">
        <v>32</v>
      </c>
      <c r="G415" s="120">
        <v>24</v>
      </c>
      <c r="H415" s="121">
        <f t="shared" si="13"/>
        <v>896</v>
      </c>
      <c r="I415" s="122">
        <f t="shared" si="12"/>
        <v>44.800000000000004</v>
      </c>
    </row>
    <row r="416" spans="1:9" x14ac:dyDescent="0.35">
      <c r="A416" s="117">
        <v>45597</v>
      </c>
      <c r="B416" s="118" t="s">
        <v>318</v>
      </c>
      <c r="C416" s="118" t="s">
        <v>393</v>
      </c>
      <c r="D416" s="118" t="s">
        <v>315</v>
      </c>
      <c r="E416" s="118" t="s">
        <v>349</v>
      </c>
      <c r="F416" s="119">
        <v>14</v>
      </c>
      <c r="G416" s="120">
        <v>4</v>
      </c>
      <c r="H416" s="121">
        <f t="shared" si="13"/>
        <v>84</v>
      </c>
      <c r="I416" s="122">
        <f t="shared" si="12"/>
        <v>4.2</v>
      </c>
    </row>
    <row r="417" spans="1:9" x14ac:dyDescent="0.35">
      <c r="A417" s="117">
        <v>45597</v>
      </c>
      <c r="B417" s="118" t="s">
        <v>327</v>
      </c>
      <c r="C417" s="118" t="s">
        <v>319</v>
      </c>
      <c r="D417" s="118" t="s">
        <v>324</v>
      </c>
      <c r="E417" s="118" t="s">
        <v>346</v>
      </c>
      <c r="F417" s="119">
        <v>9</v>
      </c>
      <c r="G417" s="120">
        <v>6</v>
      </c>
      <c r="H417" s="121">
        <f t="shared" si="13"/>
        <v>63</v>
      </c>
      <c r="I417" s="122">
        <f t="shared" si="12"/>
        <v>3.1500000000000004</v>
      </c>
    </row>
    <row r="418" spans="1:9" x14ac:dyDescent="0.35">
      <c r="A418" s="117">
        <v>45597</v>
      </c>
      <c r="B418" s="118" t="s">
        <v>327</v>
      </c>
      <c r="C418" s="118" t="s">
        <v>393</v>
      </c>
      <c r="D418" s="118" t="s">
        <v>315</v>
      </c>
      <c r="E418" s="118" t="s">
        <v>344</v>
      </c>
      <c r="F418" s="119">
        <v>57</v>
      </c>
      <c r="G418" s="120">
        <v>6</v>
      </c>
      <c r="H418" s="121">
        <f t="shared" si="13"/>
        <v>456</v>
      </c>
      <c r="I418" s="122">
        <f t="shared" si="12"/>
        <v>22.8</v>
      </c>
    </row>
    <row r="419" spans="1:9" x14ac:dyDescent="0.35">
      <c r="A419" s="117">
        <v>45597</v>
      </c>
      <c r="B419" s="118" t="s">
        <v>318</v>
      </c>
      <c r="C419" s="118" t="s">
        <v>319</v>
      </c>
      <c r="D419" s="118" t="s">
        <v>315</v>
      </c>
      <c r="E419" s="118" t="s">
        <v>343</v>
      </c>
      <c r="F419" s="119">
        <v>41</v>
      </c>
      <c r="G419" s="120">
        <v>4</v>
      </c>
      <c r="H419" s="121">
        <f t="shared" si="13"/>
        <v>205</v>
      </c>
      <c r="I419" s="122">
        <f t="shared" si="12"/>
        <v>10.25</v>
      </c>
    </row>
    <row r="420" spans="1:9" x14ac:dyDescent="0.35">
      <c r="A420" s="117">
        <v>45597</v>
      </c>
      <c r="B420" s="118" t="s">
        <v>327</v>
      </c>
      <c r="C420" s="118" t="s">
        <v>314</v>
      </c>
      <c r="D420" s="118" t="s">
        <v>320</v>
      </c>
      <c r="E420" s="118" t="s">
        <v>335</v>
      </c>
      <c r="F420" s="119">
        <v>61</v>
      </c>
      <c r="G420" s="120">
        <v>6</v>
      </c>
      <c r="H420" s="121">
        <f t="shared" si="13"/>
        <v>549</v>
      </c>
      <c r="I420" s="122">
        <f t="shared" si="12"/>
        <v>32.94</v>
      </c>
    </row>
    <row r="421" spans="1:9" x14ac:dyDescent="0.35">
      <c r="A421" s="117">
        <v>45598</v>
      </c>
      <c r="B421" s="118" t="s">
        <v>327</v>
      </c>
      <c r="C421" s="118" t="s">
        <v>314</v>
      </c>
      <c r="D421" s="118" t="s">
        <v>423</v>
      </c>
      <c r="E421" s="118" t="s">
        <v>455</v>
      </c>
      <c r="F421" s="119">
        <v>7</v>
      </c>
      <c r="G421" s="120">
        <v>6</v>
      </c>
      <c r="H421" s="121">
        <f t="shared" si="13"/>
        <v>63</v>
      </c>
      <c r="I421" s="122">
        <f t="shared" si="12"/>
        <v>3.78</v>
      </c>
    </row>
    <row r="422" spans="1:9" x14ac:dyDescent="0.35">
      <c r="A422" s="117">
        <v>45598</v>
      </c>
      <c r="B422" s="118" t="s">
        <v>327</v>
      </c>
      <c r="C422" s="118" t="s">
        <v>332</v>
      </c>
      <c r="D422" s="118" t="s">
        <v>390</v>
      </c>
      <c r="E422" s="118" t="s">
        <v>346</v>
      </c>
      <c r="F422" s="119">
        <v>10</v>
      </c>
      <c r="G422" s="120">
        <v>6</v>
      </c>
      <c r="H422" s="121">
        <f t="shared" si="13"/>
        <v>100</v>
      </c>
      <c r="I422" s="122">
        <f t="shared" si="12"/>
        <v>5</v>
      </c>
    </row>
    <row r="423" spans="1:9" x14ac:dyDescent="0.35">
      <c r="A423" s="117">
        <v>45598</v>
      </c>
      <c r="B423" s="118" t="s">
        <v>327</v>
      </c>
      <c r="C423" s="118" t="s">
        <v>314</v>
      </c>
      <c r="D423" s="118" t="s">
        <v>320</v>
      </c>
      <c r="E423" s="118" t="s">
        <v>343</v>
      </c>
      <c r="F423" s="119">
        <v>23</v>
      </c>
      <c r="G423" s="120">
        <v>6</v>
      </c>
      <c r="H423" s="121">
        <f t="shared" si="13"/>
        <v>207</v>
      </c>
      <c r="I423" s="122">
        <f t="shared" si="12"/>
        <v>12.42</v>
      </c>
    </row>
    <row r="424" spans="1:9" x14ac:dyDescent="0.35">
      <c r="A424" s="117">
        <v>45599</v>
      </c>
      <c r="B424" s="118" t="s">
        <v>313</v>
      </c>
      <c r="C424" s="118" t="s">
        <v>319</v>
      </c>
      <c r="D424" s="118" t="s">
        <v>333</v>
      </c>
      <c r="E424" s="118" t="s">
        <v>348</v>
      </c>
      <c r="F424" s="119">
        <v>40</v>
      </c>
      <c r="G424" s="120">
        <v>13</v>
      </c>
      <c r="H424" s="121">
        <f t="shared" si="13"/>
        <v>560</v>
      </c>
      <c r="I424" s="122">
        <f t="shared" si="12"/>
        <v>28</v>
      </c>
    </row>
    <row r="425" spans="1:9" x14ac:dyDescent="0.35">
      <c r="A425" s="117">
        <v>45599</v>
      </c>
      <c r="B425" s="118" t="s">
        <v>327</v>
      </c>
      <c r="C425" s="118" t="s">
        <v>314</v>
      </c>
      <c r="D425" s="118" t="s">
        <v>390</v>
      </c>
      <c r="E425" s="118" t="s">
        <v>340</v>
      </c>
      <c r="F425" s="119">
        <v>41</v>
      </c>
      <c r="G425" s="120">
        <v>6</v>
      </c>
      <c r="H425" s="121">
        <f t="shared" si="13"/>
        <v>369</v>
      </c>
      <c r="I425" s="122">
        <f t="shared" si="12"/>
        <v>18.45</v>
      </c>
    </row>
    <row r="426" spans="1:9" x14ac:dyDescent="0.35">
      <c r="A426" s="117">
        <v>45599</v>
      </c>
      <c r="B426" s="118" t="s">
        <v>322</v>
      </c>
      <c r="C426" s="118" t="s">
        <v>393</v>
      </c>
      <c r="D426" s="118" t="s">
        <v>320</v>
      </c>
      <c r="E426" s="118" t="s">
        <v>340</v>
      </c>
      <c r="F426" s="119">
        <v>47</v>
      </c>
      <c r="G426" s="120">
        <v>17</v>
      </c>
      <c r="H426" s="121">
        <f t="shared" si="13"/>
        <v>893</v>
      </c>
      <c r="I426" s="122">
        <f t="shared" si="12"/>
        <v>53.58</v>
      </c>
    </row>
    <row r="427" spans="1:9" x14ac:dyDescent="0.35">
      <c r="A427" s="117">
        <v>45599</v>
      </c>
      <c r="B427" s="118" t="s">
        <v>327</v>
      </c>
      <c r="C427" s="118" t="s">
        <v>393</v>
      </c>
      <c r="D427" s="118" t="s">
        <v>324</v>
      </c>
      <c r="E427" s="118" t="s">
        <v>400</v>
      </c>
      <c r="F427" s="119">
        <v>62</v>
      </c>
      <c r="G427" s="120">
        <v>6</v>
      </c>
      <c r="H427" s="121">
        <f t="shared" si="13"/>
        <v>496</v>
      </c>
      <c r="I427" s="122">
        <f t="shared" si="12"/>
        <v>24.8</v>
      </c>
    </row>
    <row r="428" spans="1:9" x14ac:dyDescent="0.35">
      <c r="A428" s="117">
        <v>45599</v>
      </c>
      <c r="B428" s="118" t="s">
        <v>322</v>
      </c>
      <c r="C428" s="118" t="s">
        <v>319</v>
      </c>
      <c r="D428" s="118" t="s">
        <v>423</v>
      </c>
      <c r="E428" s="118" t="s">
        <v>394</v>
      </c>
      <c r="F428" s="119">
        <v>28</v>
      </c>
      <c r="G428" s="120">
        <v>17</v>
      </c>
      <c r="H428" s="121">
        <f t="shared" si="13"/>
        <v>504</v>
      </c>
      <c r="I428" s="122">
        <f t="shared" si="12"/>
        <v>30.24</v>
      </c>
    </row>
    <row r="429" spans="1:9" x14ac:dyDescent="0.35">
      <c r="A429" s="117">
        <v>45599</v>
      </c>
      <c r="B429" s="118" t="s">
        <v>322</v>
      </c>
      <c r="C429" s="118" t="s">
        <v>319</v>
      </c>
      <c r="D429" s="118" t="s">
        <v>320</v>
      </c>
      <c r="E429" s="118" t="s">
        <v>335</v>
      </c>
      <c r="F429" s="119">
        <v>63</v>
      </c>
      <c r="G429" s="120">
        <v>17</v>
      </c>
      <c r="H429" s="121">
        <f t="shared" si="13"/>
        <v>1134</v>
      </c>
      <c r="I429" s="122">
        <f t="shared" si="12"/>
        <v>68.039999999999992</v>
      </c>
    </row>
    <row r="430" spans="1:9" x14ac:dyDescent="0.35">
      <c r="A430" s="117">
        <v>45600</v>
      </c>
      <c r="B430" s="118" t="s">
        <v>322</v>
      </c>
      <c r="C430" s="118" t="s">
        <v>393</v>
      </c>
      <c r="D430" s="118" t="s">
        <v>324</v>
      </c>
      <c r="E430" s="118" t="s">
        <v>341</v>
      </c>
      <c r="F430" s="119">
        <v>26</v>
      </c>
      <c r="G430" s="120">
        <v>17</v>
      </c>
      <c r="H430" s="121">
        <f t="shared" si="13"/>
        <v>494</v>
      </c>
      <c r="I430" s="122">
        <f t="shared" si="12"/>
        <v>24.700000000000003</v>
      </c>
    </row>
    <row r="431" spans="1:9" x14ac:dyDescent="0.35">
      <c r="A431" s="117">
        <v>45600</v>
      </c>
      <c r="B431" s="118" t="s">
        <v>322</v>
      </c>
      <c r="C431" s="118" t="s">
        <v>332</v>
      </c>
      <c r="D431" s="118" t="s">
        <v>315</v>
      </c>
      <c r="E431" s="118" t="s">
        <v>348</v>
      </c>
      <c r="F431" s="119">
        <v>9</v>
      </c>
      <c r="G431" s="120">
        <v>17</v>
      </c>
      <c r="H431" s="121">
        <f t="shared" si="13"/>
        <v>189</v>
      </c>
      <c r="I431" s="122">
        <f t="shared" si="12"/>
        <v>9.4500000000000011</v>
      </c>
    </row>
    <row r="432" spans="1:9" x14ac:dyDescent="0.35">
      <c r="A432" s="117">
        <v>45600</v>
      </c>
      <c r="B432" s="118" t="s">
        <v>318</v>
      </c>
      <c r="C432" s="118" t="s">
        <v>314</v>
      </c>
      <c r="D432" s="118" t="s">
        <v>423</v>
      </c>
      <c r="E432" s="118" t="s">
        <v>395</v>
      </c>
      <c r="F432" s="119">
        <v>34</v>
      </c>
      <c r="G432" s="120">
        <v>4</v>
      </c>
      <c r="H432" s="121">
        <f t="shared" si="13"/>
        <v>238</v>
      </c>
      <c r="I432" s="122">
        <f t="shared" si="12"/>
        <v>14.28</v>
      </c>
    </row>
    <row r="433" spans="1:9" x14ac:dyDescent="0.35">
      <c r="A433" s="117">
        <v>45600</v>
      </c>
      <c r="B433" s="118" t="s">
        <v>318</v>
      </c>
      <c r="C433" s="118" t="s">
        <v>393</v>
      </c>
      <c r="D433" s="118" t="s">
        <v>333</v>
      </c>
      <c r="E433" s="118" t="s">
        <v>349</v>
      </c>
      <c r="F433" s="119">
        <v>53</v>
      </c>
      <c r="G433" s="120">
        <v>4</v>
      </c>
      <c r="H433" s="121">
        <f t="shared" si="13"/>
        <v>318</v>
      </c>
      <c r="I433" s="122">
        <f t="shared" si="12"/>
        <v>15.9</v>
      </c>
    </row>
    <row r="434" spans="1:9" x14ac:dyDescent="0.35">
      <c r="A434" s="117">
        <v>45600</v>
      </c>
      <c r="B434" s="118" t="s">
        <v>322</v>
      </c>
      <c r="C434" s="118" t="s">
        <v>393</v>
      </c>
      <c r="D434" s="118" t="s">
        <v>320</v>
      </c>
      <c r="E434" s="118" t="s">
        <v>416</v>
      </c>
      <c r="F434" s="119">
        <v>6</v>
      </c>
      <c r="G434" s="120">
        <v>17</v>
      </c>
      <c r="H434" s="121">
        <f t="shared" si="13"/>
        <v>114</v>
      </c>
      <c r="I434" s="122">
        <f t="shared" si="12"/>
        <v>6.84</v>
      </c>
    </row>
    <row r="435" spans="1:9" x14ac:dyDescent="0.35">
      <c r="A435" s="117">
        <v>45600</v>
      </c>
      <c r="B435" s="118" t="s">
        <v>422</v>
      </c>
      <c r="C435" s="118" t="s">
        <v>332</v>
      </c>
      <c r="D435" s="118" t="s">
        <v>333</v>
      </c>
      <c r="E435" s="118" t="s">
        <v>343</v>
      </c>
      <c r="F435" s="119">
        <v>54</v>
      </c>
      <c r="G435" s="120">
        <v>24</v>
      </c>
      <c r="H435" s="121">
        <f t="shared" si="13"/>
        <v>1512</v>
      </c>
      <c r="I435" s="122">
        <f t="shared" si="12"/>
        <v>75.600000000000009</v>
      </c>
    </row>
    <row r="436" spans="1:9" x14ac:dyDescent="0.35">
      <c r="A436" s="117">
        <v>45600</v>
      </c>
      <c r="B436" s="118" t="s">
        <v>327</v>
      </c>
      <c r="C436" s="118" t="s">
        <v>332</v>
      </c>
      <c r="D436" s="118" t="s">
        <v>315</v>
      </c>
      <c r="E436" s="118" t="s">
        <v>405</v>
      </c>
      <c r="F436" s="119">
        <v>52</v>
      </c>
      <c r="G436" s="120">
        <v>6</v>
      </c>
      <c r="H436" s="121">
        <f t="shared" si="13"/>
        <v>520</v>
      </c>
      <c r="I436" s="122">
        <f t="shared" si="12"/>
        <v>26</v>
      </c>
    </row>
    <row r="437" spans="1:9" x14ac:dyDescent="0.35">
      <c r="A437" s="117">
        <v>45601</v>
      </c>
      <c r="B437" s="118" t="s">
        <v>318</v>
      </c>
      <c r="C437" s="118" t="s">
        <v>393</v>
      </c>
      <c r="D437" s="118" t="s">
        <v>320</v>
      </c>
      <c r="E437" s="118" t="s">
        <v>455</v>
      </c>
      <c r="F437" s="119">
        <v>49</v>
      </c>
      <c r="G437" s="120">
        <v>4</v>
      </c>
      <c r="H437" s="121">
        <f t="shared" si="13"/>
        <v>294</v>
      </c>
      <c r="I437" s="122">
        <f t="shared" si="12"/>
        <v>17.64</v>
      </c>
    </row>
    <row r="438" spans="1:9" x14ac:dyDescent="0.35">
      <c r="A438" s="117">
        <v>45601</v>
      </c>
      <c r="B438" s="118" t="s">
        <v>322</v>
      </c>
      <c r="C438" s="118" t="s">
        <v>319</v>
      </c>
      <c r="D438" s="118" t="s">
        <v>338</v>
      </c>
      <c r="E438" s="118" t="s">
        <v>388</v>
      </c>
      <c r="F438" s="119">
        <v>31</v>
      </c>
      <c r="G438" s="120">
        <v>17</v>
      </c>
      <c r="H438" s="121">
        <f t="shared" si="13"/>
        <v>558</v>
      </c>
      <c r="I438" s="122">
        <f t="shared" si="12"/>
        <v>33.479999999999997</v>
      </c>
    </row>
    <row r="439" spans="1:9" x14ac:dyDescent="0.35">
      <c r="A439" s="117">
        <v>45601</v>
      </c>
      <c r="B439" s="118" t="s">
        <v>422</v>
      </c>
      <c r="C439" s="118" t="s">
        <v>332</v>
      </c>
      <c r="D439" s="118" t="s">
        <v>333</v>
      </c>
      <c r="E439" s="118" t="s">
        <v>340</v>
      </c>
      <c r="F439" s="119">
        <v>22</v>
      </c>
      <c r="G439" s="120">
        <v>24</v>
      </c>
      <c r="H439" s="121">
        <f t="shared" si="13"/>
        <v>616</v>
      </c>
      <c r="I439" s="122">
        <f t="shared" si="12"/>
        <v>30.8</v>
      </c>
    </row>
    <row r="440" spans="1:9" x14ac:dyDescent="0.35">
      <c r="A440" s="117">
        <v>45601</v>
      </c>
      <c r="B440" s="118" t="s">
        <v>327</v>
      </c>
      <c r="C440" s="118" t="s">
        <v>319</v>
      </c>
      <c r="D440" s="118" t="s">
        <v>390</v>
      </c>
      <c r="E440" s="118" t="s">
        <v>340</v>
      </c>
      <c r="F440" s="119">
        <v>42</v>
      </c>
      <c r="G440" s="120">
        <v>6</v>
      </c>
      <c r="H440" s="121">
        <f t="shared" si="13"/>
        <v>294</v>
      </c>
      <c r="I440" s="122">
        <f t="shared" si="12"/>
        <v>14.700000000000001</v>
      </c>
    </row>
    <row r="441" spans="1:9" x14ac:dyDescent="0.35">
      <c r="A441" s="117">
        <v>45601</v>
      </c>
      <c r="B441" s="118" t="s">
        <v>327</v>
      </c>
      <c r="C441" s="118" t="s">
        <v>393</v>
      </c>
      <c r="D441" s="118" t="s">
        <v>315</v>
      </c>
      <c r="E441" s="118" t="s">
        <v>416</v>
      </c>
      <c r="F441" s="119">
        <v>65</v>
      </c>
      <c r="G441" s="120">
        <v>6</v>
      </c>
      <c r="H441" s="121">
        <f t="shared" si="13"/>
        <v>520</v>
      </c>
      <c r="I441" s="122">
        <f t="shared" si="12"/>
        <v>26</v>
      </c>
    </row>
    <row r="442" spans="1:9" x14ac:dyDescent="0.35">
      <c r="A442" s="117">
        <v>45602</v>
      </c>
      <c r="B442" s="118" t="s">
        <v>327</v>
      </c>
      <c r="C442" s="118" t="s">
        <v>332</v>
      </c>
      <c r="D442" s="118" t="s">
        <v>315</v>
      </c>
      <c r="E442" s="118" t="s">
        <v>345</v>
      </c>
      <c r="F442" s="119">
        <v>30</v>
      </c>
      <c r="G442" s="120">
        <v>6</v>
      </c>
      <c r="H442" s="121">
        <f t="shared" si="13"/>
        <v>300</v>
      </c>
      <c r="I442" s="122">
        <f t="shared" si="12"/>
        <v>15</v>
      </c>
    </row>
    <row r="443" spans="1:9" x14ac:dyDescent="0.35">
      <c r="A443" s="117">
        <v>45602</v>
      </c>
      <c r="B443" s="118" t="s">
        <v>327</v>
      </c>
      <c r="C443" s="118" t="s">
        <v>319</v>
      </c>
      <c r="D443" s="118" t="s">
        <v>390</v>
      </c>
      <c r="E443" s="118" t="s">
        <v>346</v>
      </c>
      <c r="F443" s="119">
        <v>35</v>
      </c>
      <c r="G443" s="120">
        <v>6</v>
      </c>
      <c r="H443" s="121">
        <f t="shared" si="13"/>
        <v>245</v>
      </c>
      <c r="I443" s="122">
        <f t="shared" si="12"/>
        <v>12.25</v>
      </c>
    </row>
    <row r="444" spans="1:9" x14ac:dyDescent="0.35">
      <c r="A444" s="117">
        <v>45603</v>
      </c>
      <c r="B444" s="118" t="s">
        <v>422</v>
      </c>
      <c r="C444" s="118" t="s">
        <v>319</v>
      </c>
      <c r="D444" s="118" t="s">
        <v>423</v>
      </c>
      <c r="E444" s="118" t="s">
        <v>341</v>
      </c>
      <c r="F444" s="119">
        <v>13</v>
      </c>
      <c r="G444" s="120">
        <v>24</v>
      </c>
      <c r="H444" s="121">
        <f t="shared" si="13"/>
        <v>325</v>
      </c>
      <c r="I444" s="122">
        <f t="shared" si="12"/>
        <v>19.5</v>
      </c>
    </row>
    <row r="445" spans="1:9" x14ac:dyDescent="0.35">
      <c r="A445" s="117">
        <v>45603</v>
      </c>
      <c r="B445" s="118" t="s">
        <v>318</v>
      </c>
      <c r="C445" s="118" t="s">
        <v>319</v>
      </c>
      <c r="D445" s="118" t="s">
        <v>390</v>
      </c>
      <c r="E445" s="118" t="s">
        <v>341</v>
      </c>
      <c r="F445" s="119">
        <v>39</v>
      </c>
      <c r="G445" s="120">
        <v>4</v>
      </c>
      <c r="H445" s="121">
        <f t="shared" si="13"/>
        <v>195</v>
      </c>
      <c r="I445" s="122">
        <f t="shared" si="12"/>
        <v>9.75</v>
      </c>
    </row>
    <row r="446" spans="1:9" x14ac:dyDescent="0.35">
      <c r="A446" s="117">
        <v>45603</v>
      </c>
      <c r="B446" s="118" t="s">
        <v>322</v>
      </c>
      <c r="C446" s="118" t="s">
        <v>319</v>
      </c>
      <c r="D446" s="118" t="s">
        <v>320</v>
      </c>
      <c r="E446" s="118" t="s">
        <v>340</v>
      </c>
      <c r="F446" s="119">
        <v>21</v>
      </c>
      <c r="G446" s="120">
        <v>17</v>
      </c>
      <c r="H446" s="121">
        <f t="shared" si="13"/>
        <v>378</v>
      </c>
      <c r="I446" s="122">
        <f t="shared" si="12"/>
        <v>22.68</v>
      </c>
    </row>
    <row r="447" spans="1:9" x14ac:dyDescent="0.35">
      <c r="A447" s="117">
        <v>45603</v>
      </c>
      <c r="B447" s="118" t="s">
        <v>318</v>
      </c>
      <c r="C447" s="118" t="s">
        <v>393</v>
      </c>
      <c r="D447" s="118" t="s">
        <v>320</v>
      </c>
      <c r="E447" s="118" t="s">
        <v>340</v>
      </c>
      <c r="F447" s="119">
        <v>9</v>
      </c>
      <c r="G447" s="120">
        <v>4</v>
      </c>
      <c r="H447" s="121">
        <f t="shared" si="13"/>
        <v>54</v>
      </c>
      <c r="I447" s="122">
        <f t="shared" si="12"/>
        <v>3.2399999999999998</v>
      </c>
    </row>
    <row r="448" spans="1:9" x14ac:dyDescent="0.35">
      <c r="A448" s="117">
        <v>45603</v>
      </c>
      <c r="B448" s="118" t="s">
        <v>327</v>
      </c>
      <c r="C448" s="118" t="s">
        <v>332</v>
      </c>
      <c r="D448" s="118" t="s">
        <v>338</v>
      </c>
      <c r="E448" s="118" t="s">
        <v>350</v>
      </c>
      <c r="F448" s="119">
        <v>51</v>
      </c>
      <c r="G448" s="120">
        <v>6</v>
      </c>
      <c r="H448" s="121">
        <f t="shared" si="13"/>
        <v>510</v>
      </c>
      <c r="I448" s="122">
        <f t="shared" si="12"/>
        <v>30.599999999999998</v>
      </c>
    </row>
    <row r="449" spans="1:9" x14ac:dyDescent="0.35">
      <c r="A449" s="117">
        <v>45604</v>
      </c>
      <c r="B449" s="118" t="s">
        <v>327</v>
      </c>
      <c r="C449" s="118" t="s">
        <v>332</v>
      </c>
      <c r="D449" s="118" t="s">
        <v>315</v>
      </c>
      <c r="E449" s="118" t="s">
        <v>348</v>
      </c>
      <c r="F449" s="119">
        <v>43</v>
      </c>
      <c r="G449" s="120">
        <v>6</v>
      </c>
      <c r="H449" s="121">
        <f t="shared" si="13"/>
        <v>430</v>
      </c>
      <c r="I449" s="122">
        <f t="shared" si="12"/>
        <v>21.5</v>
      </c>
    </row>
    <row r="450" spans="1:9" x14ac:dyDescent="0.35">
      <c r="A450" s="117">
        <v>45604</v>
      </c>
      <c r="B450" s="118" t="s">
        <v>322</v>
      </c>
      <c r="C450" s="118" t="s">
        <v>332</v>
      </c>
      <c r="D450" s="118" t="s">
        <v>390</v>
      </c>
      <c r="E450" s="118" t="s">
        <v>347</v>
      </c>
      <c r="F450" s="119">
        <v>13</v>
      </c>
      <c r="G450" s="120">
        <v>17</v>
      </c>
      <c r="H450" s="121">
        <f t="shared" si="13"/>
        <v>273</v>
      </c>
      <c r="I450" s="122">
        <f t="shared" ref="I450:I513" si="14">H450*VLOOKUP(D450,$O$4:$P$10,2,TRUE)</f>
        <v>13.65</v>
      </c>
    </row>
    <row r="451" spans="1:9" x14ac:dyDescent="0.35">
      <c r="A451" s="117">
        <v>45606</v>
      </c>
      <c r="B451" s="118" t="s">
        <v>322</v>
      </c>
      <c r="C451" s="118" t="s">
        <v>314</v>
      </c>
      <c r="D451" s="118" t="s">
        <v>315</v>
      </c>
      <c r="E451" s="118" t="s">
        <v>341</v>
      </c>
      <c r="F451" s="119">
        <v>61</v>
      </c>
      <c r="G451" s="120">
        <v>17</v>
      </c>
      <c r="H451" s="121">
        <f t="shared" ref="H451:H514" si="15">(F451*G451)+VLOOKUP(C451,$K$11:$L$14,2,FALSE)*F451</f>
        <v>1220</v>
      </c>
      <c r="I451" s="122">
        <f t="shared" si="14"/>
        <v>61</v>
      </c>
    </row>
    <row r="452" spans="1:9" x14ac:dyDescent="0.35">
      <c r="A452" s="117">
        <v>45606</v>
      </c>
      <c r="B452" s="118" t="s">
        <v>313</v>
      </c>
      <c r="C452" s="118" t="s">
        <v>332</v>
      </c>
      <c r="D452" s="118" t="s">
        <v>324</v>
      </c>
      <c r="E452" s="118" t="s">
        <v>340</v>
      </c>
      <c r="F452" s="119">
        <v>39</v>
      </c>
      <c r="G452" s="120">
        <v>13</v>
      </c>
      <c r="H452" s="121">
        <f t="shared" si="15"/>
        <v>663</v>
      </c>
      <c r="I452" s="122">
        <f t="shared" si="14"/>
        <v>33.15</v>
      </c>
    </row>
    <row r="453" spans="1:9" x14ac:dyDescent="0.35">
      <c r="A453" s="117">
        <v>45606</v>
      </c>
      <c r="B453" s="118" t="s">
        <v>422</v>
      </c>
      <c r="C453" s="118" t="s">
        <v>393</v>
      </c>
      <c r="D453" s="118" t="s">
        <v>324</v>
      </c>
      <c r="E453" s="118" t="s">
        <v>454</v>
      </c>
      <c r="F453" s="119">
        <v>48</v>
      </c>
      <c r="G453" s="120">
        <v>24</v>
      </c>
      <c r="H453" s="121">
        <f t="shared" si="15"/>
        <v>1248</v>
      </c>
      <c r="I453" s="122">
        <f t="shared" si="14"/>
        <v>62.400000000000006</v>
      </c>
    </row>
    <row r="454" spans="1:9" x14ac:dyDescent="0.35">
      <c r="A454" s="117">
        <v>45607</v>
      </c>
      <c r="B454" s="118" t="s">
        <v>422</v>
      </c>
      <c r="C454" s="118" t="s">
        <v>332</v>
      </c>
      <c r="D454" s="118" t="s">
        <v>320</v>
      </c>
      <c r="E454" s="118" t="s">
        <v>455</v>
      </c>
      <c r="F454" s="119">
        <v>53</v>
      </c>
      <c r="G454" s="120">
        <v>24</v>
      </c>
      <c r="H454" s="121">
        <f t="shared" si="15"/>
        <v>1484</v>
      </c>
      <c r="I454" s="122">
        <f t="shared" si="14"/>
        <v>89.039999999999992</v>
      </c>
    </row>
    <row r="455" spans="1:9" x14ac:dyDescent="0.35">
      <c r="A455" s="117">
        <v>45607</v>
      </c>
      <c r="B455" s="118" t="s">
        <v>318</v>
      </c>
      <c r="C455" s="118" t="s">
        <v>314</v>
      </c>
      <c r="D455" s="118" t="s">
        <v>333</v>
      </c>
      <c r="E455" s="118" t="s">
        <v>455</v>
      </c>
      <c r="F455" s="119">
        <v>53</v>
      </c>
      <c r="G455" s="120">
        <v>4</v>
      </c>
      <c r="H455" s="121">
        <f t="shared" si="15"/>
        <v>371</v>
      </c>
      <c r="I455" s="122">
        <f t="shared" si="14"/>
        <v>18.55</v>
      </c>
    </row>
    <row r="456" spans="1:9" x14ac:dyDescent="0.35">
      <c r="A456" s="117">
        <v>45607</v>
      </c>
      <c r="B456" s="118" t="s">
        <v>322</v>
      </c>
      <c r="C456" s="118" t="s">
        <v>393</v>
      </c>
      <c r="D456" s="118" t="s">
        <v>315</v>
      </c>
      <c r="E456" s="118" t="s">
        <v>346</v>
      </c>
      <c r="F456" s="119">
        <v>60</v>
      </c>
      <c r="G456" s="120">
        <v>17</v>
      </c>
      <c r="H456" s="121">
        <f t="shared" si="15"/>
        <v>1140</v>
      </c>
      <c r="I456" s="122">
        <f t="shared" si="14"/>
        <v>57</v>
      </c>
    </row>
    <row r="457" spans="1:9" x14ac:dyDescent="0.35">
      <c r="A457" s="117">
        <v>45607</v>
      </c>
      <c r="B457" s="118" t="s">
        <v>318</v>
      </c>
      <c r="C457" s="118" t="s">
        <v>314</v>
      </c>
      <c r="D457" s="118" t="s">
        <v>333</v>
      </c>
      <c r="E457" s="118" t="s">
        <v>343</v>
      </c>
      <c r="F457" s="119">
        <v>55</v>
      </c>
      <c r="G457" s="120">
        <v>4</v>
      </c>
      <c r="H457" s="121">
        <f t="shared" si="15"/>
        <v>385</v>
      </c>
      <c r="I457" s="122">
        <f t="shared" si="14"/>
        <v>19.25</v>
      </c>
    </row>
    <row r="458" spans="1:9" x14ac:dyDescent="0.35">
      <c r="A458" s="117">
        <v>45607</v>
      </c>
      <c r="B458" s="118" t="s">
        <v>313</v>
      </c>
      <c r="C458" s="118" t="s">
        <v>314</v>
      </c>
      <c r="D458" s="118" t="s">
        <v>423</v>
      </c>
      <c r="E458" s="118" t="s">
        <v>343</v>
      </c>
      <c r="F458" s="119">
        <v>13</v>
      </c>
      <c r="G458" s="120">
        <v>13</v>
      </c>
      <c r="H458" s="121">
        <f t="shared" si="15"/>
        <v>208</v>
      </c>
      <c r="I458" s="122">
        <f t="shared" si="14"/>
        <v>12.48</v>
      </c>
    </row>
    <row r="459" spans="1:9" x14ac:dyDescent="0.35">
      <c r="A459" s="117">
        <v>45607</v>
      </c>
      <c r="B459" s="118" t="s">
        <v>313</v>
      </c>
      <c r="C459" s="118" t="s">
        <v>332</v>
      </c>
      <c r="D459" s="118" t="s">
        <v>390</v>
      </c>
      <c r="E459" s="118" t="s">
        <v>335</v>
      </c>
      <c r="F459" s="119">
        <v>28</v>
      </c>
      <c r="G459" s="120">
        <v>13</v>
      </c>
      <c r="H459" s="121">
        <f t="shared" si="15"/>
        <v>476</v>
      </c>
      <c r="I459" s="122">
        <f t="shared" si="14"/>
        <v>23.8</v>
      </c>
    </row>
    <row r="460" spans="1:9" x14ac:dyDescent="0.35">
      <c r="A460" s="117">
        <v>45608</v>
      </c>
      <c r="B460" s="118" t="s">
        <v>318</v>
      </c>
      <c r="C460" s="118" t="s">
        <v>319</v>
      </c>
      <c r="D460" s="118" t="s">
        <v>324</v>
      </c>
      <c r="E460" s="118" t="s">
        <v>406</v>
      </c>
      <c r="F460" s="119">
        <v>52</v>
      </c>
      <c r="G460" s="120">
        <v>4</v>
      </c>
      <c r="H460" s="121">
        <f t="shared" si="15"/>
        <v>260</v>
      </c>
      <c r="I460" s="122">
        <f t="shared" si="14"/>
        <v>13</v>
      </c>
    </row>
    <row r="461" spans="1:9" x14ac:dyDescent="0.35">
      <c r="A461" s="117">
        <v>45608</v>
      </c>
      <c r="B461" s="118" t="s">
        <v>422</v>
      </c>
      <c r="C461" s="118" t="s">
        <v>393</v>
      </c>
      <c r="D461" s="118" t="s">
        <v>315</v>
      </c>
      <c r="E461" s="118" t="s">
        <v>349</v>
      </c>
      <c r="F461" s="119">
        <v>19</v>
      </c>
      <c r="G461" s="120">
        <v>24</v>
      </c>
      <c r="H461" s="121">
        <f t="shared" si="15"/>
        <v>494</v>
      </c>
      <c r="I461" s="122">
        <f t="shared" si="14"/>
        <v>24.700000000000003</v>
      </c>
    </row>
    <row r="462" spans="1:9" x14ac:dyDescent="0.35">
      <c r="A462" s="117">
        <v>45609</v>
      </c>
      <c r="B462" s="118" t="s">
        <v>322</v>
      </c>
      <c r="C462" s="118" t="s">
        <v>393</v>
      </c>
      <c r="D462" s="118" t="s">
        <v>324</v>
      </c>
      <c r="E462" s="118" t="s">
        <v>341</v>
      </c>
      <c r="F462" s="119">
        <v>7</v>
      </c>
      <c r="G462" s="120">
        <v>17</v>
      </c>
      <c r="H462" s="121">
        <f t="shared" si="15"/>
        <v>133</v>
      </c>
      <c r="I462" s="122">
        <f t="shared" si="14"/>
        <v>6.65</v>
      </c>
    </row>
    <row r="463" spans="1:9" x14ac:dyDescent="0.35">
      <c r="A463" s="117">
        <v>45609</v>
      </c>
      <c r="B463" s="118" t="s">
        <v>322</v>
      </c>
      <c r="C463" s="118" t="s">
        <v>319</v>
      </c>
      <c r="D463" s="118" t="s">
        <v>315</v>
      </c>
      <c r="E463" s="118" t="s">
        <v>395</v>
      </c>
      <c r="F463" s="119">
        <v>64</v>
      </c>
      <c r="G463" s="120">
        <v>17</v>
      </c>
      <c r="H463" s="121">
        <f t="shared" si="15"/>
        <v>1152</v>
      </c>
      <c r="I463" s="122">
        <f t="shared" si="14"/>
        <v>57.6</v>
      </c>
    </row>
    <row r="464" spans="1:9" x14ac:dyDescent="0.35">
      <c r="A464" s="117">
        <v>45609</v>
      </c>
      <c r="B464" s="118" t="s">
        <v>327</v>
      </c>
      <c r="C464" s="118" t="s">
        <v>319</v>
      </c>
      <c r="D464" s="118" t="s">
        <v>390</v>
      </c>
      <c r="E464" s="118" t="s">
        <v>346</v>
      </c>
      <c r="F464" s="119">
        <v>46</v>
      </c>
      <c r="G464" s="120">
        <v>6</v>
      </c>
      <c r="H464" s="121">
        <f t="shared" si="15"/>
        <v>322</v>
      </c>
      <c r="I464" s="122">
        <f t="shared" si="14"/>
        <v>16.100000000000001</v>
      </c>
    </row>
    <row r="465" spans="1:9" x14ac:dyDescent="0.35">
      <c r="A465" s="117">
        <v>45609</v>
      </c>
      <c r="B465" s="118" t="s">
        <v>327</v>
      </c>
      <c r="C465" s="118" t="s">
        <v>319</v>
      </c>
      <c r="D465" s="118" t="s">
        <v>423</v>
      </c>
      <c r="E465" s="118" t="s">
        <v>394</v>
      </c>
      <c r="F465" s="119">
        <v>20</v>
      </c>
      <c r="G465" s="120">
        <v>6</v>
      </c>
      <c r="H465" s="121">
        <f t="shared" si="15"/>
        <v>140</v>
      </c>
      <c r="I465" s="122">
        <f t="shared" si="14"/>
        <v>8.4</v>
      </c>
    </row>
    <row r="466" spans="1:9" x14ac:dyDescent="0.35">
      <c r="A466" s="117">
        <v>45610</v>
      </c>
      <c r="B466" s="118" t="s">
        <v>422</v>
      </c>
      <c r="C466" s="118" t="s">
        <v>314</v>
      </c>
      <c r="D466" s="118" t="s">
        <v>315</v>
      </c>
      <c r="E466" s="118" t="s">
        <v>455</v>
      </c>
      <c r="F466" s="119">
        <v>36</v>
      </c>
      <c r="G466" s="120">
        <v>24</v>
      </c>
      <c r="H466" s="121">
        <f t="shared" si="15"/>
        <v>972</v>
      </c>
      <c r="I466" s="122">
        <f t="shared" si="14"/>
        <v>48.6</v>
      </c>
    </row>
    <row r="467" spans="1:9" x14ac:dyDescent="0.35">
      <c r="A467" s="117">
        <v>45610</v>
      </c>
      <c r="B467" s="118" t="s">
        <v>313</v>
      </c>
      <c r="C467" s="118" t="s">
        <v>314</v>
      </c>
      <c r="D467" s="118" t="s">
        <v>320</v>
      </c>
      <c r="E467" s="118" t="s">
        <v>348</v>
      </c>
      <c r="F467" s="119">
        <v>64</v>
      </c>
      <c r="G467" s="120">
        <v>13</v>
      </c>
      <c r="H467" s="121">
        <f t="shared" si="15"/>
        <v>1024</v>
      </c>
      <c r="I467" s="122">
        <f t="shared" si="14"/>
        <v>61.44</v>
      </c>
    </row>
    <row r="468" spans="1:9" x14ac:dyDescent="0.35">
      <c r="A468" s="117">
        <v>45610</v>
      </c>
      <c r="B468" s="118" t="s">
        <v>318</v>
      </c>
      <c r="C468" s="118" t="s">
        <v>314</v>
      </c>
      <c r="D468" s="118" t="s">
        <v>324</v>
      </c>
      <c r="E468" s="118" t="s">
        <v>395</v>
      </c>
      <c r="F468" s="119">
        <v>43</v>
      </c>
      <c r="G468" s="120">
        <v>4</v>
      </c>
      <c r="H468" s="121">
        <f t="shared" si="15"/>
        <v>301</v>
      </c>
      <c r="I468" s="122">
        <f t="shared" si="14"/>
        <v>15.05</v>
      </c>
    </row>
    <row r="469" spans="1:9" x14ac:dyDescent="0.35">
      <c r="A469" s="117">
        <v>45611</v>
      </c>
      <c r="B469" s="118" t="s">
        <v>318</v>
      </c>
      <c r="C469" s="118" t="s">
        <v>332</v>
      </c>
      <c r="D469" s="118" t="s">
        <v>320</v>
      </c>
      <c r="E469" s="118" t="s">
        <v>406</v>
      </c>
      <c r="F469" s="119">
        <v>39</v>
      </c>
      <c r="G469" s="120">
        <v>4</v>
      </c>
      <c r="H469" s="121">
        <f t="shared" si="15"/>
        <v>312</v>
      </c>
      <c r="I469" s="122">
        <f t="shared" si="14"/>
        <v>18.72</v>
      </c>
    </row>
    <row r="470" spans="1:9" x14ac:dyDescent="0.35">
      <c r="A470" s="117">
        <v>45611</v>
      </c>
      <c r="B470" s="118" t="s">
        <v>313</v>
      </c>
      <c r="C470" s="118" t="s">
        <v>332</v>
      </c>
      <c r="D470" s="118" t="s">
        <v>320</v>
      </c>
      <c r="E470" s="118" t="s">
        <v>340</v>
      </c>
      <c r="F470" s="119">
        <v>56</v>
      </c>
      <c r="G470" s="120">
        <v>13</v>
      </c>
      <c r="H470" s="121">
        <f t="shared" si="15"/>
        <v>952</v>
      </c>
      <c r="I470" s="122">
        <f t="shared" si="14"/>
        <v>57.12</v>
      </c>
    </row>
    <row r="471" spans="1:9" x14ac:dyDescent="0.35">
      <c r="A471" s="117">
        <v>45611</v>
      </c>
      <c r="B471" s="118" t="s">
        <v>422</v>
      </c>
      <c r="C471" s="118" t="s">
        <v>314</v>
      </c>
      <c r="D471" s="118" t="s">
        <v>324</v>
      </c>
      <c r="E471" s="118" t="s">
        <v>339</v>
      </c>
      <c r="F471" s="119">
        <v>39</v>
      </c>
      <c r="G471" s="120">
        <v>24</v>
      </c>
      <c r="H471" s="121">
        <f t="shared" si="15"/>
        <v>1053</v>
      </c>
      <c r="I471" s="122">
        <f t="shared" si="14"/>
        <v>52.650000000000006</v>
      </c>
    </row>
    <row r="472" spans="1:9" x14ac:dyDescent="0.35">
      <c r="A472" s="117">
        <v>45611</v>
      </c>
      <c r="B472" s="118" t="s">
        <v>313</v>
      </c>
      <c r="C472" s="118" t="s">
        <v>314</v>
      </c>
      <c r="D472" s="118" t="s">
        <v>423</v>
      </c>
      <c r="E472" s="118" t="s">
        <v>416</v>
      </c>
      <c r="F472" s="119">
        <v>36</v>
      </c>
      <c r="G472" s="120">
        <v>13</v>
      </c>
      <c r="H472" s="121">
        <f t="shared" si="15"/>
        <v>576</v>
      </c>
      <c r="I472" s="122">
        <f t="shared" si="14"/>
        <v>34.56</v>
      </c>
    </row>
    <row r="473" spans="1:9" x14ac:dyDescent="0.35">
      <c r="A473" s="117">
        <v>45612</v>
      </c>
      <c r="B473" s="118" t="s">
        <v>313</v>
      </c>
      <c r="C473" s="118" t="s">
        <v>319</v>
      </c>
      <c r="D473" s="118" t="s">
        <v>423</v>
      </c>
      <c r="E473" s="118" t="s">
        <v>348</v>
      </c>
      <c r="F473" s="119">
        <v>11</v>
      </c>
      <c r="G473" s="120">
        <v>13</v>
      </c>
      <c r="H473" s="121">
        <f t="shared" si="15"/>
        <v>154</v>
      </c>
      <c r="I473" s="122">
        <f t="shared" si="14"/>
        <v>9.24</v>
      </c>
    </row>
    <row r="474" spans="1:9" x14ac:dyDescent="0.35">
      <c r="A474" s="117">
        <v>45612</v>
      </c>
      <c r="B474" s="118" t="s">
        <v>318</v>
      </c>
      <c r="C474" s="118" t="s">
        <v>393</v>
      </c>
      <c r="D474" s="118" t="s">
        <v>315</v>
      </c>
      <c r="E474" s="118" t="s">
        <v>405</v>
      </c>
      <c r="F474" s="119">
        <v>38</v>
      </c>
      <c r="G474" s="120">
        <v>4</v>
      </c>
      <c r="H474" s="121">
        <f t="shared" si="15"/>
        <v>228</v>
      </c>
      <c r="I474" s="122">
        <f t="shared" si="14"/>
        <v>11.4</v>
      </c>
    </row>
    <row r="475" spans="1:9" x14ac:dyDescent="0.35">
      <c r="A475" s="117">
        <v>45613</v>
      </c>
      <c r="B475" s="118" t="s">
        <v>322</v>
      </c>
      <c r="C475" s="118" t="s">
        <v>393</v>
      </c>
      <c r="D475" s="118" t="s">
        <v>390</v>
      </c>
      <c r="E475" s="118" t="s">
        <v>342</v>
      </c>
      <c r="F475" s="119">
        <v>63</v>
      </c>
      <c r="G475" s="120">
        <v>17</v>
      </c>
      <c r="H475" s="121">
        <f t="shared" si="15"/>
        <v>1197</v>
      </c>
      <c r="I475" s="122">
        <f t="shared" si="14"/>
        <v>59.85</v>
      </c>
    </row>
    <row r="476" spans="1:9" x14ac:dyDescent="0.35">
      <c r="A476" s="117">
        <v>45613</v>
      </c>
      <c r="B476" s="118" t="s">
        <v>313</v>
      </c>
      <c r="C476" s="118" t="s">
        <v>393</v>
      </c>
      <c r="D476" s="118" t="s">
        <v>423</v>
      </c>
      <c r="E476" s="118" t="s">
        <v>416</v>
      </c>
      <c r="F476" s="119">
        <v>20</v>
      </c>
      <c r="G476" s="120">
        <v>13</v>
      </c>
      <c r="H476" s="121">
        <f t="shared" si="15"/>
        <v>300</v>
      </c>
      <c r="I476" s="122">
        <f t="shared" si="14"/>
        <v>18</v>
      </c>
    </row>
    <row r="477" spans="1:9" x14ac:dyDescent="0.35">
      <c r="A477" s="117">
        <v>45613</v>
      </c>
      <c r="B477" s="118" t="s">
        <v>322</v>
      </c>
      <c r="C477" s="118" t="s">
        <v>314</v>
      </c>
      <c r="D477" s="118" t="s">
        <v>390</v>
      </c>
      <c r="E477" s="118" t="s">
        <v>405</v>
      </c>
      <c r="F477" s="119">
        <v>60</v>
      </c>
      <c r="G477" s="120">
        <v>17</v>
      </c>
      <c r="H477" s="121">
        <f t="shared" si="15"/>
        <v>1200</v>
      </c>
      <c r="I477" s="122">
        <f t="shared" si="14"/>
        <v>60</v>
      </c>
    </row>
    <row r="478" spans="1:9" x14ac:dyDescent="0.35">
      <c r="A478" s="117">
        <v>45614</v>
      </c>
      <c r="B478" s="118" t="s">
        <v>422</v>
      </c>
      <c r="C478" s="118" t="s">
        <v>393</v>
      </c>
      <c r="D478" s="118" t="s">
        <v>338</v>
      </c>
      <c r="E478" s="118" t="s">
        <v>388</v>
      </c>
      <c r="F478" s="119">
        <v>22</v>
      </c>
      <c r="G478" s="120">
        <v>24</v>
      </c>
      <c r="H478" s="121">
        <f t="shared" si="15"/>
        <v>572</v>
      </c>
      <c r="I478" s="122">
        <f t="shared" si="14"/>
        <v>34.32</v>
      </c>
    </row>
    <row r="479" spans="1:9" x14ac:dyDescent="0.35">
      <c r="A479" s="117">
        <v>45614</v>
      </c>
      <c r="B479" s="118" t="s">
        <v>422</v>
      </c>
      <c r="C479" s="118" t="s">
        <v>319</v>
      </c>
      <c r="D479" s="118" t="s">
        <v>390</v>
      </c>
      <c r="E479" s="118" t="s">
        <v>344</v>
      </c>
      <c r="F479" s="119">
        <v>37</v>
      </c>
      <c r="G479" s="120">
        <v>24</v>
      </c>
      <c r="H479" s="121">
        <f t="shared" si="15"/>
        <v>925</v>
      </c>
      <c r="I479" s="122">
        <f t="shared" si="14"/>
        <v>46.25</v>
      </c>
    </row>
    <row r="480" spans="1:9" x14ac:dyDescent="0.35">
      <c r="A480" s="117">
        <v>45615</v>
      </c>
      <c r="B480" s="118" t="s">
        <v>422</v>
      </c>
      <c r="C480" s="118" t="s">
        <v>332</v>
      </c>
      <c r="D480" s="118" t="s">
        <v>333</v>
      </c>
      <c r="E480" s="118" t="s">
        <v>337</v>
      </c>
      <c r="F480" s="119">
        <v>13</v>
      </c>
      <c r="G480" s="120">
        <v>24</v>
      </c>
      <c r="H480" s="121">
        <f t="shared" si="15"/>
        <v>364</v>
      </c>
      <c r="I480" s="122">
        <f t="shared" si="14"/>
        <v>18.2</v>
      </c>
    </row>
    <row r="481" spans="1:9" x14ac:dyDescent="0.35">
      <c r="A481" s="117">
        <v>45615</v>
      </c>
      <c r="B481" s="118" t="s">
        <v>327</v>
      </c>
      <c r="C481" s="118" t="s">
        <v>314</v>
      </c>
      <c r="D481" s="118" t="s">
        <v>423</v>
      </c>
      <c r="E481" s="118" t="s">
        <v>344</v>
      </c>
      <c r="F481" s="119">
        <v>6</v>
      </c>
      <c r="G481" s="120">
        <v>6</v>
      </c>
      <c r="H481" s="121">
        <f t="shared" si="15"/>
        <v>54</v>
      </c>
      <c r="I481" s="122">
        <f t="shared" si="14"/>
        <v>3.2399999999999998</v>
      </c>
    </row>
    <row r="482" spans="1:9" x14ac:dyDescent="0.35">
      <c r="A482" s="117">
        <v>45615</v>
      </c>
      <c r="B482" s="118" t="s">
        <v>327</v>
      </c>
      <c r="C482" s="118" t="s">
        <v>314</v>
      </c>
      <c r="D482" s="118" t="s">
        <v>333</v>
      </c>
      <c r="E482" s="118" t="s">
        <v>405</v>
      </c>
      <c r="F482" s="119">
        <v>25</v>
      </c>
      <c r="G482" s="120">
        <v>6</v>
      </c>
      <c r="H482" s="121">
        <f t="shared" si="15"/>
        <v>225</v>
      </c>
      <c r="I482" s="122">
        <f t="shared" si="14"/>
        <v>11.25</v>
      </c>
    </row>
    <row r="483" spans="1:9" x14ac:dyDescent="0.35">
      <c r="A483" s="117">
        <v>45616</v>
      </c>
      <c r="B483" s="118" t="s">
        <v>327</v>
      </c>
      <c r="C483" s="118" t="s">
        <v>393</v>
      </c>
      <c r="D483" s="118" t="s">
        <v>333</v>
      </c>
      <c r="E483" s="118" t="s">
        <v>341</v>
      </c>
      <c r="F483" s="119">
        <v>43</v>
      </c>
      <c r="G483" s="120">
        <v>6</v>
      </c>
      <c r="H483" s="121">
        <f t="shared" si="15"/>
        <v>344</v>
      </c>
      <c r="I483" s="122">
        <f t="shared" si="14"/>
        <v>17.2</v>
      </c>
    </row>
    <row r="484" spans="1:9" x14ac:dyDescent="0.35">
      <c r="A484" s="117">
        <v>45616</v>
      </c>
      <c r="B484" s="118" t="s">
        <v>313</v>
      </c>
      <c r="C484" s="118" t="s">
        <v>314</v>
      </c>
      <c r="D484" s="118" t="s">
        <v>315</v>
      </c>
      <c r="E484" s="118" t="s">
        <v>388</v>
      </c>
      <c r="F484" s="119">
        <v>39</v>
      </c>
      <c r="G484" s="120">
        <v>13</v>
      </c>
      <c r="H484" s="121">
        <f t="shared" si="15"/>
        <v>624</v>
      </c>
      <c r="I484" s="122">
        <f t="shared" si="14"/>
        <v>31.200000000000003</v>
      </c>
    </row>
    <row r="485" spans="1:9" x14ac:dyDescent="0.35">
      <c r="A485" s="117">
        <v>45616</v>
      </c>
      <c r="B485" s="118" t="s">
        <v>313</v>
      </c>
      <c r="C485" s="118" t="s">
        <v>332</v>
      </c>
      <c r="D485" s="118" t="s">
        <v>423</v>
      </c>
      <c r="E485" s="118" t="s">
        <v>400</v>
      </c>
      <c r="F485" s="119">
        <v>19</v>
      </c>
      <c r="G485" s="120">
        <v>13</v>
      </c>
      <c r="H485" s="121">
        <f t="shared" si="15"/>
        <v>323</v>
      </c>
      <c r="I485" s="122">
        <f t="shared" si="14"/>
        <v>19.38</v>
      </c>
    </row>
    <row r="486" spans="1:9" x14ac:dyDescent="0.35">
      <c r="A486" s="117">
        <v>45616</v>
      </c>
      <c r="B486" s="118" t="s">
        <v>327</v>
      </c>
      <c r="C486" s="118" t="s">
        <v>332</v>
      </c>
      <c r="D486" s="118" t="s">
        <v>333</v>
      </c>
      <c r="E486" s="118" t="s">
        <v>400</v>
      </c>
      <c r="F486" s="119">
        <v>62</v>
      </c>
      <c r="G486" s="120">
        <v>6</v>
      </c>
      <c r="H486" s="121">
        <f t="shared" si="15"/>
        <v>620</v>
      </c>
      <c r="I486" s="122">
        <f t="shared" si="14"/>
        <v>31</v>
      </c>
    </row>
    <row r="487" spans="1:9" x14ac:dyDescent="0.35">
      <c r="A487" s="117">
        <v>45616</v>
      </c>
      <c r="B487" s="118" t="s">
        <v>313</v>
      </c>
      <c r="C487" s="118" t="s">
        <v>319</v>
      </c>
      <c r="D487" s="118" t="s">
        <v>320</v>
      </c>
      <c r="E487" s="118" t="s">
        <v>335</v>
      </c>
      <c r="F487" s="119">
        <v>58</v>
      </c>
      <c r="G487" s="120">
        <v>13</v>
      </c>
      <c r="H487" s="121">
        <f t="shared" si="15"/>
        <v>812</v>
      </c>
      <c r="I487" s="122">
        <f t="shared" si="14"/>
        <v>48.72</v>
      </c>
    </row>
    <row r="488" spans="1:9" x14ac:dyDescent="0.35">
      <c r="A488" s="117">
        <v>45617</v>
      </c>
      <c r="B488" s="118" t="s">
        <v>318</v>
      </c>
      <c r="C488" s="118" t="s">
        <v>314</v>
      </c>
      <c r="D488" s="118" t="s">
        <v>324</v>
      </c>
      <c r="E488" s="118" t="s">
        <v>341</v>
      </c>
      <c r="F488" s="119">
        <v>37</v>
      </c>
      <c r="G488" s="120">
        <v>4</v>
      </c>
      <c r="H488" s="121">
        <f t="shared" si="15"/>
        <v>259</v>
      </c>
      <c r="I488" s="122">
        <f t="shared" si="14"/>
        <v>12.950000000000001</v>
      </c>
    </row>
    <row r="489" spans="1:9" x14ac:dyDescent="0.35">
      <c r="A489" s="117">
        <v>45617</v>
      </c>
      <c r="B489" s="118" t="s">
        <v>322</v>
      </c>
      <c r="C489" s="118" t="s">
        <v>314</v>
      </c>
      <c r="D489" s="118" t="s">
        <v>390</v>
      </c>
      <c r="E489" s="118" t="s">
        <v>340</v>
      </c>
      <c r="F489" s="119">
        <v>49</v>
      </c>
      <c r="G489" s="120">
        <v>17</v>
      </c>
      <c r="H489" s="121">
        <f t="shared" si="15"/>
        <v>980</v>
      </c>
      <c r="I489" s="122">
        <f t="shared" si="14"/>
        <v>49</v>
      </c>
    </row>
    <row r="490" spans="1:9" x14ac:dyDescent="0.35">
      <c r="A490" s="117">
        <v>45617</v>
      </c>
      <c r="B490" s="118" t="s">
        <v>313</v>
      </c>
      <c r="C490" s="118" t="s">
        <v>319</v>
      </c>
      <c r="D490" s="118" t="s">
        <v>333</v>
      </c>
      <c r="E490" s="118" t="s">
        <v>340</v>
      </c>
      <c r="F490" s="119">
        <v>47</v>
      </c>
      <c r="G490" s="120">
        <v>13</v>
      </c>
      <c r="H490" s="121">
        <f t="shared" si="15"/>
        <v>658</v>
      </c>
      <c r="I490" s="122">
        <f t="shared" si="14"/>
        <v>32.9</v>
      </c>
    </row>
    <row r="491" spans="1:9" x14ac:dyDescent="0.35">
      <c r="A491" s="117">
        <v>45617</v>
      </c>
      <c r="B491" s="118" t="s">
        <v>422</v>
      </c>
      <c r="C491" s="118" t="s">
        <v>332</v>
      </c>
      <c r="D491" s="118" t="s">
        <v>315</v>
      </c>
      <c r="E491" s="118" t="s">
        <v>331</v>
      </c>
      <c r="F491" s="119">
        <v>58</v>
      </c>
      <c r="G491" s="120">
        <v>24</v>
      </c>
      <c r="H491" s="121">
        <f t="shared" si="15"/>
        <v>1624</v>
      </c>
      <c r="I491" s="122">
        <f t="shared" si="14"/>
        <v>81.2</v>
      </c>
    </row>
    <row r="492" spans="1:9" x14ac:dyDescent="0.35">
      <c r="A492" s="117">
        <v>45617</v>
      </c>
      <c r="B492" s="118" t="s">
        <v>322</v>
      </c>
      <c r="C492" s="118" t="s">
        <v>393</v>
      </c>
      <c r="D492" s="118" t="s">
        <v>320</v>
      </c>
      <c r="E492" s="118" t="s">
        <v>394</v>
      </c>
      <c r="F492" s="119">
        <v>29</v>
      </c>
      <c r="G492" s="120">
        <v>17</v>
      </c>
      <c r="H492" s="121">
        <f t="shared" si="15"/>
        <v>551</v>
      </c>
      <c r="I492" s="122">
        <f t="shared" si="14"/>
        <v>33.06</v>
      </c>
    </row>
    <row r="493" spans="1:9" x14ac:dyDescent="0.35">
      <c r="A493" s="117">
        <v>45618</v>
      </c>
      <c r="B493" s="118" t="s">
        <v>318</v>
      </c>
      <c r="C493" s="118" t="s">
        <v>314</v>
      </c>
      <c r="D493" s="118" t="s">
        <v>333</v>
      </c>
      <c r="E493" s="118" t="s">
        <v>340</v>
      </c>
      <c r="F493" s="119">
        <v>22</v>
      </c>
      <c r="G493" s="120">
        <v>4</v>
      </c>
      <c r="H493" s="121">
        <f t="shared" si="15"/>
        <v>154</v>
      </c>
      <c r="I493" s="122">
        <f t="shared" si="14"/>
        <v>7.7</v>
      </c>
    </row>
    <row r="494" spans="1:9" x14ac:dyDescent="0.35">
      <c r="A494" s="117">
        <v>45618</v>
      </c>
      <c r="B494" s="118" t="s">
        <v>327</v>
      </c>
      <c r="C494" s="118" t="s">
        <v>319</v>
      </c>
      <c r="D494" s="118" t="s">
        <v>320</v>
      </c>
      <c r="E494" s="118" t="s">
        <v>394</v>
      </c>
      <c r="F494" s="119">
        <v>14</v>
      </c>
      <c r="G494" s="120">
        <v>6</v>
      </c>
      <c r="H494" s="121">
        <f t="shared" si="15"/>
        <v>98</v>
      </c>
      <c r="I494" s="122">
        <f t="shared" si="14"/>
        <v>5.88</v>
      </c>
    </row>
    <row r="495" spans="1:9" x14ac:dyDescent="0.35">
      <c r="A495" s="117">
        <v>45619</v>
      </c>
      <c r="B495" s="118" t="s">
        <v>322</v>
      </c>
      <c r="C495" s="118" t="s">
        <v>319</v>
      </c>
      <c r="D495" s="118" t="s">
        <v>333</v>
      </c>
      <c r="E495" s="118" t="s">
        <v>349</v>
      </c>
      <c r="F495" s="119">
        <v>52</v>
      </c>
      <c r="G495" s="120">
        <v>17</v>
      </c>
      <c r="H495" s="121">
        <f t="shared" si="15"/>
        <v>936</v>
      </c>
      <c r="I495" s="122">
        <f t="shared" si="14"/>
        <v>46.800000000000004</v>
      </c>
    </row>
    <row r="496" spans="1:9" x14ac:dyDescent="0.35">
      <c r="A496" s="117">
        <v>45619</v>
      </c>
      <c r="B496" s="118" t="s">
        <v>318</v>
      </c>
      <c r="C496" s="118" t="s">
        <v>319</v>
      </c>
      <c r="D496" s="118" t="s">
        <v>423</v>
      </c>
      <c r="E496" s="118" t="s">
        <v>345</v>
      </c>
      <c r="F496" s="119">
        <v>10</v>
      </c>
      <c r="G496" s="120">
        <v>4</v>
      </c>
      <c r="H496" s="121">
        <f t="shared" si="15"/>
        <v>50</v>
      </c>
      <c r="I496" s="122">
        <f t="shared" si="14"/>
        <v>3</v>
      </c>
    </row>
    <row r="497" spans="1:9" x14ac:dyDescent="0.35">
      <c r="A497" s="117">
        <v>45619</v>
      </c>
      <c r="B497" s="118" t="s">
        <v>327</v>
      </c>
      <c r="C497" s="118" t="s">
        <v>319</v>
      </c>
      <c r="D497" s="118" t="s">
        <v>324</v>
      </c>
      <c r="E497" s="118" t="s">
        <v>346</v>
      </c>
      <c r="F497" s="119">
        <v>14</v>
      </c>
      <c r="G497" s="120">
        <v>6</v>
      </c>
      <c r="H497" s="121">
        <f t="shared" si="15"/>
        <v>98</v>
      </c>
      <c r="I497" s="122">
        <f t="shared" si="14"/>
        <v>4.9000000000000004</v>
      </c>
    </row>
    <row r="498" spans="1:9" x14ac:dyDescent="0.35">
      <c r="A498" s="117">
        <v>45619</v>
      </c>
      <c r="B498" s="118" t="s">
        <v>422</v>
      </c>
      <c r="C498" s="118" t="s">
        <v>314</v>
      </c>
      <c r="D498" s="118" t="s">
        <v>315</v>
      </c>
      <c r="E498" s="118" t="s">
        <v>335</v>
      </c>
      <c r="F498" s="119">
        <v>39</v>
      </c>
      <c r="G498" s="120">
        <v>24</v>
      </c>
      <c r="H498" s="121">
        <f t="shared" si="15"/>
        <v>1053</v>
      </c>
      <c r="I498" s="122">
        <f t="shared" si="14"/>
        <v>52.650000000000006</v>
      </c>
    </row>
    <row r="499" spans="1:9" x14ac:dyDescent="0.35">
      <c r="A499" s="117">
        <v>45620</v>
      </c>
      <c r="B499" s="118" t="s">
        <v>327</v>
      </c>
      <c r="C499" s="118" t="s">
        <v>319</v>
      </c>
      <c r="D499" s="118" t="s">
        <v>333</v>
      </c>
      <c r="E499" s="118" t="s">
        <v>342</v>
      </c>
      <c r="F499" s="119">
        <v>58</v>
      </c>
      <c r="G499" s="120">
        <v>6</v>
      </c>
      <c r="H499" s="121">
        <f t="shared" si="15"/>
        <v>406</v>
      </c>
      <c r="I499" s="122">
        <f t="shared" si="14"/>
        <v>20.3</v>
      </c>
    </row>
    <row r="500" spans="1:9" x14ac:dyDescent="0.35">
      <c r="A500" s="117">
        <v>45620</v>
      </c>
      <c r="B500" s="118" t="s">
        <v>313</v>
      </c>
      <c r="C500" s="118" t="s">
        <v>319</v>
      </c>
      <c r="D500" s="118" t="s">
        <v>338</v>
      </c>
      <c r="E500" s="118" t="s">
        <v>454</v>
      </c>
      <c r="F500" s="119">
        <v>13</v>
      </c>
      <c r="G500" s="120">
        <v>13</v>
      </c>
      <c r="H500" s="121">
        <f t="shared" si="15"/>
        <v>182</v>
      </c>
      <c r="I500" s="122">
        <f t="shared" si="14"/>
        <v>10.92</v>
      </c>
    </row>
    <row r="501" spans="1:9" x14ac:dyDescent="0.35">
      <c r="A501" s="117">
        <v>45620</v>
      </c>
      <c r="B501" s="118" t="s">
        <v>422</v>
      </c>
      <c r="C501" s="118" t="s">
        <v>314</v>
      </c>
      <c r="D501" s="118" t="s">
        <v>333</v>
      </c>
      <c r="E501" s="118" t="s">
        <v>331</v>
      </c>
      <c r="F501" s="119">
        <v>34</v>
      </c>
      <c r="G501" s="120">
        <v>24</v>
      </c>
      <c r="H501" s="121">
        <f t="shared" si="15"/>
        <v>918</v>
      </c>
      <c r="I501" s="122">
        <f t="shared" si="14"/>
        <v>45.900000000000006</v>
      </c>
    </row>
    <row r="502" spans="1:9" x14ac:dyDescent="0.35">
      <c r="A502" s="117">
        <v>45621</v>
      </c>
      <c r="B502" s="118" t="s">
        <v>422</v>
      </c>
      <c r="C502" s="118" t="s">
        <v>319</v>
      </c>
      <c r="D502" s="118" t="s">
        <v>333</v>
      </c>
      <c r="E502" s="118" t="s">
        <v>343</v>
      </c>
      <c r="F502" s="119">
        <v>35</v>
      </c>
      <c r="G502" s="120">
        <v>24</v>
      </c>
      <c r="H502" s="121">
        <f t="shared" si="15"/>
        <v>875</v>
      </c>
      <c r="I502" s="122">
        <f t="shared" si="14"/>
        <v>43.75</v>
      </c>
    </row>
    <row r="503" spans="1:9" x14ac:dyDescent="0.35">
      <c r="A503" s="117">
        <v>45622</v>
      </c>
      <c r="B503" s="118" t="s">
        <v>422</v>
      </c>
      <c r="C503" s="118" t="s">
        <v>393</v>
      </c>
      <c r="D503" s="118" t="s">
        <v>333</v>
      </c>
      <c r="E503" s="118" t="s">
        <v>340</v>
      </c>
      <c r="F503" s="119">
        <v>48</v>
      </c>
      <c r="G503" s="120">
        <v>24</v>
      </c>
      <c r="H503" s="121">
        <f t="shared" si="15"/>
        <v>1248</v>
      </c>
      <c r="I503" s="122">
        <f t="shared" si="14"/>
        <v>62.400000000000006</v>
      </c>
    </row>
    <row r="504" spans="1:9" x14ac:dyDescent="0.35">
      <c r="A504" s="117">
        <v>45622</v>
      </c>
      <c r="B504" s="118" t="s">
        <v>313</v>
      </c>
      <c r="C504" s="118" t="s">
        <v>332</v>
      </c>
      <c r="D504" s="118" t="s">
        <v>324</v>
      </c>
      <c r="E504" s="118" t="s">
        <v>340</v>
      </c>
      <c r="F504" s="119">
        <v>61</v>
      </c>
      <c r="G504" s="120">
        <v>13</v>
      </c>
      <c r="H504" s="121">
        <f t="shared" si="15"/>
        <v>1037</v>
      </c>
      <c r="I504" s="122">
        <f t="shared" si="14"/>
        <v>51.85</v>
      </c>
    </row>
    <row r="505" spans="1:9" x14ac:dyDescent="0.35">
      <c r="A505" s="117">
        <v>45622</v>
      </c>
      <c r="B505" s="118" t="s">
        <v>327</v>
      </c>
      <c r="C505" s="118" t="s">
        <v>314</v>
      </c>
      <c r="D505" s="118" t="s">
        <v>390</v>
      </c>
      <c r="E505" s="118" t="s">
        <v>340</v>
      </c>
      <c r="F505" s="119">
        <v>64</v>
      </c>
      <c r="G505" s="120">
        <v>6</v>
      </c>
      <c r="H505" s="121">
        <f t="shared" si="15"/>
        <v>576</v>
      </c>
      <c r="I505" s="122">
        <f t="shared" si="14"/>
        <v>28.8</v>
      </c>
    </row>
    <row r="506" spans="1:9" x14ac:dyDescent="0.35">
      <c r="A506" s="117">
        <v>45622</v>
      </c>
      <c r="B506" s="118" t="s">
        <v>313</v>
      </c>
      <c r="C506" s="118" t="s">
        <v>314</v>
      </c>
      <c r="D506" s="118" t="s">
        <v>324</v>
      </c>
      <c r="E506" s="118" t="s">
        <v>400</v>
      </c>
      <c r="F506" s="119">
        <v>63</v>
      </c>
      <c r="G506" s="120">
        <v>13</v>
      </c>
      <c r="H506" s="121">
        <f t="shared" si="15"/>
        <v>1008</v>
      </c>
      <c r="I506" s="122">
        <f t="shared" si="14"/>
        <v>50.400000000000006</v>
      </c>
    </row>
    <row r="507" spans="1:9" x14ac:dyDescent="0.35">
      <c r="A507" s="117">
        <v>45622</v>
      </c>
      <c r="B507" s="118" t="s">
        <v>322</v>
      </c>
      <c r="C507" s="118" t="s">
        <v>393</v>
      </c>
      <c r="D507" s="118" t="s">
        <v>320</v>
      </c>
      <c r="E507" s="118" t="s">
        <v>346</v>
      </c>
      <c r="F507" s="119">
        <v>45</v>
      </c>
      <c r="G507" s="120">
        <v>17</v>
      </c>
      <c r="H507" s="121">
        <f t="shared" si="15"/>
        <v>855</v>
      </c>
      <c r="I507" s="122">
        <f t="shared" si="14"/>
        <v>51.3</v>
      </c>
    </row>
    <row r="508" spans="1:9" x14ac:dyDescent="0.35">
      <c r="A508" s="117">
        <v>45622</v>
      </c>
      <c r="B508" s="118" t="s">
        <v>422</v>
      </c>
      <c r="C508" s="118" t="s">
        <v>393</v>
      </c>
      <c r="D508" s="118" t="s">
        <v>333</v>
      </c>
      <c r="E508" s="118" t="s">
        <v>343</v>
      </c>
      <c r="F508" s="119">
        <v>9</v>
      </c>
      <c r="G508" s="120">
        <v>24</v>
      </c>
      <c r="H508" s="121">
        <f t="shared" si="15"/>
        <v>234</v>
      </c>
      <c r="I508" s="122">
        <f t="shared" si="14"/>
        <v>11.700000000000001</v>
      </c>
    </row>
    <row r="509" spans="1:9" x14ac:dyDescent="0.35">
      <c r="A509" s="117">
        <v>45623</v>
      </c>
      <c r="B509" s="118" t="s">
        <v>422</v>
      </c>
      <c r="C509" s="118" t="s">
        <v>393</v>
      </c>
      <c r="D509" s="118" t="s">
        <v>315</v>
      </c>
      <c r="E509" s="118" t="s">
        <v>340</v>
      </c>
      <c r="F509" s="119">
        <v>29</v>
      </c>
      <c r="G509" s="120">
        <v>24</v>
      </c>
      <c r="H509" s="121">
        <f t="shared" si="15"/>
        <v>754</v>
      </c>
      <c r="I509" s="122">
        <f t="shared" si="14"/>
        <v>37.700000000000003</v>
      </c>
    </row>
    <row r="510" spans="1:9" x14ac:dyDescent="0.35">
      <c r="A510" s="117">
        <v>45624</v>
      </c>
      <c r="B510" s="118" t="s">
        <v>322</v>
      </c>
      <c r="C510" s="118" t="s">
        <v>314</v>
      </c>
      <c r="D510" s="118" t="s">
        <v>320</v>
      </c>
      <c r="E510" s="118" t="s">
        <v>341</v>
      </c>
      <c r="F510" s="119">
        <v>31</v>
      </c>
      <c r="G510" s="120">
        <v>17</v>
      </c>
      <c r="H510" s="121">
        <f t="shared" si="15"/>
        <v>620</v>
      </c>
      <c r="I510" s="122">
        <f t="shared" si="14"/>
        <v>37.199999999999996</v>
      </c>
    </row>
    <row r="511" spans="1:9" x14ac:dyDescent="0.35">
      <c r="A511" s="117">
        <v>45624</v>
      </c>
      <c r="B511" s="118" t="s">
        <v>327</v>
      </c>
      <c r="C511" s="118" t="s">
        <v>332</v>
      </c>
      <c r="D511" s="118" t="s">
        <v>315</v>
      </c>
      <c r="E511" s="118" t="s">
        <v>347</v>
      </c>
      <c r="F511" s="119">
        <v>62</v>
      </c>
      <c r="G511" s="120">
        <v>6</v>
      </c>
      <c r="H511" s="121">
        <f t="shared" si="15"/>
        <v>620</v>
      </c>
      <c r="I511" s="122">
        <f t="shared" si="14"/>
        <v>31</v>
      </c>
    </row>
    <row r="512" spans="1:9" x14ac:dyDescent="0.35">
      <c r="A512" s="117">
        <v>45624</v>
      </c>
      <c r="B512" s="118" t="s">
        <v>327</v>
      </c>
      <c r="C512" s="118" t="s">
        <v>314</v>
      </c>
      <c r="D512" s="118" t="s">
        <v>423</v>
      </c>
      <c r="E512" s="118" t="s">
        <v>394</v>
      </c>
      <c r="F512" s="119">
        <v>19</v>
      </c>
      <c r="G512" s="120">
        <v>6</v>
      </c>
      <c r="H512" s="121">
        <f t="shared" si="15"/>
        <v>171</v>
      </c>
      <c r="I512" s="122">
        <f t="shared" si="14"/>
        <v>10.26</v>
      </c>
    </row>
    <row r="513" spans="1:9" x14ac:dyDescent="0.35">
      <c r="A513" s="117">
        <v>45624</v>
      </c>
      <c r="B513" s="118" t="s">
        <v>322</v>
      </c>
      <c r="C513" s="118" t="s">
        <v>393</v>
      </c>
      <c r="D513" s="118" t="s">
        <v>390</v>
      </c>
      <c r="E513" s="118" t="s">
        <v>405</v>
      </c>
      <c r="F513" s="119">
        <v>29</v>
      </c>
      <c r="G513" s="120">
        <v>17</v>
      </c>
      <c r="H513" s="121">
        <f t="shared" si="15"/>
        <v>551</v>
      </c>
      <c r="I513" s="122">
        <f t="shared" si="14"/>
        <v>27.55</v>
      </c>
    </row>
    <row r="514" spans="1:9" x14ac:dyDescent="0.35">
      <c r="A514" s="117">
        <v>45624</v>
      </c>
      <c r="B514" s="118" t="s">
        <v>313</v>
      </c>
      <c r="C514" s="118" t="s">
        <v>314</v>
      </c>
      <c r="D514" s="118" t="s">
        <v>390</v>
      </c>
      <c r="E514" s="118" t="s">
        <v>405</v>
      </c>
      <c r="F514" s="119">
        <v>47</v>
      </c>
      <c r="G514" s="120">
        <v>13</v>
      </c>
      <c r="H514" s="121">
        <f t="shared" si="15"/>
        <v>752</v>
      </c>
      <c r="I514" s="122">
        <f t="shared" ref="I514:I577" si="16">H514*VLOOKUP(D514,$O$4:$P$10,2,TRUE)</f>
        <v>37.6</v>
      </c>
    </row>
    <row r="515" spans="1:9" x14ac:dyDescent="0.35">
      <c r="A515" s="117">
        <v>45625</v>
      </c>
      <c r="B515" s="118" t="s">
        <v>422</v>
      </c>
      <c r="C515" s="118" t="s">
        <v>393</v>
      </c>
      <c r="D515" s="118" t="s">
        <v>320</v>
      </c>
      <c r="E515" s="118" t="s">
        <v>406</v>
      </c>
      <c r="F515" s="119">
        <v>45</v>
      </c>
      <c r="G515" s="120">
        <v>24</v>
      </c>
      <c r="H515" s="121">
        <f t="shared" ref="H515:H578" si="17">(F515*G515)+VLOOKUP(C515,$K$11:$L$14,2,FALSE)*F515</f>
        <v>1170</v>
      </c>
      <c r="I515" s="122">
        <f t="shared" si="16"/>
        <v>70.2</v>
      </c>
    </row>
    <row r="516" spans="1:9" x14ac:dyDescent="0.35">
      <c r="A516" s="117">
        <v>45625</v>
      </c>
      <c r="B516" s="118" t="s">
        <v>313</v>
      </c>
      <c r="C516" s="118" t="s">
        <v>319</v>
      </c>
      <c r="D516" s="118" t="s">
        <v>324</v>
      </c>
      <c r="E516" s="118" t="s">
        <v>342</v>
      </c>
      <c r="F516" s="119">
        <v>22</v>
      </c>
      <c r="G516" s="120">
        <v>13</v>
      </c>
      <c r="H516" s="121">
        <f t="shared" si="17"/>
        <v>308</v>
      </c>
      <c r="I516" s="122">
        <f t="shared" si="16"/>
        <v>15.4</v>
      </c>
    </row>
    <row r="517" spans="1:9" x14ac:dyDescent="0.35">
      <c r="A517" s="117">
        <v>45625</v>
      </c>
      <c r="B517" s="118" t="s">
        <v>313</v>
      </c>
      <c r="C517" s="118" t="s">
        <v>393</v>
      </c>
      <c r="D517" s="118" t="s">
        <v>390</v>
      </c>
      <c r="E517" s="118" t="s">
        <v>346</v>
      </c>
      <c r="F517" s="119">
        <v>44</v>
      </c>
      <c r="G517" s="120">
        <v>13</v>
      </c>
      <c r="H517" s="121">
        <f t="shared" si="17"/>
        <v>660</v>
      </c>
      <c r="I517" s="122">
        <f t="shared" si="16"/>
        <v>33</v>
      </c>
    </row>
    <row r="518" spans="1:9" x14ac:dyDescent="0.35">
      <c r="A518" s="117">
        <v>45625</v>
      </c>
      <c r="B518" s="118" t="s">
        <v>322</v>
      </c>
      <c r="C518" s="118" t="s">
        <v>393</v>
      </c>
      <c r="D518" s="118" t="s">
        <v>324</v>
      </c>
      <c r="E518" s="118" t="s">
        <v>405</v>
      </c>
      <c r="F518" s="119">
        <v>33</v>
      </c>
      <c r="G518" s="120">
        <v>17</v>
      </c>
      <c r="H518" s="121">
        <f t="shared" si="17"/>
        <v>627</v>
      </c>
      <c r="I518" s="122">
        <f t="shared" si="16"/>
        <v>31.35</v>
      </c>
    </row>
    <row r="519" spans="1:9" x14ac:dyDescent="0.35">
      <c r="A519" s="117">
        <v>45626</v>
      </c>
      <c r="B519" s="118" t="s">
        <v>327</v>
      </c>
      <c r="C519" s="118" t="s">
        <v>314</v>
      </c>
      <c r="D519" s="118" t="s">
        <v>338</v>
      </c>
      <c r="E519" s="118" t="s">
        <v>400</v>
      </c>
      <c r="F519" s="119">
        <v>43</v>
      </c>
      <c r="G519" s="120">
        <v>6</v>
      </c>
      <c r="H519" s="121">
        <f t="shared" si="17"/>
        <v>387</v>
      </c>
      <c r="I519" s="122">
        <f t="shared" si="16"/>
        <v>23.22</v>
      </c>
    </row>
    <row r="520" spans="1:9" x14ac:dyDescent="0.35">
      <c r="A520" s="117">
        <v>45626</v>
      </c>
      <c r="B520" s="118" t="s">
        <v>422</v>
      </c>
      <c r="C520" s="118" t="s">
        <v>314</v>
      </c>
      <c r="D520" s="118" t="s">
        <v>423</v>
      </c>
      <c r="E520" s="118" t="s">
        <v>405</v>
      </c>
      <c r="F520" s="119">
        <v>65</v>
      </c>
      <c r="G520" s="120">
        <v>24</v>
      </c>
      <c r="H520" s="121">
        <f t="shared" si="17"/>
        <v>1755</v>
      </c>
      <c r="I520" s="122">
        <f t="shared" si="16"/>
        <v>105.3</v>
      </c>
    </row>
    <row r="521" spans="1:9" x14ac:dyDescent="0.35">
      <c r="A521" s="117">
        <v>45626</v>
      </c>
      <c r="B521" s="118" t="s">
        <v>318</v>
      </c>
      <c r="C521" s="118" t="s">
        <v>319</v>
      </c>
      <c r="D521" s="118" t="s">
        <v>320</v>
      </c>
      <c r="E521" s="118" t="s">
        <v>316</v>
      </c>
      <c r="F521" s="119">
        <v>58</v>
      </c>
      <c r="G521" s="120">
        <v>4</v>
      </c>
      <c r="H521" s="121">
        <f t="shared" si="17"/>
        <v>290</v>
      </c>
      <c r="I521" s="122">
        <f t="shared" si="16"/>
        <v>17.399999999999999</v>
      </c>
    </row>
    <row r="522" spans="1:9" x14ac:dyDescent="0.35">
      <c r="A522" s="117">
        <v>45627</v>
      </c>
      <c r="B522" s="118" t="s">
        <v>422</v>
      </c>
      <c r="C522" s="118" t="s">
        <v>393</v>
      </c>
      <c r="D522" s="118" t="s">
        <v>324</v>
      </c>
      <c r="E522" s="118" t="s">
        <v>341</v>
      </c>
      <c r="F522" s="119">
        <v>42</v>
      </c>
      <c r="G522" s="120">
        <v>24</v>
      </c>
      <c r="H522" s="121">
        <f t="shared" si="17"/>
        <v>1092</v>
      </c>
      <c r="I522" s="122">
        <f t="shared" si="16"/>
        <v>54.6</v>
      </c>
    </row>
    <row r="523" spans="1:9" x14ac:dyDescent="0.35">
      <c r="A523" s="117">
        <v>45627</v>
      </c>
      <c r="B523" s="118" t="s">
        <v>318</v>
      </c>
      <c r="C523" s="118" t="s">
        <v>319</v>
      </c>
      <c r="D523" s="118" t="s">
        <v>324</v>
      </c>
      <c r="E523" s="118" t="s">
        <v>329</v>
      </c>
      <c r="F523" s="119">
        <v>10</v>
      </c>
      <c r="G523" s="120">
        <v>4</v>
      </c>
      <c r="H523" s="121">
        <f t="shared" si="17"/>
        <v>50</v>
      </c>
      <c r="I523" s="122">
        <f t="shared" si="16"/>
        <v>2.5</v>
      </c>
    </row>
    <row r="524" spans="1:9" x14ac:dyDescent="0.35">
      <c r="A524" s="117">
        <v>45628</v>
      </c>
      <c r="B524" s="118" t="s">
        <v>322</v>
      </c>
      <c r="C524" s="118" t="s">
        <v>314</v>
      </c>
      <c r="D524" s="118" t="s">
        <v>333</v>
      </c>
      <c r="E524" s="118" t="s">
        <v>406</v>
      </c>
      <c r="F524" s="119">
        <v>30</v>
      </c>
      <c r="G524" s="120">
        <v>17</v>
      </c>
      <c r="H524" s="121">
        <f t="shared" si="17"/>
        <v>600</v>
      </c>
      <c r="I524" s="122">
        <f t="shared" si="16"/>
        <v>30</v>
      </c>
    </row>
    <row r="525" spans="1:9" x14ac:dyDescent="0.35">
      <c r="A525" s="117">
        <v>45628</v>
      </c>
      <c r="B525" s="118" t="s">
        <v>322</v>
      </c>
      <c r="C525" s="118" t="s">
        <v>393</v>
      </c>
      <c r="D525" s="118" t="s">
        <v>324</v>
      </c>
      <c r="E525" s="118" t="s">
        <v>345</v>
      </c>
      <c r="F525" s="119">
        <v>58</v>
      </c>
      <c r="G525" s="120">
        <v>17</v>
      </c>
      <c r="H525" s="121">
        <f t="shared" si="17"/>
        <v>1102</v>
      </c>
      <c r="I525" s="122">
        <f t="shared" si="16"/>
        <v>55.1</v>
      </c>
    </row>
    <row r="526" spans="1:9" x14ac:dyDescent="0.35">
      <c r="A526" s="117">
        <v>45628</v>
      </c>
      <c r="B526" s="118" t="s">
        <v>318</v>
      </c>
      <c r="C526" s="118" t="s">
        <v>319</v>
      </c>
      <c r="D526" s="118" t="s">
        <v>324</v>
      </c>
      <c r="E526" s="118" t="s">
        <v>394</v>
      </c>
      <c r="F526" s="119">
        <v>43</v>
      </c>
      <c r="G526" s="120">
        <v>4</v>
      </c>
      <c r="H526" s="121">
        <f t="shared" si="17"/>
        <v>215</v>
      </c>
      <c r="I526" s="122">
        <f t="shared" si="16"/>
        <v>10.75</v>
      </c>
    </row>
    <row r="527" spans="1:9" x14ac:dyDescent="0.35">
      <c r="A527" s="117">
        <v>45628</v>
      </c>
      <c r="B527" s="118" t="s">
        <v>322</v>
      </c>
      <c r="C527" s="118" t="s">
        <v>393</v>
      </c>
      <c r="D527" s="118" t="s">
        <v>324</v>
      </c>
      <c r="E527" s="118" t="s">
        <v>394</v>
      </c>
      <c r="F527" s="119">
        <v>26</v>
      </c>
      <c r="G527" s="120">
        <v>17</v>
      </c>
      <c r="H527" s="121">
        <f t="shared" si="17"/>
        <v>494</v>
      </c>
      <c r="I527" s="122">
        <f t="shared" si="16"/>
        <v>24.700000000000003</v>
      </c>
    </row>
    <row r="528" spans="1:9" x14ac:dyDescent="0.35">
      <c r="A528" s="117">
        <v>45629</v>
      </c>
      <c r="B528" s="118" t="s">
        <v>422</v>
      </c>
      <c r="C528" s="118" t="s">
        <v>332</v>
      </c>
      <c r="D528" s="118" t="s">
        <v>320</v>
      </c>
      <c r="E528" s="118" t="s">
        <v>455</v>
      </c>
      <c r="F528" s="119">
        <v>42</v>
      </c>
      <c r="G528" s="120">
        <v>24</v>
      </c>
      <c r="H528" s="121">
        <f t="shared" si="17"/>
        <v>1176</v>
      </c>
      <c r="I528" s="122">
        <f t="shared" si="16"/>
        <v>70.56</v>
      </c>
    </row>
    <row r="529" spans="1:9" x14ac:dyDescent="0.35">
      <c r="A529" s="117">
        <v>45629</v>
      </c>
      <c r="B529" s="118" t="s">
        <v>327</v>
      </c>
      <c r="C529" s="118" t="s">
        <v>332</v>
      </c>
      <c r="D529" s="118" t="s">
        <v>338</v>
      </c>
      <c r="E529" s="118" t="s">
        <v>341</v>
      </c>
      <c r="F529" s="119">
        <v>10</v>
      </c>
      <c r="G529" s="120">
        <v>6</v>
      </c>
      <c r="H529" s="121">
        <f t="shared" si="17"/>
        <v>100</v>
      </c>
      <c r="I529" s="122">
        <f t="shared" si="16"/>
        <v>6</v>
      </c>
    </row>
    <row r="530" spans="1:9" x14ac:dyDescent="0.35">
      <c r="A530" s="117">
        <v>45629</v>
      </c>
      <c r="B530" s="118" t="s">
        <v>322</v>
      </c>
      <c r="C530" s="118" t="s">
        <v>393</v>
      </c>
      <c r="D530" s="118" t="s">
        <v>320</v>
      </c>
      <c r="E530" s="118" t="s">
        <v>340</v>
      </c>
      <c r="F530" s="119">
        <v>9</v>
      </c>
      <c r="G530" s="120">
        <v>17</v>
      </c>
      <c r="H530" s="121">
        <f t="shared" si="17"/>
        <v>171</v>
      </c>
      <c r="I530" s="122">
        <f t="shared" si="16"/>
        <v>10.26</v>
      </c>
    </row>
    <row r="531" spans="1:9" x14ac:dyDescent="0.35">
      <c r="A531" s="117">
        <v>45629</v>
      </c>
      <c r="B531" s="118" t="s">
        <v>313</v>
      </c>
      <c r="C531" s="118" t="s">
        <v>319</v>
      </c>
      <c r="D531" s="118" t="s">
        <v>324</v>
      </c>
      <c r="E531" s="118" t="s">
        <v>395</v>
      </c>
      <c r="F531" s="119">
        <v>12</v>
      </c>
      <c r="G531" s="120">
        <v>13</v>
      </c>
      <c r="H531" s="121">
        <f t="shared" si="17"/>
        <v>168</v>
      </c>
      <c r="I531" s="122">
        <f t="shared" si="16"/>
        <v>8.4</v>
      </c>
    </row>
    <row r="532" spans="1:9" x14ac:dyDescent="0.35">
      <c r="A532" s="117">
        <v>45629</v>
      </c>
      <c r="B532" s="118" t="s">
        <v>422</v>
      </c>
      <c r="C532" s="118" t="s">
        <v>332</v>
      </c>
      <c r="D532" s="118" t="s">
        <v>324</v>
      </c>
      <c r="E532" s="118" t="s">
        <v>454</v>
      </c>
      <c r="F532" s="119">
        <v>21</v>
      </c>
      <c r="G532" s="120">
        <v>24</v>
      </c>
      <c r="H532" s="121">
        <f t="shared" si="17"/>
        <v>588</v>
      </c>
      <c r="I532" s="122">
        <f t="shared" si="16"/>
        <v>29.400000000000002</v>
      </c>
    </row>
    <row r="533" spans="1:9" x14ac:dyDescent="0.35">
      <c r="A533" s="117">
        <v>45629</v>
      </c>
      <c r="B533" s="118" t="s">
        <v>318</v>
      </c>
      <c r="C533" s="118" t="s">
        <v>332</v>
      </c>
      <c r="D533" s="118" t="s">
        <v>324</v>
      </c>
      <c r="E533" s="118" t="s">
        <v>329</v>
      </c>
      <c r="F533" s="119">
        <v>17</v>
      </c>
      <c r="G533" s="120">
        <v>4</v>
      </c>
      <c r="H533" s="121">
        <f t="shared" si="17"/>
        <v>136</v>
      </c>
      <c r="I533" s="122">
        <f t="shared" si="16"/>
        <v>6.8000000000000007</v>
      </c>
    </row>
    <row r="534" spans="1:9" x14ac:dyDescent="0.35">
      <c r="A534" s="117">
        <v>45629</v>
      </c>
      <c r="B534" s="118" t="s">
        <v>327</v>
      </c>
      <c r="C534" s="118" t="s">
        <v>314</v>
      </c>
      <c r="D534" s="118" t="s">
        <v>324</v>
      </c>
      <c r="E534" s="118" t="s">
        <v>394</v>
      </c>
      <c r="F534" s="119">
        <v>13</v>
      </c>
      <c r="G534" s="120">
        <v>6</v>
      </c>
      <c r="H534" s="121">
        <f t="shared" si="17"/>
        <v>117</v>
      </c>
      <c r="I534" s="122">
        <f t="shared" si="16"/>
        <v>5.8500000000000005</v>
      </c>
    </row>
    <row r="535" spans="1:9" x14ac:dyDescent="0.35">
      <c r="A535" s="117">
        <v>45629</v>
      </c>
      <c r="B535" s="118" t="s">
        <v>422</v>
      </c>
      <c r="C535" s="118" t="s">
        <v>393</v>
      </c>
      <c r="D535" s="118" t="s">
        <v>333</v>
      </c>
      <c r="E535" s="118" t="s">
        <v>335</v>
      </c>
      <c r="F535" s="119">
        <v>27</v>
      </c>
      <c r="G535" s="120">
        <v>24</v>
      </c>
      <c r="H535" s="121">
        <f t="shared" si="17"/>
        <v>702</v>
      </c>
      <c r="I535" s="122">
        <f t="shared" si="16"/>
        <v>35.1</v>
      </c>
    </row>
    <row r="536" spans="1:9" x14ac:dyDescent="0.35">
      <c r="A536" s="117">
        <v>45630</v>
      </c>
      <c r="B536" s="118" t="s">
        <v>318</v>
      </c>
      <c r="C536" s="118" t="s">
        <v>393</v>
      </c>
      <c r="D536" s="118" t="s">
        <v>320</v>
      </c>
      <c r="E536" s="118" t="s">
        <v>341</v>
      </c>
      <c r="F536" s="119">
        <v>48</v>
      </c>
      <c r="G536" s="120">
        <v>4</v>
      </c>
      <c r="H536" s="121">
        <f t="shared" si="17"/>
        <v>288</v>
      </c>
      <c r="I536" s="122">
        <f t="shared" si="16"/>
        <v>17.28</v>
      </c>
    </row>
    <row r="537" spans="1:9" x14ac:dyDescent="0.35">
      <c r="A537" s="117">
        <v>45630</v>
      </c>
      <c r="B537" s="118" t="s">
        <v>313</v>
      </c>
      <c r="C537" s="118" t="s">
        <v>314</v>
      </c>
      <c r="D537" s="118" t="s">
        <v>320</v>
      </c>
      <c r="E537" s="118" t="s">
        <v>395</v>
      </c>
      <c r="F537" s="119">
        <v>46</v>
      </c>
      <c r="G537" s="120">
        <v>13</v>
      </c>
      <c r="H537" s="121">
        <f t="shared" si="17"/>
        <v>736</v>
      </c>
      <c r="I537" s="122">
        <f t="shared" si="16"/>
        <v>44.16</v>
      </c>
    </row>
    <row r="538" spans="1:9" x14ac:dyDescent="0.35">
      <c r="A538" s="117">
        <v>45631</v>
      </c>
      <c r="B538" s="118" t="s">
        <v>327</v>
      </c>
      <c r="C538" s="118" t="s">
        <v>332</v>
      </c>
      <c r="D538" s="118" t="s">
        <v>390</v>
      </c>
      <c r="E538" s="118" t="s">
        <v>340</v>
      </c>
      <c r="F538" s="119">
        <v>52</v>
      </c>
      <c r="G538" s="120">
        <v>6</v>
      </c>
      <c r="H538" s="121">
        <f t="shared" si="17"/>
        <v>520</v>
      </c>
      <c r="I538" s="122">
        <f t="shared" si="16"/>
        <v>26</v>
      </c>
    </row>
    <row r="539" spans="1:9" x14ac:dyDescent="0.35">
      <c r="A539" s="117">
        <v>45631</v>
      </c>
      <c r="B539" s="118" t="s">
        <v>318</v>
      </c>
      <c r="C539" s="118" t="s">
        <v>393</v>
      </c>
      <c r="D539" s="118" t="s">
        <v>315</v>
      </c>
      <c r="E539" s="118" t="s">
        <v>454</v>
      </c>
      <c r="F539" s="119">
        <v>55</v>
      </c>
      <c r="G539" s="120">
        <v>4</v>
      </c>
      <c r="H539" s="121">
        <f t="shared" si="17"/>
        <v>330</v>
      </c>
      <c r="I539" s="122">
        <f t="shared" si="16"/>
        <v>16.5</v>
      </c>
    </row>
    <row r="540" spans="1:9" x14ac:dyDescent="0.35">
      <c r="A540" s="117">
        <v>45631</v>
      </c>
      <c r="B540" s="118" t="s">
        <v>318</v>
      </c>
      <c r="C540" s="118" t="s">
        <v>319</v>
      </c>
      <c r="D540" s="118" t="s">
        <v>390</v>
      </c>
      <c r="E540" s="118" t="s">
        <v>316</v>
      </c>
      <c r="F540" s="119">
        <v>57</v>
      </c>
      <c r="G540" s="120">
        <v>4</v>
      </c>
      <c r="H540" s="121">
        <f t="shared" si="17"/>
        <v>285</v>
      </c>
      <c r="I540" s="122">
        <f t="shared" si="16"/>
        <v>14.25</v>
      </c>
    </row>
    <row r="541" spans="1:9" x14ac:dyDescent="0.35">
      <c r="A541" s="117">
        <v>45632</v>
      </c>
      <c r="B541" s="118" t="s">
        <v>318</v>
      </c>
      <c r="C541" s="118" t="s">
        <v>319</v>
      </c>
      <c r="D541" s="118" t="s">
        <v>333</v>
      </c>
      <c r="E541" s="118" t="s">
        <v>340</v>
      </c>
      <c r="F541" s="119">
        <v>13</v>
      </c>
      <c r="G541" s="120">
        <v>4</v>
      </c>
      <c r="H541" s="121">
        <f t="shared" si="17"/>
        <v>65</v>
      </c>
      <c r="I541" s="122">
        <f t="shared" si="16"/>
        <v>3.25</v>
      </c>
    </row>
    <row r="542" spans="1:9" x14ac:dyDescent="0.35">
      <c r="A542" s="117">
        <v>45632</v>
      </c>
      <c r="B542" s="118" t="s">
        <v>313</v>
      </c>
      <c r="C542" s="118" t="s">
        <v>314</v>
      </c>
      <c r="D542" s="118" t="s">
        <v>333</v>
      </c>
      <c r="E542" s="118" t="s">
        <v>394</v>
      </c>
      <c r="F542" s="119">
        <v>45</v>
      </c>
      <c r="G542" s="120">
        <v>13</v>
      </c>
      <c r="H542" s="121">
        <f t="shared" si="17"/>
        <v>720</v>
      </c>
      <c r="I542" s="122">
        <f t="shared" si="16"/>
        <v>36</v>
      </c>
    </row>
    <row r="543" spans="1:9" x14ac:dyDescent="0.35">
      <c r="A543" s="117">
        <v>45632</v>
      </c>
      <c r="B543" s="118" t="s">
        <v>313</v>
      </c>
      <c r="C543" s="118" t="s">
        <v>319</v>
      </c>
      <c r="D543" s="118" t="s">
        <v>324</v>
      </c>
      <c r="E543" s="118" t="s">
        <v>405</v>
      </c>
      <c r="F543" s="119">
        <v>6</v>
      </c>
      <c r="G543" s="120">
        <v>13</v>
      </c>
      <c r="H543" s="121">
        <f t="shared" si="17"/>
        <v>84</v>
      </c>
      <c r="I543" s="122">
        <f t="shared" si="16"/>
        <v>4.2</v>
      </c>
    </row>
    <row r="544" spans="1:9" x14ac:dyDescent="0.35">
      <c r="A544" s="117">
        <v>45632</v>
      </c>
      <c r="B544" s="118" t="s">
        <v>322</v>
      </c>
      <c r="C544" s="118" t="s">
        <v>319</v>
      </c>
      <c r="D544" s="118" t="s">
        <v>423</v>
      </c>
      <c r="E544" s="118" t="s">
        <v>405</v>
      </c>
      <c r="F544" s="119">
        <v>20</v>
      </c>
      <c r="G544" s="120">
        <v>17</v>
      </c>
      <c r="H544" s="121">
        <f t="shared" si="17"/>
        <v>360</v>
      </c>
      <c r="I544" s="122">
        <f t="shared" si="16"/>
        <v>21.599999999999998</v>
      </c>
    </row>
    <row r="545" spans="1:9" x14ac:dyDescent="0.35">
      <c r="A545" s="117">
        <v>45633</v>
      </c>
      <c r="B545" s="118" t="s">
        <v>322</v>
      </c>
      <c r="C545" s="118" t="s">
        <v>393</v>
      </c>
      <c r="D545" s="118" t="s">
        <v>390</v>
      </c>
      <c r="E545" s="118" t="s">
        <v>342</v>
      </c>
      <c r="F545" s="119">
        <v>45</v>
      </c>
      <c r="G545" s="120">
        <v>17</v>
      </c>
      <c r="H545" s="121">
        <f t="shared" si="17"/>
        <v>855</v>
      </c>
      <c r="I545" s="122">
        <f t="shared" si="16"/>
        <v>42.75</v>
      </c>
    </row>
    <row r="546" spans="1:9" x14ac:dyDescent="0.35">
      <c r="A546" s="117">
        <v>45633</v>
      </c>
      <c r="B546" s="118" t="s">
        <v>327</v>
      </c>
      <c r="C546" s="118" t="s">
        <v>319</v>
      </c>
      <c r="D546" s="118" t="s">
        <v>338</v>
      </c>
      <c r="E546" s="118" t="s">
        <v>340</v>
      </c>
      <c r="F546" s="119">
        <v>13</v>
      </c>
      <c r="G546" s="120">
        <v>6</v>
      </c>
      <c r="H546" s="121">
        <f t="shared" si="17"/>
        <v>91</v>
      </c>
      <c r="I546" s="122">
        <f t="shared" si="16"/>
        <v>5.46</v>
      </c>
    </row>
    <row r="547" spans="1:9" x14ac:dyDescent="0.35">
      <c r="A547" s="117">
        <v>45633</v>
      </c>
      <c r="B547" s="118" t="s">
        <v>313</v>
      </c>
      <c r="C547" s="118" t="s">
        <v>393</v>
      </c>
      <c r="D547" s="118" t="s">
        <v>423</v>
      </c>
      <c r="E547" s="118" t="s">
        <v>395</v>
      </c>
      <c r="F547" s="119">
        <v>33</v>
      </c>
      <c r="G547" s="120">
        <v>13</v>
      </c>
      <c r="H547" s="121">
        <f t="shared" si="17"/>
        <v>495</v>
      </c>
      <c r="I547" s="122">
        <f t="shared" si="16"/>
        <v>29.7</v>
      </c>
    </row>
    <row r="548" spans="1:9" x14ac:dyDescent="0.35">
      <c r="A548" s="117">
        <v>45633</v>
      </c>
      <c r="B548" s="118" t="s">
        <v>313</v>
      </c>
      <c r="C548" s="118" t="s">
        <v>319</v>
      </c>
      <c r="D548" s="118" t="s">
        <v>315</v>
      </c>
      <c r="E548" s="118" t="s">
        <v>347</v>
      </c>
      <c r="F548" s="119">
        <v>65</v>
      </c>
      <c r="G548" s="120">
        <v>13</v>
      </c>
      <c r="H548" s="121">
        <f t="shared" si="17"/>
        <v>910</v>
      </c>
      <c r="I548" s="122">
        <f t="shared" si="16"/>
        <v>45.5</v>
      </c>
    </row>
    <row r="549" spans="1:9" x14ac:dyDescent="0.35">
      <c r="A549" s="117">
        <v>45633</v>
      </c>
      <c r="B549" s="118" t="s">
        <v>327</v>
      </c>
      <c r="C549" s="118" t="s">
        <v>319</v>
      </c>
      <c r="D549" s="118" t="s">
        <v>320</v>
      </c>
      <c r="E549" s="118" t="s">
        <v>405</v>
      </c>
      <c r="F549" s="119">
        <v>17</v>
      </c>
      <c r="G549" s="120">
        <v>6</v>
      </c>
      <c r="H549" s="121">
        <f t="shared" si="17"/>
        <v>119</v>
      </c>
      <c r="I549" s="122">
        <f t="shared" si="16"/>
        <v>7.14</v>
      </c>
    </row>
    <row r="550" spans="1:9" x14ac:dyDescent="0.35">
      <c r="A550" s="117">
        <v>45634</v>
      </c>
      <c r="B550" s="118" t="s">
        <v>422</v>
      </c>
      <c r="C550" s="118" t="s">
        <v>332</v>
      </c>
      <c r="D550" s="118" t="s">
        <v>390</v>
      </c>
      <c r="E550" s="118" t="s">
        <v>342</v>
      </c>
      <c r="F550" s="119">
        <v>6</v>
      </c>
      <c r="G550" s="120">
        <v>24</v>
      </c>
      <c r="H550" s="121">
        <f t="shared" si="17"/>
        <v>168</v>
      </c>
      <c r="I550" s="122">
        <f t="shared" si="16"/>
        <v>8.4</v>
      </c>
    </row>
    <row r="551" spans="1:9" x14ac:dyDescent="0.35">
      <c r="A551" s="117">
        <v>45634</v>
      </c>
      <c r="B551" s="118" t="s">
        <v>322</v>
      </c>
      <c r="C551" s="118" t="s">
        <v>319</v>
      </c>
      <c r="D551" s="118" t="s">
        <v>320</v>
      </c>
      <c r="E551" s="118" t="s">
        <v>337</v>
      </c>
      <c r="F551" s="119">
        <v>8</v>
      </c>
      <c r="G551" s="120">
        <v>17</v>
      </c>
      <c r="H551" s="121">
        <f t="shared" si="17"/>
        <v>144</v>
      </c>
      <c r="I551" s="122">
        <f t="shared" si="16"/>
        <v>8.64</v>
      </c>
    </row>
    <row r="552" spans="1:9" x14ac:dyDescent="0.35">
      <c r="A552" s="117">
        <v>45635</v>
      </c>
      <c r="B552" s="118" t="s">
        <v>318</v>
      </c>
      <c r="C552" s="118" t="s">
        <v>314</v>
      </c>
      <c r="D552" s="118" t="s">
        <v>315</v>
      </c>
      <c r="E552" s="118" t="s">
        <v>340</v>
      </c>
      <c r="F552" s="119">
        <v>54</v>
      </c>
      <c r="G552" s="120">
        <v>4</v>
      </c>
      <c r="H552" s="121">
        <f t="shared" si="17"/>
        <v>378</v>
      </c>
      <c r="I552" s="122">
        <f t="shared" si="16"/>
        <v>18.900000000000002</v>
      </c>
    </row>
    <row r="553" spans="1:9" x14ac:dyDescent="0.35">
      <c r="A553" s="117">
        <v>45636</v>
      </c>
      <c r="B553" s="118" t="s">
        <v>327</v>
      </c>
      <c r="C553" s="118" t="s">
        <v>393</v>
      </c>
      <c r="D553" s="118" t="s">
        <v>338</v>
      </c>
      <c r="E553" s="118" t="s">
        <v>340</v>
      </c>
      <c r="F553" s="119">
        <v>34</v>
      </c>
      <c r="G553" s="120">
        <v>6</v>
      </c>
      <c r="H553" s="121">
        <f t="shared" si="17"/>
        <v>272</v>
      </c>
      <c r="I553" s="122">
        <f t="shared" si="16"/>
        <v>16.32</v>
      </c>
    </row>
    <row r="554" spans="1:9" x14ac:dyDescent="0.35">
      <c r="A554" s="117">
        <v>45637</v>
      </c>
      <c r="B554" s="118" t="s">
        <v>318</v>
      </c>
      <c r="C554" s="118" t="s">
        <v>319</v>
      </c>
      <c r="D554" s="118" t="s">
        <v>315</v>
      </c>
      <c r="E554" s="118" t="s">
        <v>406</v>
      </c>
      <c r="F554" s="119">
        <v>20</v>
      </c>
      <c r="G554" s="120">
        <v>4</v>
      </c>
      <c r="H554" s="121">
        <f t="shared" si="17"/>
        <v>100</v>
      </c>
      <c r="I554" s="122">
        <f t="shared" si="16"/>
        <v>5</v>
      </c>
    </row>
    <row r="555" spans="1:9" x14ac:dyDescent="0.35">
      <c r="A555" s="117">
        <v>45637</v>
      </c>
      <c r="B555" s="118" t="s">
        <v>422</v>
      </c>
      <c r="C555" s="118" t="s">
        <v>314</v>
      </c>
      <c r="D555" s="118" t="s">
        <v>390</v>
      </c>
      <c r="E555" s="118" t="s">
        <v>342</v>
      </c>
      <c r="F555" s="119">
        <v>50</v>
      </c>
      <c r="G555" s="120">
        <v>24</v>
      </c>
      <c r="H555" s="121">
        <f t="shared" si="17"/>
        <v>1350</v>
      </c>
      <c r="I555" s="122">
        <f t="shared" si="16"/>
        <v>67.5</v>
      </c>
    </row>
    <row r="556" spans="1:9" x14ac:dyDescent="0.35">
      <c r="A556" s="117">
        <v>45637</v>
      </c>
      <c r="B556" s="118" t="s">
        <v>322</v>
      </c>
      <c r="C556" s="118" t="s">
        <v>393</v>
      </c>
      <c r="D556" s="118" t="s">
        <v>315</v>
      </c>
      <c r="E556" s="118" t="s">
        <v>348</v>
      </c>
      <c r="F556" s="119">
        <v>41</v>
      </c>
      <c r="G556" s="120">
        <v>17</v>
      </c>
      <c r="H556" s="121">
        <f t="shared" si="17"/>
        <v>779</v>
      </c>
      <c r="I556" s="122">
        <f t="shared" si="16"/>
        <v>38.950000000000003</v>
      </c>
    </row>
    <row r="557" spans="1:9" x14ac:dyDescent="0.35">
      <c r="A557" s="117">
        <v>45637</v>
      </c>
      <c r="B557" s="118" t="s">
        <v>313</v>
      </c>
      <c r="C557" s="118" t="s">
        <v>393</v>
      </c>
      <c r="D557" s="118" t="s">
        <v>324</v>
      </c>
      <c r="E557" s="118" t="s">
        <v>339</v>
      </c>
      <c r="F557" s="119">
        <v>21</v>
      </c>
      <c r="G557" s="120">
        <v>13</v>
      </c>
      <c r="H557" s="121">
        <f t="shared" si="17"/>
        <v>315</v>
      </c>
      <c r="I557" s="122">
        <f t="shared" si="16"/>
        <v>15.75</v>
      </c>
    </row>
    <row r="558" spans="1:9" x14ac:dyDescent="0.35">
      <c r="A558" s="117">
        <v>45637</v>
      </c>
      <c r="B558" s="118" t="s">
        <v>322</v>
      </c>
      <c r="C558" s="118" t="s">
        <v>314</v>
      </c>
      <c r="D558" s="118" t="s">
        <v>315</v>
      </c>
      <c r="E558" s="118" t="s">
        <v>400</v>
      </c>
      <c r="F558" s="119">
        <v>27</v>
      </c>
      <c r="G558" s="120">
        <v>17</v>
      </c>
      <c r="H558" s="121">
        <f t="shared" si="17"/>
        <v>540</v>
      </c>
      <c r="I558" s="122">
        <f t="shared" si="16"/>
        <v>27</v>
      </c>
    </row>
    <row r="559" spans="1:9" x14ac:dyDescent="0.35">
      <c r="A559" s="117">
        <v>45637</v>
      </c>
      <c r="B559" s="118" t="s">
        <v>327</v>
      </c>
      <c r="C559" s="118" t="s">
        <v>314</v>
      </c>
      <c r="D559" s="118" t="s">
        <v>315</v>
      </c>
      <c r="E559" s="118" t="s">
        <v>344</v>
      </c>
      <c r="F559" s="119">
        <v>44</v>
      </c>
      <c r="G559" s="120">
        <v>6</v>
      </c>
      <c r="H559" s="121">
        <f t="shared" si="17"/>
        <v>396</v>
      </c>
      <c r="I559" s="122">
        <f t="shared" si="16"/>
        <v>19.8</v>
      </c>
    </row>
    <row r="560" spans="1:9" x14ac:dyDescent="0.35">
      <c r="A560" s="117">
        <v>45637</v>
      </c>
      <c r="B560" s="118" t="s">
        <v>327</v>
      </c>
      <c r="C560" s="118" t="s">
        <v>332</v>
      </c>
      <c r="D560" s="118" t="s">
        <v>423</v>
      </c>
      <c r="E560" s="118" t="s">
        <v>405</v>
      </c>
      <c r="F560" s="119">
        <v>11</v>
      </c>
      <c r="G560" s="120">
        <v>6</v>
      </c>
      <c r="H560" s="121">
        <f t="shared" si="17"/>
        <v>110</v>
      </c>
      <c r="I560" s="122">
        <f t="shared" si="16"/>
        <v>6.6</v>
      </c>
    </row>
    <row r="561" spans="1:9" x14ac:dyDescent="0.35">
      <c r="A561" s="117">
        <v>45639</v>
      </c>
      <c r="B561" s="118" t="s">
        <v>327</v>
      </c>
      <c r="C561" s="118" t="s">
        <v>314</v>
      </c>
      <c r="D561" s="118" t="s">
        <v>423</v>
      </c>
      <c r="E561" s="118" t="s">
        <v>340</v>
      </c>
      <c r="F561" s="119">
        <v>17</v>
      </c>
      <c r="G561" s="120">
        <v>6</v>
      </c>
      <c r="H561" s="121">
        <f t="shared" si="17"/>
        <v>153</v>
      </c>
      <c r="I561" s="122">
        <f t="shared" si="16"/>
        <v>9.18</v>
      </c>
    </row>
    <row r="562" spans="1:9" x14ac:dyDescent="0.35">
      <c r="A562" s="117">
        <v>45639</v>
      </c>
      <c r="B562" s="118" t="s">
        <v>327</v>
      </c>
      <c r="C562" s="118" t="s">
        <v>319</v>
      </c>
      <c r="D562" s="118" t="s">
        <v>324</v>
      </c>
      <c r="E562" s="118" t="s">
        <v>340</v>
      </c>
      <c r="F562" s="119">
        <v>56</v>
      </c>
      <c r="G562" s="120">
        <v>6</v>
      </c>
      <c r="H562" s="121">
        <f t="shared" si="17"/>
        <v>392</v>
      </c>
      <c r="I562" s="122">
        <f t="shared" si="16"/>
        <v>19.600000000000001</v>
      </c>
    </row>
    <row r="563" spans="1:9" x14ac:dyDescent="0.35">
      <c r="A563" s="117">
        <v>45639</v>
      </c>
      <c r="B563" s="118" t="s">
        <v>313</v>
      </c>
      <c r="C563" s="118" t="s">
        <v>319</v>
      </c>
      <c r="D563" s="118" t="s">
        <v>390</v>
      </c>
      <c r="E563" s="118" t="s">
        <v>347</v>
      </c>
      <c r="F563" s="119">
        <v>51</v>
      </c>
      <c r="G563" s="120">
        <v>13</v>
      </c>
      <c r="H563" s="121">
        <f t="shared" si="17"/>
        <v>714</v>
      </c>
      <c r="I563" s="122">
        <f t="shared" si="16"/>
        <v>35.700000000000003</v>
      </c>
    </row>
    <row r="564" spans="1:9" x14ac:dyDescent="0.35">
      <c r="A564" s="117">
        <v>45639</v>
      </c>
      <c r="B564" s="118" t="s">
        <v>422</v>
      </c>
      <c r="C564" s="118" t="s">
        <v>314</v>
      </c>
      <c r="D564" s="118" t="s">
        <v>324</v>
      </c>
      <c r="E564" s="118" t="s">
        <v>454</v>
      </c>
      <c r="F564" s="119">
        <v>14</v>
      </c>
      <c r="G564" s="120">
        <v>24</v>
      </c>
      <c r="H564" s="121">
        <f t="shared" si="17"/>
        <v>378</v>
      </c>
      <c r="I564" s="122">
        <f t="shared" si="16"/>
        <v>18.900000000000002</v>
      </c>
    </row>
    <row r="565" spans="1:9" x14ac:dyDescent="0.35">
      <c r="A565" s="117">
        <v>45640</v>
      </c>
      <c r="B565" s="118" t="s">
        <v>313</v>
      </c>
      <c r="C565" s="118" t="s">
        <v>393</v>
      </c>
      <c r="D565" s="118" t="s">
        <v>324</v>
      </c>
      <c r="E565" s="118" t="s">
        <v>339</v>
      </c>
      <c r="F565" s="119">
        <v>8</v>
      </c>
      <c r="G565" s="120">
        <v>13</v>
      </c>
      <c r="H565" s="121">
        <f t="shared" si="17"/>
        <v>120</v>
      </c>
      <c r="I565" s="122">
        <f t="shared" si="16"/>
        <v>6</v>
      </c>
    </row>
    <row r="566" spans="1:9" x14ac:dyDescent="0.35">
      <c r="A566" s="117">
        <v>45640</v>
      </c>
      <c r="B566" s="118" t="s">
        <v>313</v>
      </c>
      <c r="C566" s="118" t="s">
        <v>314</v>
      </c>
      <c r="D566" s="118" t="s">
        <v>423</v>
      </c>
      <c r="E566" s="118" t="s">
        <v>346</v>
      </c>
      <c r="F566" s="119">
        <v>15</v>
      </c>
      <c r="G566" s="120">
        <v>13</v>
      </c>
      <c r="H566" s="121">
        <f t="shared" si="17"/>
        <v>240</v>
      </c>
      <c r="I566" s="122">
        <f t="shared" si="16"/>
        <v>14.399999999999999</v>
      </c>
    </row>
    <row r="567" spans="1:9" x14ac:dyDescent="0.35">
      <c r="A567" s="117">
        <v>45640</v>
      </c>
      <c r="B567" s="118" t="s">
        <v>422</v>
      </c>
      <c r="C567" s="118" t="s">
        <v>332</v>
      </c>
      <c r="D567" s="118" t="s">
        <v>320</v>
      </c>
      <c r="E567" s="118" t="s">
        <v>346</v>
      </c>
      <c r="F567" s="119">
        <v>36</v>
      </c>
      <c r="G567" s="120">
        <v>24</v>
      </c>
      <c r="H567" s="121">
        <f t="shared" si="17"/>
        <v>1008</v>
      </c>
      <c r="I567" s="122">
        <f t="shared" si="16"/>
        <v>60.48</v>
      </c>
    </row>
    <row r="568" spans="1:9" x14ac:dyDescent="0.35">
      <c r="A568" s="117">
        <v>45640</v>
      </c>
      <c r="B568" s="118" t="s">
        <v>422</v>
      </c>
      <c r="C568" s="118" t="s">
        <v>319</v>
      </c>
      <c r="D568" s="118" t="s">
        <v>338</v>
      </c>
      <c r="E568" s="118" t="s">
        <v>405</v>
      </c>
      <c r="F568" s="119">
        <v>40</v>
      </c>
      <c r="G568" s="120">
        <v>24</v>
      </c>
      <c r="H568" s="121">
        <f t="shared" si="17"/>
        <v>1000</v>
      </c>
      <c r="I568" s="122">
        <f t="shared" si="16"/>
        <v>60</v>
      </c>
    </row>
    <row r="569" spans="1:9" x14ac:dyDescent="0.35">
      <c r="A569" s="117">
        <v>45641</v>
      </c>
      <c r="B569" s="118" t="s">
        <v>322</v>
      </c>
      <c r="C569" s="118" t="s">
        <v>319</v>
      </c>
      <c r="D569" s="118" t="s">
        <v>315</v>
      </c>
      <c r="E569" s="118" t="s">
        <v>347</v>
      </c>
      <c r="F569" s="119">
        <v>56</v>
      </c>
      <c r="G569" s="120">
        <v>17</v>
      </c>
      <c r="H569" s="121">
        <f t="shared" si="17"/>
        <v>1008</v>
      </c>
      <c r="I569" s="122">
        <f t="shared" si="16"/>
        <v>50.400000000000006</v>
      </c>
    </row>
    <row r="570" spans="1:9" x14ac:dyDescent="0.35">
      <c r="A570" s="117">
        <v>45641</v>
      </c>
      <c r="B570" s="118" t="s">
        <v>322</v>
      </c>
      <c r="C570" s="118" t="s">
        <v>332</v>
      </c>
      <c r="D570" s="118" t="s">
        <v>315</v>
      </c>
      <c r="E570" s="118" t="s">
        <v>346</v>
      </c>
      <c r="F570" s="119">
        <v>10</v>
      </c>
      <c r="G570" s="120">
        <v>17</v>
      </c>
      <c r="H570" s="121">
        <f t="shared" si="17"/>
        <v>210</v>
      </c>
      <c r="I570" s="122">
        <f t="shared" si="16"/>
        <v>10.5</v>
      </c>
    </row>
    <row r="571" spans="1:9" x14ac:dyDescent="0.35">
      <c r="A571" s="117">
        <v>45641</v>
      </c>
      <c r="B571" s="118" t="s">
        <v>313</v>
      </c>
      <c r="C571" s="118" t="s">
        <v>314</v>
      </c>
      <c r="D571" s="118" t="s">
        <v>320</v>
      </c>
      <c r="E571" s="118" t="s">
        <v>394</v>
      </c>
      <c r="F571" s="119">
        <v>14</v>
      </c>
      <c r="G571" s="120">
        <v>13</v>
      </c>
      <c r="H571" s="121">
        <f t="shared" si="17"/>
        <v>224</v>
      </c>
      <c r="I571" s="122">
        <f t="shared" si="16"/>
        <v>13.44</v>
      </c>
    </row>
    <row r="572" spans="1:9" x14ac:dyDescent="0.35">
      <c r="A572" s="117">
        <v>45641</v>
      </c>
      <c r="B572" s="118" t="s">
        <v>318</v>
      </c>
      <c r="C572" s="118" t="s">
        <v>332</v>
      </c>
      <c r="D572" s="118" t="s">
        <v>315</v>
      </c>
      <c r="E572" s="118" t="s">
        <v>344</v>
      </c>
      <c r="F572" s="119">
        <v>61</v>
      </c>
      <c r="G572" s="120">
        <v>4</v>
      </c>
      <c r="H572" s="121">
        <f t="shared" si="17"/>
        <v>488</v>
      </c>
      <c r="I572" s="122">
        <f t="shared" si="16"/>
        <v>24.400000000000002</v>
      </c>
    </row>
    <row r="573" spans="1:9" x14ac:dyDescent="0.35">
      <c r="A573" s="117">
        <v>45642</v>
      </c>
      <c r="B573" s="118" t="s">
        <v>422</v>
      </c>
      <c r="C573" s="118" t="s">
        <v>314</v>
      </c>
      <c r="D573" s="118" t="s">
        <v>338</v>
      </c>
      <c r="E573" s="118" t="s">
        <v>341</v>
      </c>
      <c r="F573" s="119">
        <v>39</v>
      </c>
      <c r="G573" s="120">
        <v>24</v>
      </c>
      <c r="H573" s="121">
        <f t="shared" si="17"/>
        <v>1053</v>
      </c>
      <c r="I573" s="122">
        <f t="shared" si="16"/>
        <v>63.18</v>
      </c>
    </row>
    <row r="574" spans="1:9" x14ac:dyDescent="0.35">
      <c r="A574" s="117">
        <v>45642</v>
      </c>
      <c r="B574" s="118" t="s">
        <v>327</v>
      </c>
      <c r="C574" s="118" t="s">
        <v>393</v>
      </c>
      <c r="D574" s="118" t="s">
        <v>324</v>
      </c>
      <c r="E574" s="118" t="s">
        <v>347</v>
      </c>
      <c r="F574" s="119">
        <v>58</v>
      </c>
      <c r="G574" s="120">
        <v>6</v>
      </c>
      <c r="H574" s="121">
        <f t="shared" si="17"/>
        <v>464</v>
      </c>
      <c r="I574" s="122">
        <f t="shared" si="16"/>
        <v>23.200000000000003</v>
      </c>
    </row>
    <row r="575" spans="1:9" x14ac:dyDescent="0.35">
      <c r="A575" s="117">
        <v>45642</v>
      </c>
      <c r="B575" s="118" t="s">
        <v>322</v>
      </c>
      <c r="C575" s="118" t="s">
        <v>314</v>
      </c>
      <c r="D575" s="118" t="s">
        <v>315</v>
      </c>
      <c r="E575" s="118" t="s">
        <v>394</v>
      </c>
      <c r="F575" s="119">
        <v>60</v>
      </c>
      <c r="G575" s="120">
        <v>17</v>
      </c>
      <c r="H575" s="121">
        <f t="shared" si="17"/>
        <v>1200</v>
      </c>
      <c r="I575" s="122">
        <f t="shared" si="16"/>
        <v>60</v>
      </c>
    </row>
    <row r="576" spans="1:9" x14ac:dyDescent="0.35">
      <c r="A576" s="117">
        <v>45642</v>
      </c>
      <c r="B576" s="118" t="s">
        <v>313</v>
      </c>
      <c r="C576" s="118" t="s">
        <v>314</v>
      </c>
      <c r="D576" s="118" t="s">
        <v>324</v>
      </c>
      <c r="E576" s="118" t="s">
        <v>343</v>
      </c>
      <c r="F576" s="119">
        <v>37</v>
      </c>
      <c r="G576" s="120">
        <v>13</v>
      </c>
      <c r="H576" s="121">
        <f t="shared" si="17"/>
        <v>592</v>
      </c>
      <c r="I576" s="122">
        <f t="shared" si="16"/>
        <v>29.6</v>
      </c>
    </row>
    <row r="577" spans="1:9" x14ac:dyDescent="0.35">
      <c r="A577" s="117">
        <v>45642</v>
      </c>
      <c r="B577" s="118" t="s">
        <v>327</v>
      </c>
      <c r="C577" s="118" t="s">
        <v>393</v>
      </c>
      <c r="D577" s="118" t="s">
        <v>320</v>
      </c>
      <c r="E577" s="118" t="s">
        <v>350</v>
      </c>
      <c r="F577" s="119">
        <v>9</v>
      </c>
      <c r="G577" s="120">
        <v>6</v>
      </c>
      <c r="H577" s="121">
        <f t="shared" si="17"/>
        <v>72</v>
      </c>
      <c r="I577" s="122">
        <f t="shared" si="16"/>
        <v>4.32</v>
      </c>
    </row>
    <row r="578" spans="1:9" x14ac:dyDescent="0.35">
      <c r="A578" s="117">
        <v>45643</v>
      </c>
      <c r="B578" s="118" t="s">
        <v>322</v>
      </c>
      <c r="C578" s="118" t="s">
        <v>393</v>
      </c>
      <c r="D578" s="118" t="s">
        <v>315</v>
      </c>
      <c r="E578" s="118" t="s">
        <v>406</v>
      </c>
      <c r="F578" s="119">
        <v>27</v>
      </c>
      <c r="G578" s="120">
        <v>17</v>
      </c>
      <c r="H578" s="121">
        <f t="shared" si="17"/>
        <v>513</v>
      </c>
      <c r="I578" s="122">
        <f t="shared" ref="I578:I641" si="18">H578*VLOOKUP(D578,$O$4:$P$10,2,TRUE)</f>
        <v>25.650000000000002</v>
      </c>
    </row>
    <row r="579" spans="1:9" x14ac:dyDescent="0.35">
      <c r="A579" s="117">
        <v>45643</v>
      </c>
      <c r="B579" s="118" t="s">
        <v>318</v>
      </c>
      <c r="C579" s="118" t="s">
        <v>314</v>
      </c>
      <c r="D579" s="118" t="s">
        <v>324</v>
      </c>
      <c r="E579" s="118" t="s">
        <v>340</v>
      </c>
      <c r="F579" s="119">
        <v>24</v>
      </c>
      <c r="G579" s="120">
        <v>4</v>
      </c>
      <c r="H579" s="121">
        <f t="shared" ref="H579:H642" si="19">(F579*G579)+VLOOKUP(C579,$K$11:$L$14,2,FALSE)*F579</f>
        <v>168</v>
      </c>
      <c r="I579" s="122">
        <f t="shared" si="18"/>
        <v>8.4</v>
      </c>
    </row>
    <row r="580" spans="1:9" x14ac:dyDescent="0.35">
      <c r="A580" s="117">
        <v>45643</v>
      </c>
      <c r="B580" s="118" t="s">
        <v>313</v>
      </c>
      <c r="C580" s="118" t="s">
        <v>332</v>
      </c>
      <c r="D580" s="118" t="s">
        <v>423</v>
      </c>
      <c r="E580" s="118" t="s">
        <v>347</v>
      </c>
      <c r="F580" s="119">
        <v>36</v>
      </c>
      <c r="G580" s="120">
        <v>13</v>
      </c>
      <c r="H580" s="121">
        <f t="shared" si="19"/>
        <v>612</v>
      </c>
      <c r="I580" s="122">
        <f t="shared" si="18"/>
        <v>36.72</v>
      </c>
    </row>
    <row r="581" spans="1:9" x14ac:dyDescent="0.35">
      <c r="A581" s="117">
        <v>45643</v>
      </c>
      <c r="B581" s="118" t="s">
        <v>327</v>
      </c>
      <c r="C581" s="118" t="s">
        <v>393</v>
      </c>
      <c r="D581" s="118" t="s">
        <v>324</v>
      </c>
      <c r="E581" s="118" t="s">
        <v>337</v>
      </c>
      <c r="F581" s="119">
        <v>58</v>
      </c>
      <c r="G581" s="120">
        <v>6</v>
      </c>
      <c r="H581" s="121">
        <f t="shared" si="19"/>
        <v>464</v>
      </c>
      <c r="I581" s="122">
        <f t="shared" si="18"/>
        <v>23.200000000000003</v>
      </c>
    </row>
    <row r="582" spans="1:9" x14ac:dyDescent="0.35">
      <c r="A582" s="117">
        <v>45643</v>
      </c>
      <c r="B582" s="118" t="s">
        <v>318</v>
      </c>
      <c r="C582" s="118" t="s">
        <v>393</v>
      </c>
      <c r="D582" s="118" t="s">
        <v>390</v>
      </c>
      <c r="E582" s="118" t="s">
        <v>329</v>
      </c>
      <c r="F582" s="119">
        <v>37</v>
      </c>
      <c r="G582" s="120">
        <v>4</v>
      </c>
      <c r="H582" s="121">
        <f t="shared" si="19"/>
        <v>222</v>
      </c>
      <c r="I582" s="122">
        <f t="shared" si="18"/>
        <v>11.100000000000001</v>
      </c>
    </row>
    <row r="583" spans="1:9" x14ac:dyDescent="0.35">
      <c r="A583" s="117">
        <v>45643</v>
      </c>
      <c r="B583" s="118" t="s">
        <v>318</v>
      </c>
      <c r="C583" s="118" t="s">
        <v>319</v>
      </c>
      <c r="D583" s="118" t="s">
        <v>333</v>
      </c>
      <c r="E583" s="118" t="s">
        <v>344</v>
      </c>
      <c r="F583" s="119">
        <v>35</v>
      </c>
      <c r="G583" s="120">
        <v>4</v>
      </c>
      <c r="H583" s="121">
        <f t="shared" si="19"/>
        <v>175</v>
      </c>
      <c r="I583" s="122">
        <f t="shared" si="18"/>
        <v>8.75</v>
      </c>
    </row>
    <row r="584" spans="1:9" x14ac:dyDescent="0.35">
      <c r="A584" s="117">
        <v>45644</v>
      </c>
      <c r="B584" s="118" t="s">
        <v>422</v>
      </c>
      <c r="C584" s="118" t="s">
        <v>319</v>
      </c>
      <c r="D584" s="118" t="s">
        <v>333</v>
      </c>
      <c r="E584" s="118" t="s">
        <v>349</v>
      </c>
      <c r="F584" s="119">
        <v>29</v>
      </c>
      <c r="G584" s="120">
        <v>24</v>
      </c>
      <c r="H584" s="121">
        <f t="shared" si="19"/>
        <v>725</v>
      </c>
      <c r="I584" s="122">
        <f t="shared" si="18"/>
        <v>36.25</v>
      </c>
    </row>
    <row r="585" spans="1:9" x14ac:dyDescent="0.35">
      <c r="A585" s="117">
        <v>45644</v>
      </c>
      <c r="B585" s="118" t="s">
        <v>422</v>
      </c>
      <c r="C585" s="118" t="s">
        <v>319</v>
      </c>
      <c r="D585" s="118" t="s">
        <v>423</v>
      </c>
      <c r="E585" s="118" t="s">
        <v>347</v>
      </c>
      <c r="F585" s="119">
        <v>57</v>
      </c>
      <c r="G585" s="120">
        <v>24</v>
      </c>
      <c r="H585" s="121">
        <f t="shared" si="19"/>
        <v>1425</v>
      </c>
      <c r="I585" s="122">
        <f t="shared" si="18"/>
        <v>85.5</v>
      </c>
    </row>
    <row r="586" spans="1:9" x14ac:dyDescent="0.35">
      <c r="A586" s="117">
        <v>45644</v>
      </c>
      <c r="B586" s="118" t="s">
        <v>422</v>
      </c>
      <c r="C586" s="118" t="s">
        <v>332</v>
      </c>
      <c r="D586" s="118" t="s">
        <v>423</v>
      </c>
      <c r="E586" s="118" t="s">
        <v>454</v>
      </c>
      <c r="F586" s="119">
        <v>21</v>
      </c>
      <c r="G586" s="120">
        <v>24</v>
      </c>
      <c r="H586" s="121">
        <f t="shared" si="19"/>
        <v>588</v>
      </c>
      <c r="I586" s="122">
        <f t="shared" si="18"/>
        <v>35.28</v>
      </c>
    </row>
    <row r="587" spans="1:9" x14ac:dyDescent="0.35">
      <c r="A587" s="117">
        <v>45644</v>
      </c>
      <c r="B587" s="118" t="s">
        <v>422</v>
      </c>
      <c r="C587" s="118" t="s">
        <v>332</v>
      </c>
      <c r="D587" s="118" t="s">
        <v>423</v>
      </c>
      <c r="E587" s="118" t="s">
        <v>394</v>
      </c>
      <c r="F587" s="119">
        <v>36</v>
      </c>
      <c r="G587" s="120">
        <v>24</v>
      </c>
      <c r="H587" s="121">
        <f t="shared" si="19"/>
        <v>1008</v>
      </c>
      <c r="I587" s="122">
        <f t="shared" si="18"/>
        <v>60.48</v>
      </c>
    </row>
    <row r="588" spans="1:9" x14ac:dyDescent="0.35">
      <c r="A588" s="117">
        <v>45644</v>
      </c>
      <c r="B588" s="118" t="s">
        <v>318</v>
      </c>
      <c r="C588" s="118" t="s">
        <v>332</v>
      </c>
      <c r="D588" s="118" t="s">
        <v>423</v>
      </c>
      <c r="E588" s="118" t="s">
        <v>394</v>
      </c>
      <c r="F588" s="119">
        <v>49</v>
      </c>
      <c r="G588" s="120">
        <v>4</v>
      </c>
      <c r="H588" s="121">
        <f t="shared" si="19"/>
        <v>392</v>
      </c>
      <c r="I588" s="122">
        <f t="shared" si="18"/>
        <v>23.52</v>
      </c>
    </row>
    <row r="589" spans="1:9" x14ac:dyDescent="0.35">
      <c r="A589" s="117">
        <v>45644</v>
      </c>
      <c r="B589" s="118" t="s">
        <v>318</v>
      </c>
      <c r="C589" s="118" t="s">
        <v>393</v>
      </c>
      <c r="D589" s="118" t="s">
        <v>423</v>
      </c>
      <c r="E589" s="118" t="s">
        <v>394</v>
      </c>
      <c r="F589" s="119">
        <v>26</v>
      </c>
      <c r="G589" s="120">
        <v>4</v>
      </c>
      <c r="H589" s="121">
        <f t="shared" si="19"/>
        <v>156</v>
      </c>
      <c r="I589" s="122">
        <f t="shared" si="18"/>
        <v>9.36</v>
      </c>
    </row>
    <row r="590" spans="1:9" x14ac:dyDescent="0.35">
      <c r="A590" s="117">
        <v>45645</v>
      </c>
      <c r="B590" s="118" t="s">
        <v>318</v>
      </c>
      <c r="C590" s="118" t="s">
        <v>332</v>
      </c>
      <c r="D590" s="118" t="s">
        <v>390</v>
      </c>
      <c r="E590" s="118" t="s">
        <v>342</v>
      </c>
      <c r="F590" s="119">
        <v>42</v>
      </c>
      <c r="G590" s="120">
        <v>4</v>
      </c>
      <c r="H590" s="121">
        <f t="shared" si="19"/>
        <v>336</v>
      </c>
      <c r="I590" s="122">
        <f t="shared" si="18"/>
        <v>16.8</v>
      </c>
    </row>
    <row r="591" spans="1:9" x14ac:dyDescent="0.35">
      <c r="A591" s="117">
        <v>45645</v>
      </c>
      <c r="B591" s="118" t="s">
        <v>322</v>
      </c>
      <c r="C591" s="118" t="s">
        <v>332</v>
      </c>
      <c r="D591" s="118" t="s">
        <v>324</v>
      </c>
      <c r="E591" s="118" t="s">
        <v>348</v>
      </c>
      <c r="F591" s="119">
        <v>55</v>
      </c>
      <c r="G591" s="120">
        <v>17</v>
      </c>
      <c r="H591" s="121">
        <f t="shared" si="19"/>
        <v>1155</v>
      </c>
      <c r="I591" s="122">
        <f t="shared" si="18"/>
        <v>57.75</v>
      </c>
    </row>
    <row r="592" spans="1:9" x14ac:dyDescent="0.35">
      <c r="A592" s="117">
        <v>45645</v>
      </c>
      <c r="B592" s="118" t="s">
        <v>313</v>
      </c>
      <c r="C592" s="118" t="s">
        <v>393</v>
      </c>
      <c r="D592" s="118" t="s">
        <v>315</v>
      </c>
      <c r="E592" s="118" t="s">
        <v>348</v>
      </c>
      <c r="F592" s="119">
        <v>38</v>
      </c>
      <c r="G592" s="120">
        <v>13</v>
      </c>
      <c r="H592" s="121">
        <f t="shared" si="19"/>
        <v>570</v>
      </c>
      <c r="I592" s="122">
        <f t="shared" si="18"/>
        <v>28.5</v>
      </c>
    </row>
    <row r="593" spans="1:9" x14ac:dyDescent="0.35">
      <c r="A593" s="117">
        <v>45645</v>
      </c>
      <c r="B593" s="118" t="s">
        <v>313</v>
      </c>
      <c r="C593" s="118" t="s">
        <v>319</v>
      </c>
      <c r="D593" s="118" t="s">
        <v>320</v>
      </c>
      <c r="E593" s="118" t="s">
        <v>345</v>
      </c>
      <c r="F593" s="119">
        <v>23</v>
      </c>
      <c r="G593" s="120">
        <v>13</v>
      </c>
      <c r="H593" s="121">
        <f t="shared" si="19"/>
        <v>322</v>
      </c>
      <c r="I593" s="122">
        <f t="shared" si="18"/>
        <v>19.32</v>
      </c>
    </row>
    <row r="594" spans="1:9" x14ac:dyDescent="0.35">
      <c r="A594" s="117">
        <v>45645</v>
      </c>
      <c r="B594" s="118" t="s">
        <v>318</v>
      </c>
      <c r="C594" s="118" t="s">
        <v>332</v>
      </c>
      <c r="D594" s="118" t="s">
        <v>423</v>
      </c>
      <c r="E594" s="118" t="s">
        <v>454</v>
      </c>
      <c r="F594" s="119">
        <v>33</v>
      </c>
      <c r="G594" s="120">
        <v>4</v>
      </c>
      <c r="H594" s="121">
        <f t="shared" si="19"/>
        <v>264</v>
      </c>
      <c r="I594" s="122">
        <f t="shared" si="18"/>
        <v>15.84</v>
      </c>
    </row>
    <row r="595" spans="1:9" x14ac:dyDescent="0.35">
      <c r="A595" s="117">
        <v>45645</v>
      </c>
      <c r="B595" s="118" t="s">
        <v>327</v>
      </c>
      <c r="C595" s="118" t="s">
        <v>319</v>
      </c>
      <c r="D595" s="118" t="s">
        <v>423</v>
      </c>
      <c r="E595" s="118" t="s">
        <v>346</v>
      </c>
      <c r="F595" s="119">
        <v>27</v>
      </c>
      <c r="G595" s="120">
        <v>6</v>
      </c>
      <c r="H595" s="121">
        <f t="shared" si="19"/>
        <v>189</v>
      </c>
      <c r="I595" s="122">
        <f t="shared" si="18"/>
        <v>11.34</v>
      </c>
    </row>
    <row r="596" spans="1:9" x14ac:dyDescent="0.35">
      <c r="A596" s="117">
        <v>45645</v>
      </c>
      <c r="B596" s="118" t="s">
        <v>313</v>
      </c>
      <c r="C596" s="118" t="s">
        <v>319</v>
      </c>
      <c r="D596" s="118" t="s">
        <v>423</v>
      </c>
      <c r="E596" s="118" t="s">
        <v>343</v>
      </c>
      <c r="F596" s="119">
        <v>23</v>
      </c>
      <c r="G596" s="120">
        <v>13</v>
      </c>
      <c r="H596" s="121">
        <f t="shared" si="19"/>
        <v>322</v>
      </c>
      <c r="I596" s="122">
        <f t="shared" si="18"/>
        <v>19.32</v>
      </c>
    </row>
    <row r="597" spans="1:9" x14ac:dyDescent="0.35">
      <c r="A597" s="117">
        <v>45645</v>
      </c>
      <c r="B597" s="118" t="s">
        <v>422</v>
      </c>
      <c r="C597" s="118" t="s">
        <v>332</v>
      </c>
      <c r="D597" s="118" t="s">
        <v>338</v>
      </c>
      <c r="E597" s="118" t="s">
        <v>405</v>
      </c>
      <c r="F597" s="119">
        <v>65</v>
      </c>
      <c r="G597" s="120">
        <v>24</v>
      </c>
      <c r="H597" s="121">
        <f t="shared" si="19"/>
        <v>1820</v>
      </c>
      <c r="I597" s="122">
        <f t="shared" si="18"/>
        <v>109.2</v>
      </c>
    </row>
    <row r="598" spans="1:9" x14ac:dyDescent="0.35">
      <c r="A598" s="117">
        <v>45646</v>
      </c>
      <c r="B598" s="118" t="s">
        <v>313</v>
      </c>
      <c r="C598" s="118" t="s">
        <v>319</v>
      </c>
      <c r="D598" s="118" t="s">
        <v>320</v>
      </c>
      <c r="E598" s="118" t="s">
        <v>394</v>
      </c>
      <c r="F598" s="119">
        <v>30</v>
      </c>
      <c r="G598" s="120">
        <v>13</v>
      </c>
      <c r="H598" s="121">
        <f t="shared" si="19"/>
        <v>420</v>
      </c>
      <c r="I598" s="122">
        <f t="shared" si="18"/>
        <v>25.2</v>
      </c>
    </row>
    <row r="599" spans="1:9" x14ac:dyDescent="0.35">
      <c r="A599" s="117">
        <v>45647</v>
      </c>
      <c r="B599" s="118" t="s">
        <v>422</v>
      </c>
      <c r="C599" s="118" t="s">
        <v>393</v>
      </c>
      <c r="D599" s="118" t="s">
        <v>333</v>
      </c>
      <c r="E599" s="118" t="s">
        <v>348</v>
      </c>
      <c r="F599" s="119">
        <v>50</v>
      </c>
      <c r="G599" s="120">
        <v>24</v>
      </c>
      <c r="H599" s="121">
        <f t="shared" si="19"/>
        <v>1300</v>
      </c>
      <c r="I599" s="122">
        <f t="shared" si="18"/>
        <v>65</v>
      </c>
    </row>
    <row r="600" spans="1:9" x14ac:dyDescent="0.35">
      <c r="A600" s="117">
        <v>45647</v>
      </c>
      <c r="B600" s="118" t="s">
        <v>318</v>
      </c>
      <c r="C600" s="118" t="s">
        <v>393</v>
      </c>
      <c r="D600" s="118" t="s">
        <v>423</v>
      </c>
      <c r="E600" s="118" t="s">
        <v>339</v>
      </c>
      <c r="F600" s="119">
        <v>54</v>
      </c>
      <c r="G600" s="120">
        <v>4</v>
      </c>
      <c r="H600" s="121">
        <f t="shared" si="19"/>
        <v>324</v>
      </c>
      <c r="I600" s="122">
        <f t="shared" si="18"/>
        <v>19.439999999999998</v>
      </c>
    </row>
    <row r="601" spans="1:9" x14ac:dyDescent="0.35">
      <c r="A601" s="117">
        <v>45648</v>
      </c>
      <c r="B601" s="118" t="s">
        <v>327</v>
      </c>
      <c r="C601" s="118" t="s">
        <v>393</v>
      </c>
      <c r="D601" s="118" t="s">
        <v>423</v>
      </c>
      <c r="E601" s="118" t="s">
        <v>406</v>
      </c>
      <c r="F601" s="119">
        <v>48</v>
      </c>
      <c r="G601" s="120">
        <v>6</v>
      </c>
      <c r="H601" s="121">
        <f t="shared" si="19"/>
        <v>384</v>
      </c>
      <c r="I601" s="122">
        <f t="shared" si="18"/>
        <v>23.04</v>
      </c>
    </row>
    <row r="602" spans="1:9" x14ac:dyDescent="0.35">
      <c r="A602" s="117">
        <v>45648</v>
      </c>
      <c r="B602" s="118" t="s">
        <v>322</v>
      </c>
      <c r="C602" s="118" t="s">
        <v>332</v>
      </c>
      <c r="D602" s="118" t="s">
        <v>333</v>
      </c>
      <c r="E602" s="118" t="s">
        <v>388</v>
      </c>
      <c r="F602" s="119">
        <v>38</v>
      </c>
      <c r="G602" s="120">
        <v>17</v>
      </c>
      <c r="H602" s="121">
        <f t="shared" si="19"/>
        <v>798</v>
      </c>
      <c r="I602" s="122">
        <f t="shared" si="18"/>
        <v>39.900000000000006</v>
      </c>
    </row>
    <row r="603" spans="1:9" x14ac:dyDescent="0.35">
      <c r="A603" s="117">
        <v>45648</v>
      </c>
      <c r="B603" s="118" t="s">
        <v>322</v>
      </c>
      <c r="C603" s="118" t="s">
        <v>319</v>
      </c>
      <c r="D603" s="118" t="s">
        <v>324</v>
      </c>
      <c r="E603" s="118" t="s">
        <v>340</v>
      </c>
      <c r="F603" s="119">
        <v>6</v>
      </c>
      <c r="G603" s="120">
        <v>17</v>
      </c>
      <c r="H603" s="121">
        <f t="shared" si="19"/>
        <v>108</v>
      </c>
      <c r="I603" s="122">
        <f t="shared" si="18"/>
        <v>5.4</v>
      </c>
    </row>
    <row r="604" spans="1:9" x14ac:dyDescent="0.35">
      <c r="A604" s="117">
        <v>45648</v>
      </c>
      <c r="B604" s="118" t="s">
        <v>422</v>
      </c>
      <c r="C604" s="118" t="s">
        <v>319</v>
      </c>
      <c r="D604" s="118" t="s">
        <v>320</v>
      </c>
      <c r="E604" s="118" t="s">
        <v>339</v>
      </c>
      <c r="F604" s="119">
        <v>55</v>
      </c>
      <c r="G604" s="120">
        <v>24</v>
      </c>
      <c r="H604" s="121">
        <f t="shared" si="19"/>
        <v>1375</v>
      </c>
      <c r="I604" s="122">
        <f t="shared" si="18"/>
        <v>82.5</v>
      </c>
    </row>
    <row r="605" spans="1:9" x14ac:dyDescent="0.35">
      <c r="A605" s="117">
        <v>45648</v>
      </c>
      <c r="B605" s="118" t="s">
        <v>422</v>
      </c>
      <c r="C605" s="118" t="s">
        <v>393</v>
      </c>
      <c r="D605" s="118" t="s">
        <v>315</v>
      </c>
      <c r="E605" s="118" t="s">
        <v>454</v>
      </c>
      <c r="F605" s="119">
        <v>45</v>
      </c>
      <c r="G605" s="120">
        <v>24</v>
      </c>
      <c r="H605" s="121">
        <f t="shared" si="19"/>
        <v>1170</v>
      </c>
      <c r="I605" s="122">
        <f t="shared" si="18"/>
        <v>58.5</v>
      </c>
    </row>
    <row r="606" spans="1:9" x14ac:dyDescent="0.35">
      <c r="A606" s="117">
        <v>45648</v>
      </c>
      <c r="B606" s="118" t="s">
        <v>322</v>
      </c>
      <c r="C606" s="118" t="s">
        <v>319</v>
      </c>
      <c r="D606" s="118" t="s">
        <v>320</v>
      </c>
      <c r="E606" s="118" t="s">
        <v>346</v>
      </c>
      <c r="F606" s="119">
        <v>49</v>
      </c>
      <c r="G606" s="120">
        <v>17</v>
      </c>
      <c r="H606" s="121">
        <f t="shared" si="19"/>
        <v>882</v>
      </c>
      <c r="I606" s="122">
        <f t="shared" si="18"/>
        <v>52.919999999999995</v>
      </c>
    </row>
    <row r="607" spans="1:9" x14ac:dyDescent="0.35">
      <c r="A607" s="117">
        <v>45648</v>
      </c>
      <c r="B607" s="118" t="s">
        <v>322</v>
      </c>
      <c r="C607" s="118" t="s">
        <v>314</v>
      </c>
      <c r="D607" s="118" t="s">
        <v>333</v>
      </c>
      <c r="E607" s="118" t="s">
        <v>344</v>
      </c>
      <c r="F607" s="119">
        <v>56</v>
      </c>
      <c r="G607" s="120">
        <v>17</v>
      </c>
      <c r="H607" s="121">
        <f t="shared" si="19"/>
        <v>1120</v>
      </c>
      <c r="I607" s="122">
        <f t="shared" si="18"/>
        <v>56</v>
      </c>
    </row>
    <row r="608" spans="1:9" x14ac:dyDescent="0.35">
      <c r="A608" s="117">
        <v>45649</v>
      </c>
      <c r="B608" s="118" t="s">
        <v>422</v>
      </c>
      <c r="C608" s="118" t="s">
        <v>314</v>
      </c>
      <c r="D608" s="118" t="s">
        <v>324</v>
      </c>
      <c r="E608" s="118" t="s">
        <v>341</v>
      </c>
      <c r="F608" s="119">
        <v>53</v>
      </c>
      <c r="G608" s="120">
        <v>24</v>
      </c>
      <c r="H608" s="121">
        <f t="shared" si="19"/>
        <v>1431</v>
      </c>
      <c r="I608" s="122">
        <f t="shared" si="18"/>
        <v>71.55</v>
      </c>
    </row>
    <row r="609" spans="1:9" x14ac:dyDescent="0.35">
      <c r="A609" s="117">
        <v>45649</v>
      </c>
      <c r="B609" s="118" t="s">
        <v>318</v>
      </c>
      <c r="C609" s="118" t="s">
        <v>319</v>
      </c>
      <c r="D609" s="118" t="s">
        <v>423</v>
      </c>
      <c r="E609" s="118" t="s">
        <v>388</v>
      </c>
      <c r="F609" s="119">
        <v>59</v>
      </c>
      <c r="G609" s="120">
        <v>4</v>
      </c>
      <c r="H609" s="121">
        <f t="shared" si="19"/>
        <v>295</v>
      </c>
      <c r="I609" s="122">
        <f t="shared" si="18"/>
        <v>17.7</v>
      </c>
    </row>
    <row r="610" spans="1:9" x14ac:dyDescent="0.35">
      <c r="A610" s="117">
        <v>45649</v>
      </c>
      <c r="B610" s="118" t="s">
        <v>322</v>
      </c>
      <c r="C610" s="118" t="s">
        <v>319</v>
      </c>
      <c r="D610" s="118" t="s">
        <v>320</v>
      </c>
      <c r="E610" s="118" t="s">
        <v>349</v>
      </c>
      <c r="F610" s="119">
        <v>35</v>
      </c>
      <c r="G610" s="120">
        <v>17</v>
      </c>
      <c r="H610" s="121">
        <f t="shared" si="19"/>
        <v>630</v>
      </c>
      <c r="I610" s="122">
        <f t="shared" si="18"/>
        <v>37.799999999999997</v>
      </c>
    </row>
    <row r="611" spans="1:9" x14ac:dyDescent="0.35">
      <c r="A611" s="117">
        <v>45649</v>
      </c>
      <c r="B611" s="118" t="s">
        <v>322</v>
      </c>
      <c r="C611" s="118" t="s">
        <v>332</v>
      </c>
      <c r="D611" s="118" t="s">
        <v>315</v>
      </c>
      <c r="E611" s="118" t="s">
        <v>346</v>
      </c>
      <c r="F611" s="119">
        <v>33</v>
      </c>
      <c r="G611" s="120">
        <v>17</v>
      </c>
      <c r="H611" s="121">
        <f t="shared" si="19"/>
        <v>693</v>
      </c>
      <c r="I611" s="122">
        <f t="shared" si="18"/>
        <v>34.65</v>
      </c>
    </row>
    <row r="612" spans="1:9" x14ac:dyDescent="0.35">
      <c r="A612" s="117">
        <v>45649</v>
      </c>
      <c r="B612" s="118" t="s">
        <v>318</v>
      </c>
      <c r="C612" s="118" t="s">
        <v>393</v>
      </c>
      <c r="D612" s="118" t="s">
        <v>324</v>
      </c>
      <c r="E612" s="118" t="s">
        <v>331</v>
      </c>
      <c r="F612" s="119">
        <v>31</v>
      </c>
      <c r="G612" s="120">
        <v>4</v>
      </c>
      <c r="H612" s="121">
        <f t="shared" si="19"/>
        <v>186</v>
      </c>
      <c r="I612" s="122">
        <f t="shared" si="18"/>
        <v>9.3000000000000007</v>
      </c>
    </row>
    <row r="613" spans="1:9" x14ac:dyDescent="0.35">
      <c r="A613" s="117">
        <v>45649</v>
      </c>
      <c r="B613" s="118" t="s">
        <v>422</v>
      </c>
      <c r="C613" s="118" t="s">
        <v>314</v>
      </c>
      <c r="D613" s="118" t="s">
        <v>320</v>
      </c>
      <c r="E613" s="118" t="s">
        <v>416</v>
      </c>
      <c r="F613" s="119">
        <v>26</v>
      </c>
      <c r="G613" s="120">
        <v>24</v>
      </c>
      <c r="H613" s="121">
        <f t="shared" si="19"/>
        <v>702</v>
      </c>
      <c r="I613" s="122">
        <f t="shared" si="18"/>
        <v>42.12</v>
      </c>
    </row>
    <row r="614" spans="1:9" x14ac:dyDescent="0.35">
      <c r="A614" s="117">
        <v>45649</v>
      </c>
      <c r="B614" s="118" t="s">
        <v>327</v>
      </c>
      <c r="C614" s="118" t="s">
        <v>319</v>
      </c>
      <c r="D614" s="118" t="s">
        <v>324</v>
      </c>
      <c r="E614" s="118" t="s">
        <v>405</v>
      </c>
      <c r="F614" s="119">
        <v>21</v>
      </c>
      <c r="G614" s="120">
        <v>6</v>
      </c>
      <c r="H614" s="121">
        <f t="shared" si="19"/>
        <v>147</v>
      </c>
      <c r="I614" s="122">
        <f t="shared" si="18"/>
        <v>7.3500000000000005</v>
      </c>
    </row>
    <row r="615" spans="1:9" x14ac:dyDescent="0.35">
      <c r="A615" s="117">
        <v>45650</v>
      </c>
      <c r="B615" s="118" t="s">
        <v>422</v>
      </c>
      <c r="C615" s="118" t="s">
        <v>319</v>
      </c>
      <c r="D615" s="118" t="s">
        <v>315</v>
      </c>
      <c r="E615" s="118" t="s">
        <v>349</v>
      </c>
      <c r="F615" s="119">
        <v>25</v>
      </c>
      <c r="G615" s="120">
        <v>24</v>
      </c>
      <c r="H615" s="121">
        <f t="shared" si="19"/>
        <v>625</v>
      </c>
      <c r="I615" s="122">
        <f t="shared" si="18"/>
        <v>31.25</v>
      </c>
    </row>
    <row r="616" spans="1:9" x14ac:dyDescent="0.35">
      <c r="A616" s="117">
        <v>45650</v>
      </c>
      <c r="B616" s="118" t="s">
        <v>313</v>
      </c>
      <c r="C616" s="118" t="s">
        <v>332</v>
      </c>
      <c r="D616" s="118" t="s">
        <v>320</v>
      </c>
      <c r="E616" s="118" t="s">
        <v>344</v>
      </c>
      <c r="F616" s="119">
        <v>23</v>
      </c>
      <c r="G616" s="120">
        <v>13</v>
      </c>
      <c r="H616" s="121">
        <f t="shared" si="19"/>
        <v>391</v>
      </c>
      <c r="I616" s="122">
        <f t="shared" si="18"/>
        <v>23.46</v>
      </c>
    </row>
    <row r="617" spans="1:9" x14ac:dyDescent="0.35">
      <c r="A617" s="117">
        <v>45650</v>
      </c>
      <c r="B617" s="118" t="s">
        <v>322</v>
      </c>
      <c r="C617" s="118" t="s">
        <v>332</v>
      </c>
      <c r="D617" s="118" t="s">
        <v>320</v>
      </c>
      <c r="E617" s="118" t="s">
        <v>405</v>
      </c>
      <c r="F617" s="119">
        <v>64</v>
      </c>
      <c r="G617" s="120">
        <v>17</v>
      </c>
      <c r="H617" s="121">
        <f t="shared" si="19"/>
        <v>1344</v>
      </c>
      <c r="I617" s="122">
        <f t="shared" si="18"/>
        <v>80.64</v>
      </c>
    </row>
    <row r="618" spans="1:9" x14ac:dyDescent="0.35">
      <c r="A618" s="117">
        <v>45651</v>
      </c>
      <c r="B618" s="118" t="s">
        <v>313</v>
      </c>
      <c r="C618" s="118" t="s">
        <v>332</v>
      </c>
      <c r="D618" s="118" t="s">
        <v>390</v>
      </c>
      <c r="E618" s="118" t="s">
        <v>349</v>
      </c>
      <c r="F618" s="119">
        <v>58</v>
      </c>
      <c r="G618" s="120">
        <v>13</v>
      </c>
      <c r="H618" s="121">
        <f t="shared" si="19"/>
        <v>986</v>
      </c>
      <c r="I618" s="122">
        <f t="shared" si="18"/>
        <v>49.300000000000004</v>
      </c>
    </row>
    <row r="619" spans="1:9" x14ac:dyDescent="0.35">
      <c r="A619" s="117">
        <v>45652</v>
      </c>
      <c r="B619" s="118" t="s">
        <v>422</v>
      </c>
      <c r="C619" s="118" t="s">
        <v>319</v>
      </c>
      <c r="D619" s="118" t="s">
        <v>333</v>
      </c>
      <c r="E619" s="118" t="s">
        <v>395</v>
      </c>
      <c r="F619" s="119">
        <v>61</v>
      </c>
      <c r="G619" s="120">
        <v>24</v>
      </c>
      <c r="H619" s="121">
        <f t="shared" si="19"/>
        <v>1525</v>
      </c>
      <c r="I619" s="122">
        <f t="shared" si="18"/>
        <v>76.25</v>
      </c>
    </row>
    <row r="620" spans="1:9" x14ac:dyDescent="0.35">
      <c r="A620" s="117">
        <v>45652</v>
      </c>
      <c r="B620" s="118" t="s">
        <v>322</v>
      </c>
      <c r="C620" s="118" t="s">
        <v>319</v>
      </c>
      <c r="D620" s="118" t="s">
        <v>324</v>
      </c>
      <c r="E620" s="118" t="s">
        <v>339</v>
      </c>
      <c r="F620" s="119">
        <v>30</v>
      </c>
      <c r="G620" s="120">
        <v>17</v>
      </c>
      <c r="H620" s="121">
        <f t="shared" si="19"/>
        <v>540</v>
      </c>
      <c r="I620" s="122">
        <f t="shared" si="18"/>
        <v>27</v>
      </c>
    </row>
    <row r="621" spans="1:9" x14ac:dyDescent="0.35">
      <c r="A621" s="117">
        <v>45652</v>
      </c>
      <c r="B621" s="118" t="s">
        <v>318</v>
      </c>
      <c r="C621" s="118" t="s">
        <v>332</v>
      </c>
      <c r="D621" s="118" t="s">
        <v>333</v>
      </c>
      <c r="E621" s="118" t="s">
        <v>400</v>
      </c>
      <c r="F621" s="119">
        <v>15</v>
      </c>
      <c r="G621" s="120">
        <v>4</v>
      </c>
      <c r="H621" s="121">
        <f t="shared" si="19"/>
        <v>120</v>
      </c>
      <c r="I621" s="122">
        <f t="shared" si="18"/>
        <v>6</v>
      </c>
    </row>
    <row r="622" spans="1:9" x14ac:dyDescent="0.35">
      <c r="A622" s="117">
        <v>45652</v>
      </c>
      <c r="B622" s="118" t="s">
        <v>313</v>
      </c>
      <c r="C622" s="118" t="s">
        <v>393</v>
      </c>
      <c r="D622" s="118" t="s">
        <v>324</v>
      </c>
      <c r="E622" s="118" t="s">
        <v>405</v>
      </c>
      <c r="F622" s="119">
        <v>19</v>
      </c>
      <c r="G622" s="120">
        <v>13</v>
      </c>
      <c r="H622" s="121">
        <f t="shared" si="19"/>
        <v>285</v>
      </c>
      <c r="I622" s="122">
        <f t="shared" si="18"/>
        <v>14.25</v>
      </c>
    </row>
    <row r="623" spans="1:9" x14ac:dyDescent="0.35">
      <c r="A623" s="117">
        <v>45653</v>
      </c>
      <c r="B623" s="118" t="s">
        <v>422</v>
      </c>
      <c r="C623" s="118" t="s">
        <v>332</v>
      </c>
      <c r="D623" s="118" t="s">
        <v>423</v>
      </c>
      <c r="E623" s="118" t="s">
        <v>341</v>
      </c>
      <c r="F623" s="119">
        <v>37</v>
      </c>
      <c r="G623" s="120">
        <v>24</v>
      </c>
      <c r="H623" s="121">
        <f t="shared" si="19"/>
        <v>1036</v>
      </c>
      <c r="I623" s="122">
        <f t="shared" si="18"/>
        <v>62.16</v>
      </c>
    </row>
    <row r="624" spans="1:9" x14ac:dyDescent="0.35">
      <c r="A624" s="117">
        <v>45654</v>
      </c>
      <c r="B624" s="118" t="s">
        <v>322</v>
      </c>
      <c r="C624" s="118" t="s">
        <v>314</v>
      </c>
      <c r="D624" s="118" t="s">
        <v>423</v>
      </c>
      <c r="E624" s="118" t="s">
        <v>342</v>
      </c>
      <c r="F624" s="119">
        <v>42</v>
      </c>
      <c r="G624" s="120">
        <v>17</v>
      </c>
      <c r="H624" s="121">
        <f t="shared" si="19"/>
        <v>840</v>
      </c>
      <c r="I624" s="122">
        <f t="shared" si="18"/>
        <v>50.4</v>
      </c>
    </row>
    <row r="625" spans="1:9" x14ac:dyDescent="0.35">
      <c r="A625" s="117">
        <v>45654</v>
      </c>
      <c r="B625" s="118" t="s">
        <v>327</v>
      </c>
      <c r="C625" s="118" t="s">
        <v>319</v>
      </c>
      <c r="D625" s="118" t="s">
        <v>333</v>
      </c>
      <c r="E625" s="118" t="s">
        <v>340</v>
      </c>
      <c r="F625" s="119">
        <v>18</v>
      </c>
      <c r="G625" s="120">
        <v>6</v>
      </c>
      <c r="H625" s="121">
        <f t="shared" si="19"/>
        <v>126</v>
      </c>
      <c r="I625" s="122">
        <f t="shared" si="18"/>
        <v>6.3000000000000007</v>
      </c>
    </row>
    <row r="626" spans="1:9" x14ac:dyDescent="0.35">
      <c r="A626" s="117">
        <v>45654</v>
      </c>
      <c r="B626" s="118" t="s">
        <v>322</v>
      </c>
      <c r="C626" s="118" t="s">
        <v>314</v>
      </c>
      <c r="D626" s="118" t="s">
        <v>315</v>
      </c>
      <c r="E626" s="118" t="s">
        <v>347</v>
      </c>
      <c r="F626" s="119">
        <v>20</v>
      </c>
      <c r="G626" s="120">
        <v>17</v>
      </c>
      <c r="H626" s="121">
        <f t="shared" si="19"/>
        <v>400</v>
      </c>
      <c r="I626" s="122">
        <f t="shared" si="18"/>
        <v>20</v>
      </c>
    </row>
    <row r="627" spans="1:9" x14ac:dyDescent="0.35">
      <c r="A627" s="117">
        <v>45655</v>
      </c>
      <c r="B627" s="118" t="s">
        <v>422</v>
      </c>
      <c r="C627" s="118" t="s">
        <v>393</v>
      </c>
      <c r="D627" s="118" t="s">
        <v>338</v>
      </c>
      <c r="E627" s="118" t="s">
        <v>345</v>
      </c>
      <c r="F627" s="119">
        <v>52</v>
      </c>
      <c r="G627" s="120">
        <v>24</v>
      </c>
      <c r="H627" s="121">
        <f t="shared" si="19"/>
        <v>1352</v>
      </c>
      <c r="I627" s="122">
        <f t="shared" si="18"/>
        <v>81.11999999999999</v>
      </c>
    </row>
    <row r="628" spans="1:9" x14ac:dyDescent="0.35">
      <c r="A628" s="117">
        <v>45656</v>
      </c>
      <c r="B628" s="118" t="s">
        <v>313</v>
      </c>
      <c r="C628" s="118" t="s">
        <v>393</v>
      </c>
      <c r="D628" s="118" t="s">
        <v>423</v>
      </c>
      <c r="E628" s="118" t="s">
        <v>341</v>
      </c>
      <c r="F628" s="119">
        <v>51</v>
      </c>
      <c r="G628" s="120">
        <v>13</v>
      </c>
      <c r="H628" s="121">
        <f t="shared" si="19"/>
        <v>765</v>
      </c>
      <c r="I628" s="122">
        <f t="shared" si="18"/>
        <v>45.9</v>
      </c>
    </row>
    <row r="629" spans="1:9" x14ac:dyDescent="0.35">
      <c r="A629" s="117">
        <v>45656</v>
      </c>
      <c r="B629" s="118" t="s">
        <v>327</v>
      </c>
      <c r="C629" s="118" t="s">
        <v>393</v>
      </c>
      <c r="D629" s="118" t="s">
        <v>390</v>
      </c>
      <c r="E629" s="118" t="s">
        <v>340</v>
      </c>
      <c r="F629" s="119">
        <v>25</v>
      </c>
      <c r="G629" s="120">
        <v>6</v>
      </c>
      <c r="H629" s="121">
        <f t="shared" si="19"/>
        <v>200</v>
      </c>
      <c r="I629" s="122">
        <f t="shared" si="18"/>
        <v>10</v>
      </c>
    </row>
    <row r="630" spans="1:9" x14ac:dyDescent="0.35">
      <c r="A630" s="117">
        <v>45656</v>
      </c>
      <c r="B630" s="118" t="s">
        <v>318</v>
      </c>
      <c r="C630" s="118" t="s">
        <v>393</v>
      </c>
      <c r="D630" s="118" t="s">
        <v>333</v>
      </c>
      <c r="E630" s="118" t="s">
        <v>337</v>
      </c>
      <c r="F630" s="119">
        <v>34</v>
      </c>
      <c r="G630" s="120">
        <v>4</v>
      </c>
      <c r="H630" s="121">
        <f t="shared" si="19"/>
        <v>204</v>
      </c>
      <c r="I630" s="122">
        <f t="shared" si="18"/>
        <v>10.200000000000001</v>
      </c>
    </row>
    <row r="631" spans="1:9" x14ac:dyDescent="0.35">
      <c r="A631" s="117">
        <v>45656</v>
      </c>
      <c r="B631" s="118" t="s">
        <v>422</v>
      </c>
      <c r="C631" s="118" t="s">
        <v>332</v>
      </c>
      <c r="D631" s="118" t="s">
        <v>315</v>
      </c>
      <c r="E631" s="118" t="s">
        <v>394</v>
      </c>
      <c r="F631" s="119">
        <v>14</v>
      </c>
      <c r="G631" s="120">
        <v>24</v>
      </c>
      <c r="H631" s="121">
        <f t="shared" si="19"/>
        <v>392</v>
      </c>
      <c r="I631" s="122">
        <f t="shared" si="18"/>
        <v>19.600000000000001</v>
      </c>
    </row>
    <row r="632" spans="1:9" x14ac:dyDescent="0.35">
      <c r="A632" s="117">
        <v>45656</v>
      </c>
      <c r="B632" s="118" t="s">
        <v>327</v>
      </c>
      <c r="C632" s="118" t="s">
        <v>314</v>
      </c>
      <c r="D632" s="118" t="s">
        <v>324</v>
      </c>
      <c r="E632" s="118" t="s">
        <v>416</v>
      </c>
      <c r="F632" s="119">
        <v>51</v>
      </c>
      <c r="G632" s="120">
        <v>6</v>
      </c>
      <c r="H632" s="121">
        <f t="shared" si="19"/>
        <v>459</v>
      </c>
      <c r="I632" s="122">
        <f t="shared" si="18"/>
        <v>22.950000000000003</v>
      </c>
    </row>
    <row r="633" spans="1:9" x14ac:dyDescent="0.35">
      <c r="A633" s="117">
        <v>45656</v>
      </c>
      <c r="B633" s="118" t="s">
        <v>318</v>
      </c>
      <c r="C633" s="118" t="s">
        <v>332</v>
      </c>
      <c r="D633" s="118" t="s">
        <v>320</v>
      </c>
      <c r="E633" s="118" t="s">
        <v>350</v>
      </c>
      <c r="F633" s="119">
        <v>46</v>
      </c>
      <c r="G633" s="120">
        <v>4</v>
      </c>
      <c r="H633" s="121">
        <f t="shared" si="19"/>
        <v>368</v>
      </c>
      <c r="I633" s="122">
        <f t="shared" si="18"/>
        <v>22.08</v>
      </c>
    </row>
    <row r="634" spans="1:9" x14ac:dyDescent="0.35">
      <c r="A634" s="117">
        <v>45657</v>
      </c>
      <c r="B634" s="118" t="s">
        <v>313</v>
      </c>
      <c r="C634" s="118" t="s">
        <v>393</v>
      </c>
      <c r="D634" s="118" t="s">
        <v>324</v>
      </c>
      <c r="E634" s="118" t="s">
        <v>454</v>
      </c>
      <c r="F634" s="119">
        <v>53</v>
      </c>
      <c r="G634" s="120">
        <v>13</v>
      </c>
      <c r="H634" s="121">
        <f t="shared" si="19"/>
        <v>795</v>
      </c>
      <c r="I634" s="122">
        <f t="shared" si="18"/>
        <v>39.75</v>
      </c>
    </row>
    <row r="635" spans="1:9" x14ac:dyDescent="0.35">
      <c r="A635" s="117">
        <v>45657</v>
      </c>
      <c r="B635" s="118" t="s">
        <v>422</v>
      </c>
      <c r="C635" s="118" t="s">
        <v>332</v>
      </c>
      <c r="D635" s="118" t="s">
        <v>324</v>
      </c>
      <c r="E635" s="118" t="s">
        <v>344</v>
      </c>
      <c r="F635" s="119">
        <v>26</v>
      </c>
      <c r="G635" s="120">
        <v>24</v>
      </c>
      <c r="H635" s="121">
        <f t="shared" si="19"/>
        <v>728</v>
      </c>
      <c r="I635" s="122">
        <f t="shared" si="18"/>
        <v>36.4</v>
      </c>
    </row>
    <row r="636" spans="1:9" x14ac:dyDescent="0.35">
      <c r="A636" s="117">
        <v>45657</v>
      </c>
      <c r="B636" s="118" t="s">
        <v>327</v>
      </c>
      <c r="C636" s="118" t="s">
        <v>319</v>
      </c>
      <c r="D636" s="118" t="s">
        <v>315</v>
      </c>
      <c r="E636" s="118" t="s">
        <v>335</v>
      </c>
      <c r="F636" s="119">
        <v>39</v>
      </c>
      <c r="G636" s="120">
        <v>6</v>
      </c>
      <c r="H636" s="121">
        <f t="shared" si="19"/>
        <v>273</v>
      </c>
      <c r="I636" s="122">
        <f t="shared" si="18"/>
        <v>13.65</v>
      </c>
    </row>
    <row r="637" spans="1:9" x14ac:dyDescent="0.35">
      <c r="A637" s="117">
        <v>45658</v>
      </c>
      <c r="B637" s="118" t="s">
        <v>322</v>
      </c>
      <c r="C637" s="118" t="s">
        <v>332</v>
      </c>
      <c r="D637" s="118" t="s">
        <v>315</v>
      </c>
      <c r="E637" s="118" t="s">
        <v>388</v>
      </c>
      <c r="F637" s="119">
        <v>32</v>
      </c>
      <c r="G637" s="120">
        <v>17</v>
      </c>
      <c r="H637" s="121">
        <f t="shared" si="19"/>
        <v>672</v>
      </c>
      <c r="I637" s="122">
        <f t="shared" si="18"/>
        <v>33.6</v>
      </c>
    </row>
    <row r="638" spans="1:9" x14ac:dyDescent="0.35">
      <c r="A638" s="117">
        <v>45658</v>
      </c>
      <c r="B638" s="118" t="s">
        <v>422</v>
      </c>
      <c r="C638" s="118" t="s">
        <v>332</v>
      </c>
      <c r="D638" s="118" t="s">
        <v>338</v>
      </c>
      <c r="E638" s="118" t="s">
        <v>400</v>
      </c>
      <c r="F638" s="119">
        <v>17</v>
      </c>
      <c r="G638" s="120">
        <v>24</v>
      </c>
      <c r="H638" s="121">
        <f t="shared" si="19"/>
        <v>476</v>
      </c>
      <c r="I638" s="122">
        <f t="shared" si="18"/>
        <v>28.56</v>
      </c>
    </row>
    <row r="639" spans="1:9" x14ac:dyDescent="0.35">
      <c r="A639" s="117">
        <v>45658</v>
      </c>
      <c r="B639" s="118" t="s">
        <v>318</v>
      </c>
      <c r="C639" s="118" t="s">
        <v>332</v>
      </c>
      <c r="D639" s="118" t="s">
        <v>315</v>
      </c>
      <c r="E639" s="118" t="s">
        <v>344</v>
      </c>
      <c r="F639" s="119">
        <v>42</v>
      </c>
      <c r="G639" s="120">
        <v>4</v>
      </c>
      <c r="H639" s="121">
        <f t="shared" si="19"/>
        <v>336</v>
      </c>
      <c r="I639" s="122">
        <f t="shared" si="18"/>
        <v>16.8</v>
      </c>
    </row>
    <row r="640" spans="1:9" x14ac:dyDescent="0.35">
      <c r="A640" s="117">
        <v>45658</v>
      </c>
      <c r="B640" s="118" t="s">
        <v>313</v>
      </c>
      <c r="C640" s="118" t="s">
        <v>393</v>
      </c>
      <c r="D640" s="118" t="s">
        <v>320</v>
      </c>
      <c r="E640" s="118" t="s">
        <v>350</v>
      </c>
      <c r="F640" s="119">
        <v>17</v>
      </c>
      <c r="G640" s="120">
        <v>13</v>
      </c>
      <c r="H640" s="121">
        <f t="shared" si="19"/>
        <v>255</v>
      </c>
      <c r="I640" s="122">
        <f t="shared" si="18"/>
        <v>15.299999999999999</v>
      </c>
    </row>
    <row r="641" spans="1:9" x14ac:dyDescent="0.35">
      <c r="A641" s="117">
        <v>45659</v>
      </c>
      <c r="B641" s="118" t="s">
        <v>313</v>
      </c>
      <c r="C641" s="118" t="s">
        <v>319</v>
      </c>
      <c r="D641" s="118" t="s">
        <v>320</v>
      </c>
      <c r="E641" s="118" t="s">
        <v>345</v>
      </c>
      <c r="F641" s="119">
        <v>34</v>
      </c>
      <c r="G641" s="120">
        <v>13</v>
      </c>
      <c r="H641" s="121">
        <f t="shared" si="19"/>
        <v>476</v>
      </c>
      <c r="I641" s="122">
        <f t="shared" si="18"/>
        <v>28.56</v>
      </c>
    </row>
    <row r="642" spans="1:9" x14ac:dyDescent="0.35">
      <c r="A642" s="117">
        <v>45660</v>
      </c>
      <c r="B642" s="118" t="s">
        <v>318</v>
      </c>
      <c r="C642" s="118" t="s">
        <v>319</v>
      </c>
      <c r="D642" s="118" t="s">
        <v>333</v>
      </c>
      <c r="E642" s="118" t="s">
        <v>340</v>
      </c>
      <c r="F642" s="119">
        <v>38</v>
      </c>
      <c r="G642" s="120">
        <v>4</v>
      </c>
      <c r="H642" s="121">
        <f t="shared" si="19"/>
        <v>190</v>
      </c>
      <c r="I642" s="122">
        <f t="shared" ref="I642:I705" si="20">H642*VLOOKUP(D642,$O$4:$P$10,2,TRUE)</f>
        <v>9.5</v>
      </c>
    </row>
    <row r="643" spans="1:9" x14ac:dyDescent="0.35">
      <c r="A643" s="117">
        <v>45660</v>
      </c>
      <c r="B643" s="118" t="s">
        <v>318</v>
      </c>
      <c r="C643" s="118" t="s">
        <v>393</v>
      </c>
      <c r="D643" s="118" t="s">
        <v>423</v>
      </c>
      <c r="E643" s="118" t="s">
        <v>329</v>
      </c>
      <c r="F643" s="119">
        <v>65</v>
      </c>
      <c r="G643" s="120">
        <v>4</v>
      </c>
      <c r="H643" s="121">
        <f t="shared" ref="H643:H706" si="21">(F643*G643)+VLOOKUP(C643,$K$11:$L$14,2,FALSE)*F643</f>
        <v>390</v>
      </c>
      <c r="I643" s="122">
        <f t="shared" si="20"/>
        <v>23.4</v>
      </c>
    </row>
    <row r="644" spans="1:9" x14ac:dyDescent="0.35">
      <c r="A644" s="117">
        <v>45660</v>
      </c>
      <c r="B644" s="118" t="s">
        <v>327</v>
      </c>
      <c r="C644" s="118" t="s">
        <v>314</v>
      </c>
      <c r="D644" s="118" t="s">
        <v>320</v>
      </c>
      <c r="E644" s="118" t="s">
        <v>394</v>
      </c>
      <c r="F644" s="119">
        <v>38</v>
      </c>
      <c r="G644" s="120">
        <v>6</v>
      </c>
      <c r="H644" s="121">
        <f t="shared" si="21"/>
        <v>342</v>
      </c>
      <c r="I644" s="122">
        <f t="shared" si="20"/>
        <v>20.52</v>
      </c>
    </row>
    <row r="645" spans="1:9" x14ac:dyDescent="0.35">
      <c r="A645" s="117">
        <v>45661</v>
      </c>
      <c r="B645" s="118" t="s">
        <v>322</v>
      </c>
      <c r="C645" s="118" t="s">
        <v>393</v>
      </c>
      <c r="D645" s="118" t="s">
        <v>333</v>
      </c>
      <c r="E645" s="118" t="s">
        <v>388</v>
      </c>
      <c r="F645" s="119">
        <v>34</v>
      </c>
      <c r="G645" s="120">
        <v>17</v>
      </c>
      <c r="H645" s="121">
        <f t="shared" si="21"/>
        <v>646</v>
      </c>
      <c r="I645" s="122">
        <f t="shared" si="20"/>
        <v>32.300000000000004</v>
      </c>
    </row>
    <row r="646" spans="1:9" x14ac:dyDescent="0.35">
      <c r="A646" s="117">
        <v>45661</v>
      </c>
      <c r="B646" s="118" t="s">
        <v>327</v>
      </c>
      <c r="C646" s="118" t="s">
        <v>393</v>
      </c>
      <c r="D646" s="118" t="s">
        <v>333</v>
      </c>
      <c r="E646" s="118" t="s">
        <v>339</v>
      </c>
      <c r="F646" s="119">
        <v>9</v>
      </c>
      <c r="G646" s="120">
        <v>6</v>
      </c>
      <c r="H646" s="121">
        <f t="shared" si="21"/>
        <v>72</v>
      </c>
      <c r="I646" s="122">
        <f t="shared" si="20"/>
        <v>3.6</v>
      </c>
    </row>
    <row r="647" spans="1:9" x14ac:dyDescent="0.35">
      <c r="A647" s="117">
        <v>45661</v>
      </c>
      <c r="B647" s="118" t="s">
        <v>422</v>
      </c>
      <c r="C647" s="118" t="s">
        <v>332</v>
      </c>
      <c r="D647" s="118" t="s">
        <v>324</v>
      </c>
      <c r="E647" s="118" t="s">
        <v>343</v>
      </c>
      <c r="F647" s="119">
        <v>44</v>
      </c>
      <c r="G647" s="120">
        <v>24</v>
      </c>
      <c r="H647" s="121">
        <f t="shared" si="21"/>
        <v>1232</v>
      </c>
      <c r="I647" s="122">
        <f t="shared" si="20"/>
        <v>61.6</v>
      </c>
    </row>
    <row r="648" spans="1:9" x14ac:dyDescent="0.35">
      <c r="A648" s="117">
        <v>45661</v>
      </c>
      <c r="B648" s="118" t="s">
        <v>318</v>
      </c>
      <c r="C648" s="118" t="s">
        <v>319</v>
      </c>
      <c r="D648" s="118" t="s">
        <v>390</v>
      </c>
      <c r="E648" s="118" t="s">
        <v>405</v>
      </c>
      <c r="F648" s="119">
        <v>53</v>
      </c>
      <c r="G648" s="120">
        <v>4</v>
      </c>
      <c r="H648" s="121">
        <f t="shared" si="21"/>
        <v>265</v>
      </c>
      <c r="I648" s="122">
        <f t="shared" si="20"/>
        <v>13.25</v>
      </c>
    </row>
    <row r="649" spans="1:9" x14ac:dyDescent="0.35">
      <c r="A649" s="117">
        <v>45661</v>
      </c>
      <c r="B649" s="118" t="s">
        <v>318</v>
      </c>
      <c r="C649" s="118" t="s">
        <v>314</v>
      </c>
      <c r="D649" s="118" t="s">
        <v>320</v>
      </c>
      <c r="E649" s="118" t="s">
        <v>350</v>
      </c>
      <c r="F649" s="119">
        <v>10</v>
      </c>
      <c r="G649" s="120">
        <v>4</v>
      </c>
      <c r="H649" s="121">
        <f t="shared" si="21"/>
        <v>70</v>
      </c>
      <c r="I649" s="122">
        <f t="shared" si="20"/>
        <v>4.2</v>
      </c>
    </row>
    <row r="650" spans="1:9" x14ac:dyDescent="0.35">
      <c r="A650" s="117">
        <v>45662</v>
      </c>
      <c r="B650" s="118" t="s">
        <v>313</v>
      </c>
      <c r="C650" s="118" t="s">
        <v>393</v>
      </c>
      <c r="D650" s="118" t="s">
        <v>333</v>
      </c>
      <c r="E650" s="118" t="s">
        <v>340</v>
      </c>
      <c r="F650" s="119">
        <v>40</v>
      </c>
      <c r="G650" s="120">
        <v>13</v>
      </c>
      <c r="H650" s="121">
        <f t="shared" si="21"/>
        <v>600</v>
      </c>
      <c r="I650" s="122">
        <f t="shared" si="20"/>
        <v>30</v>
      </c>
    </row>
    <row r="651" spans="1:9" x14ac:dyDescent="0.35">
      <c r="A651" s="117">
        <v>45662</v>
      </c>
      <c r="B651" s="118" t="s">
        <v>313</v>
      </c>
      <c r="C651" s="118" t="s">
        <v>314</v>
      </c>
      <c r="D651" s="118" t="s">
        <v>315</v>
      </c>
      <c r="E651" s="118" t="s">
        <v>346</v>
      </c>
      <c r="F651" s="119">
        <v>50</v>
      </c>
      <c r="G651" s="120">
        <v>13</v>
      </c>
      <c r="H651" s="121">
        <f t="shared" si="21"/>
        <v>800</v>
      </c>
      <c r="I651" s="122">
        <f t="shared" si="20"/>
        <v>40</v>
      </c>
    </row>
    <row r="652" spans="1:9" x14ac:dyDescent="0.35">
      <c r="A652" s="117">
        <v>45662</v>
      </c>
      <c r="B652" s="118" t="s">
        <v>322</v>
      </c>
      <c r="C652" s="118" t="s">
        <v>314</v>
      </c>
      <c r="D652" s="118" t="s">
        <v>324</v>
      </c>
      <c r="E652" s="118" t="s">
        <v>335</v>
      </c>
      <c r="F652" s="119">
        <v>25</v>
      </c>
      <c r="G652" s="120">
        <v>17</v>
      </c>
      <c r="H652" s="121">
        <f t="shared" si="21"/>
        <v>500</v>
      </c>
      <c r="I652" s="122">
        <f t="shared" si="20"/>
        <v>25</v>
      </c>
    </row>
    <row r="653" spans="1:9" x14ac:dyDescent="0.35">
      <c r="A653" s="117">
        <v>45663</v>
      </c>
      <c r="B653" s="118" t="s">
        <v>322</v>
      </c>
      <c r="C653" s="118" t="s">
        <v>393</v>
      </c>
      <c r="D653" s="118" t="s">
        <v>333</v>
      </c>
      <c r="E653" s="118" t="s">
        <v>349</v>
      </c>
      <c r="F653" s="119">
        <v>39</v>
      </c>
      <c r="G653" s="120">
        <v>17</v>
      </c>
      <c r="H653" s="121">
        <f t="shared" si="21"/>
        <v>741</v>
      </c>
      <c r="I653" s="122">
        <f t="shared" si="20"/>
        <v>37.050000000000004</v>
      </c>
    </row>
    <row r="654" spans="1:9" x14ac:dyDescent="0.35">
      <c r="A654" s="117">
        <v>45663</v>
      </c>
      <c r="B654" s="118" t="s">
        <v>313</v>
      </c>
      <c r="C654" s="118" t="s">
        <v>314</v>
      </c>
      <c r="D654" s="118" t="s">
        <v>324</v>
      </c>
      <c r="E654" s="118" t="s">
        <v>350</v>
      </c>
      <c r="F654" s="119">
        <v>24</v>
      </c>
      <c r="G654" s="120">
        <v>13</v>
      </c>
      <c r="H654" s="121">
        <f t="shared" si="21"/>
        <v>384</v>
      </c>
      <c r="I654" s="122">
        <f t="shared" si="20"/>
        <v>19.200000000000003</v>
      </c>
    </row>
    <row r="655" spans="1:9" x14ac:dyDescent="0.35">
      <c r="A655" s="117">
        <v>45664</v>
      </c>
      <c r="B655" s="118" t="s">
        <v>322</v>
      </c>
      <c r="C655" s="118" t="s">
        <v>319</v>
      </c>
      <c r="D655" s="118" t="s">
        <v>390</v>
      </c>
      <c r="E655" s="118" t="s">
        <v>340</v>
      </c>
      <c r="F655" s="119">
        <v>7</v>
      </c>
      <c r="G655" s="120">
        <v>17</v>
      </c>
      <c r="H655" s="121">
        <f t="shared" si="21"/>
        <v>126</v>
      </c>
      <c r="I655" s="122">
        <f t="shared" si="20"/>
        <v>6.3000000000000007</v>
      </c>
    </row>
    <row r="656" spans="1:9" x14ac:dyDescent="0.35">
      <c r="A656" s="117">
        <v>45664</v>
      </c>
      <c r="B656" s="118" t="s">
        <v>313</v>
      </c>
      <c r="C656" s="118" t="s">
        <v>319</v>
      </c>
      <c r="D656" s="118" t="s">
        <v>320</v>
      </c>
      <c r="E656" s="118" t="s">
        <v>340</v>
      </c>
      <c r="F656" s="119">
        <v>9</v>
      </c>
      <c r="G656" s="120">
        <v>13</v>
      </c>
      <c r="H656" s="121">
        <f t="shared" si="21"/>
        <v>126</v>
      </c>
      <c r="I656" s="122">
        <f t="shared" si="20"/>
        <v>7.56</v>
      </c>
    </row>
    <row r="657" spans="1:9" x14ac:dyDescent="0.35">
      <c r="A657" s="117">
        <v>45664</v>
      </c>
      <c r="B657" s="118" t="s">
        <v>318</v>
      </c>
      <c r="C657" s="118" t="s">
        <v>393</v>
      </c>
      <c r="D657" s="118" t="s">
        <v>338</v>
      </c>
      <c r="E657" s="118" t="s">
        <v>400</v>
      </c>
      <c r="F657" s="119">
        <v>63</v>
      </c>
      <c r="G657" s="120">
        <v>4</v>
      </c>
      <c r="H657" s="121">
        <f t="shared" si="21"/>
        <v>378</v>
      </c>
      <c r="I657" s="122">
        <f t="shared" si="20"/>
        <v>22.68</v>
      </c>
    </row>
    <row r="658" spans="1:9" x14ac:dyDescent="0.35">
      <c r="A658" s="117">
        <v>45664</v>
      </c>
      <c r="B658" s="118" t="s">
        <v>322</v>
      </c>
      <c r="C658" s="118" t="s">
        <v>393</v>
      </c>
      <c r="D658" s="118" t="s">
        <v>333</v>
      </c>
      <c r="E658" s="118" t="s">
        <v>344</v>
      </c>
      <c r="F658" s="119">
        <v>49</v>
      </c>
      <c r="G658" s="120">
        <v>17</v>
      </c>
      <c r="H658" s="121">
        <f t="shared" si="21"/>
        <v>931</v>
      </c>
      <c r="I658" s="122">
        <f t="shared" si="20"/>
        <v>46.550000000000004</v>
      </c>
    </row>
    <row r="659" spans="1:9" x14ac:dyDescent="0.35">
      <c r="A659" s="117">
        <v>45666</v>
      </c>
      <c r="B659" s="118" t="s">
        <v>327</v>
      </c>
      <c r="C659" s="118" t="s">
        <v>332</v>
      </c>
      <c r="D659" s="118" t="s">
        <v>333</v>
      </c>
      <c r="E659" s="118" t="s">
        <v>342</v>
      </c>
      <c r="F659" s="119">
        <v>37</v>
      </c>
      <c r="G659" s="120">
        <v>6</v>
      </c>
      <c r="H659" s="121">
        <f t="shared" si="21"/>
        <v>370</v>
      </c>
      <c r="I659" s="122">
        <f t="shared" si="20"/>
        <v>18.5</v>
      </c>
    </row>
    <row r="660" spans="1:9" x14ac:dyDescent="0.35">
      <c r="A660" s="117">
        <v>45666</v>
      </c>
      <c r="B660" s="118" t="s">
        <v>322</v>
      </c>
      <c r="C660" s="118" t="s">
        <v>314</v>
      </c>
      <c r="D660" s="118" t="s">
        <v>333</v>
      </c>
      <c r="E660" s="118" t="s">
        <v>340</v>
      </c>
      <c r="F660" s="119">
        <v>23</v>
      </c>
      <c r="G660" s="120">
        <v>17</v>
      </c>
      <c r="H660" s="121">
        <f t="shared" si="21"/>
        <v>460</v>
      </c>
      <c r="I660" s="122">
        <f t="shared" si="20"/>
        <v>23</v>
      </c>
    </row>
    <row r="661" spans="1:9" x14ac:dyDescent="0.35">
      <c r="A661" s="117">
        <v>45666</v>
      </c>
      <c r="B661" s="118" t="s">
        <v>313</v>
      </c>
      <c r="C661" s="118" t="s">
        <v>332</v>
      </c>
      <c r="D661" s="118" t="s">
        <v>390</v>
      </c>
      <c r="E661" s="118" t="s">
        <v>347</v>
      </c>
      <c r="F661" s="119">
        <v>32</v>
      </c>
      <c r="G661" s="120">
        <v>13</v>
      </c>
      <c r="H661" s="121">
        <f t="shared" si="21"/>
        <v>544</v>
      </c>
      <c r="I661" s="122">
        <f t="shared" si="20"/>
        <v>27.200000000000003</v>
      </c>
    </row>
    <row r="662" spans="1:9" x14ac:dyDescent="0.35">
      <c r="A662" s="117">
        <v>45666</v>
      </c>
      <c r="B662" s="118" t="s">
        <v>322</v>
      </c>
      <c r="C662" s="118" t="s">
        <v>319</v>
      </c>
      <c r="D662" s="118" t="s">
        <v>333</v>
      </c>
      <c r="E662" s="118" t="s">
        <v>347</v>
      </c>
      <c r="F662" s="119">
        <v>47</v>
      </c>
      <c r="G662" s="120">
        <v>17</v>
      </c>
      <c r="H662" s="121">
        <f t="shared" si="21"/>
        <v>846</v>
      </c>
      <c r="I662" s="122">
        <f t="shared" si="20"/>
        <v>42.300000000000004</v>
      </c>
    </row>
    <row r="663" spans="1:9" x14ac:dyDescent="0.35">
      <c r="A663" s="117">
        <v>45666</v>
      </c>
      <c r="B663" s="118" t="s">
        <v>318</v>
      </c>
      <c r="C663" s="118" t="s">
        <v>393</v>
      </c>
      <c r="D663" s="118" t="s">
        <v>390</v>
      </c>
      <c r="E663" s="118" t="s">
        <v>347</v>
      </c>
      <c r="F663" s="119">
        <v>18</v>
      </c>
      <c r="G663" s="120">
        <v>4</v>
      </c>
      <c r="H663" s="121">
        <f t="shared" si="21"/>
        <v>108</v>
      </c>
      <c r="I663" s="122">
        <f t="shared" si="20"/>
        <v>5.4</v>
      </c>
    </row>
    <row r="664" spans="1:9" x14ac:dyDescent="0.35">
      <c r="A664" s="117">
        <v>45667</v>
      </c>
      <c r="B664" s="118" t="s">
        <v>327</v>
      </c>
      <c r="C664" s="118" t="s">
        <v>393</v>
      </c>
      <c r="D664" s="118" t="s">
        <v>333</v>
      </c>
      <c r="E664" s="118" t="s">
        <v>345</v>
      </c>
      <c r="F664" s="119">
        <v>61</v>
      </c>
      <c r="G664" s="120">
        <v>6</v>
      </c>
      <c r="H664" s="121">
        <f t="shared" si="21"/>
        <v>488</v>
      </c>
      <c r="I664" s="122">
        <f t="shared" si="20"/>
        <v>24.400000000000002</v>
      </c>
    </row>
    <row r="665" spans="1:9" x14ac:dyDescent="0.35">
      <c r="A665" s="117">
        <v>45667</v>
      </c>
      <c r="B665" s="118" t="s">
        <v>422</v>
      </c>
      <c r="C665" s="118" t="s">
        <v>314</v>
      </c>
      <c r="D665" s="118" t="s">
        <v>423</v>
      </c>
      <c r="E665" s="118" t="s">
        <v>454</v>
      </c>
      <c r="F665" s="119">
        <v>62</v>
      </c>
      <c r="G665" s="120">
        <v>24</v>
      </c>
      <c r="H665" s="121">
        <f t="shared" si="21"/>
        <v>1674</v>
      </c>
      <c r="I665" s="122">
        <f t="shared" si="20"/>
        <v>100.44</v>
      </c>
    </row>
    <row r="666" spans="1:9" x14ac:dyDescent="0.35">
      <c r="A666" s="117">
        <v>45667</v>
      </c>
      <c r="B666" s="118" t="s">
        <v>327</v>
      </c>
      <c r="C666" s="118" t="s">
        <v>393</v>
      </c>
      <c r="D666" s="118" t="s">
        <v>324</v>
      </c>
      <c r="E666" s="118" t="s">
        <v>394</v>
      </c>
      <c r="F666" s="119">
        <v>42</v>
      </c>
      <c r="G666" s="120">
        <v>6</v>
      </c>
      <c r="H666" s="121">
        <f t="shared" si="21"/>
        <v>336</v>
      </c>
      <c r="I666" s="122">
        <f t="shared" si="20"/>
        <v>16.8</v>
      </c>
    </row>
    <row r="667" spans="1:9" x14ac:dyDescent="0.35">
      <c r="A667" s="117">
        <v>45667</v>
      </c>
      <c r="B667" s="118" t="s">
        <v>422</v>
      </c>
      <c r="C667" s="118" t="s">
        <v>393</v>
      </c>
      <c r="D667" s="118" t="s">
        <v>338</v>
      </c>
      <c r="E667" s="118" t="s">
        <v>343</v>
      </c>
      <c r="F667" s="119">
        <v>62</v>
      </c>
      <c r="G667" s="120">
        <v>24</v>
      </c>
      <c r="H667" s="121">
        <f t="shared" si="21"/>
        <v>1612</v>
      </c>
      <c r="I667" s="122">
        <f t="shared" si="20"/>
        <v>96.72</v>
      </c>
    </row>
    <row r="668" spans="1:9" x14ac:dyDescent="0.35">
      <c r="A668" s="117">
        <v>45668</v>
      </c>
      <c r="B668" s="118" t="s">
        <v>422</v>
      </c>
      <c r="C668" s="118" t="s">
        <v>393</v>
      </c>
      <c r="D668" s="118" t="s">
        <v>423</v>
      </c>
      <c r="E668" s="118" t="s">
        <v>348</v>
      </c>
      <c r="F668" s="119">
        <v>59</v>
      </c>
      <c r="G668" s="120">
        <v>24</v>
      </c>
      <c r="H668" s="121">
        <f t="shared" si="21"/>
        <v>1534</v>
      </c>
      <c r="I668" s="122">
        <f t="shared" si="20"/>
        <v>92.039999999999992</v>
      </c>
    </row>
    <row r="669" spans="1:9" x14ac:dyDescent="0.35">
      <c r="A669" s="117">
        <v>45668</v>
      </c>
      <c r="B669" s="118" t="s">
        <v>327</v>
      </c>
      <c r="C669" s="118" t="s">
        <v>319</v>
      </c>
      <c r="D669" s="118" t="s">
        <v>423</v>
      </c>
      <c r="E669" s="118" t="s">
        <v>395</v>
      </c>
      <c r="F669" s="119">
        <v>59</v>
      </c>
      <c r="G669" s="120">
        <v>6</v>
      </c>
      <c r="H669" s="121">
        <f t="shared" si="21"/>
        <v>413</v>
      </c>
      <c r="I669" s="122">
        <f t="shared" si="20"/>
        <v>24.779999999999998</v>
      </c>
    </row>
    <row r="670" spans="1:9" x14ac:dyDescent="0.35">
      <c r="A670" s="117">
        <v>45668</v>
      </c>
      <c r="B670" s="118" t="s">
        <v>313</v>
      </c>
      <c r="C670" s="118" t="s">
        <v>393</v>
      </c>
      <c r="D670" s="118" t="s">
        <v>315</v>
      </c>
      <c r="E670" s="118" t="s">
        <v>349</v>
      </c>
      <c r="F670" s="119">
        <v>58</v>
      </c>
      <c r="G670" s="120">
        <v>13</v>
      </c>
      <c r="H670" s="121">
        <f t="shared" si="21"/>
        <v>870</v>
      </c>
      <c r="I670" s="122">
        <f t="shared" si="20"/>
        <v>43.5</v>
      </c>
    </row>
    <row r="671" spans="1:9" x14ac:dyDescent="0.35">
      <c r="A671" s="117">
        <v>45668</v>
      </c>
      <c r="B671" s="118" t="s">
        <v>322</v>
      </c>
      <c r="C671" s="118" t="s">
        <v>332</v>
      </c>
      <c r="D671" s="118" t="s">
        <v>315</v>
      </c>
      <c r="E671" s="118" t="s">
        <v>347</v>
      </c>
      <c r="F671" s="119">
        <v>57</v>
      </c>
      <c r="G671" s="120">
        <v>17</v>
      </c>
      <c r="H671" s="121">
        <f t="shared" si="21"/>
        <v>1197</v>
      </c>
      <c r="I671" s="122">
        <f t="shared" si="20"/>
        <v>59.85</v>
      </c>
    </row>
    <row r="672" spans="1:9" x14ac:dyDescent="0.35">
      <c r="A672" s="117">
        <v>45668</v>
      </c>
      <c r="B672" s="118" t="s">
        <v>322</v>
      </c>
      <c r="C672" s="118" t="s">
        <v>319</v>
      </c>
      <c r="D672" s="118" t="s">
        <v>423</v>
      </c>
      <c r="E672" s="118" t="s">
        <v>346</v>
      </c>
      <c r="F672" s="119">
        <v>53</v>
      </c>
      <c r="G672" s="120">
        <v>17</v>
      </c>
      <c r="H672" s="121">
        <f t="shared" si="21"/>
        <v>954</v>
      </c>
      <c r="I672" s="122">
        <f t="shared" si="20"/>
        <v>57.239999999999995</v>
      </c>
    </row>
    <row r="673" spans="1:9" x14ac:dyDescent="0.35">
      <c r="A673" s="117">
        <v>45668</v>
      </c>
      <c r="B673" s="118" t="s">
        <v>313</v>
      </c>
      <c r="C673" s="118" t="s">
        <v>319</v>
      </c>
      <c r="D673" s="118" t="s">
        <v>320</v>
      </c>
      <c r="E673" s="118" t="s">
        <v>394</v>
      </c>
      <c r="F673" s="119">
        <v>63</v>
      </c>
      <c r="G673" s="120">
        <v>13</v>
      </c>
      <c r="H673" s="121">
        <f t="shared" si="21"/>
        <v>882</v>
      </c>
      <c r="I673" s="122">
        <f t="shared" si="20"/>
        <v>52.919999999999995</v>
      </c>
    </row>
    <row r="674" spans="1:9" x14ac:dyDescent="0.35">
      <c r="A674" s="117">
        <v>45668</v>
      </c>
      <c r="B674" s="118" t="s">
        <v>313</v>
      </c>
      <c r="C674" s="118" t="s">
        <v>393</v>
      </c>
      <c r="D674" s="118" t="s">
        <v>320</v>
      </c>
      <c r="E674" s="118" t="s">
        <v>335</v>
      </c>
      <c r="F674" s="119">
        <v>17</v>
      </c>
      <c r="G674" s="120">
        <v>13</v>
      </c>
      <c r="H674" s="121">
        <f t="shared" si="21"/>
        <v>255</v>
      </c>
      <c r="I674" s="122">
        <f t="shared" si="20"/>
        <v>15.299999999999999</v>
      </c>
    </row>
    <row r="675" spans="1:9" x14ac:dyDescent="0.35">
      <c r="A675" s="117">
        <v>45669</v>
      </c>
      <c r="B675" s="118" t="s">
        <v>318</v>
      </c>
      <c r="C675" s="118" t="s">
        <v>393</v>
      </c>
      <c r="D675" s="118" t="s">
        <v>324</v>
      </c>
      <c r="E675" s="118" t="s">
        <v>348</v>
      </c>
      <c r="F675" s="119">
        <v>28</v>
      </c>
      <c r="G675" s="120">
        <v>4</v>
      </c>
      <c r="H675" s="121">
        <f t="shared" si="21"/>
        <v>168</v>
      </c>
      <c r="I675" s="122">
        <f t="shared" si="20"/>
        <v>8.4</v>
      </c>
    </row>
    <row r="676" spans="1:9" x14ac:dyDescent="0.35">
      <c r="A676" s="117">
        <v>45669</v>
      </c>
      <c r="B676" s="118" t="s">
        <v>322</v>
      </c>
      <c r="C676" s="118" t="s">
        <v>319</v>
      </c>
      <c r="D676" s="118" t="s">
        <v>333</v>
      </c>
      <c r="E676" s="118" t="s">
        <v>405</v>
      </c>
      <c r="F676" s="119">
        <v>29</v>
      </c>
      <c r="G676" s="120">
        <v>17</v>
      </c>
      <c r="H676" s="121">
        <f t="shared" si="21"/>
        <v>522</v>
      </c>
      <c r="I676" s="122">
        <f t="shared" si="20"/>
        <v>26.1</v>
      </c>
    </row>
    <row r="677" spans="1:9" x14ac:dyDescent="0.35">
      <c r="A677" s="117">
        <v>45669</v>
      </c>
      <c r="B677" s="118" t="s">
        <v>318</v>
      </c>
      <c r="C677" s="118" t="s">
        <v>332</v>
      </c>
      <c r="D677" s="118" t="s">
        <v>324</v>
      </c>
      <c r="E677" s="118" t="s">
        <v>405</v>
      </c>
      <c r="F677" s="119">
        <v>49</v>
      </c>
      <c r="G677" s="120">
        <v>4</v>
      </c>
      <c r="H677" s="121">
        <f t="shared" si="21"/>
        <v>392</v>
      </c>
      <c r="I677" s="122">
        <f t="shared" si="20"/>
        <v>19.600000000000001</v>
      </c>
    </row>
    <row r="678" spans="1:9" x14ac:dyDescent="0.35">
      <c r="A678" s="117">
        <v>45670</v>
      </c>
      <c r="B678" s="118" t="s">
        <v>318</v>
      </c>
      <c r="C678" s="118" t="s">
        <v>314</v>
      </c>
      <c r="D678" s="118" t="s">
        <v>338</v>
      </c>
      <c r="E678" s="118" t="s">
        <v>340</v>
      </c>
      <c r="F678" s="119">
        <v>54</v>
      </c>
      <c r="G678" s="120">
        <v>4</v>
      </c>
      <c r="H678" s="121">
        <f t="shared" si="21"/>
        <v>378</v>
      </c>
      <c r="I678" s="122">
        <f t="shared" si="20"/>
        <v>22.68</v>
      </c>
    </row>
    <row r="679" spans="1:9" x14ac:dyDescent="0.35">
      <c r="A679" s="117">
        <v>45671</v>
      </c>
      <c r="B679" s="118" t="s">
        <v>318</v>
      </c>
      <c r="C679" s="118" t="s">
        <v>332</v>
      </c>
      <c r="D679" s="118" t="s">
        <v>390</v>
      </c>
      <c r="E679" s="118" t="s">
        <v>341</v>
      </c>
      <c r="F679" s="119">
        <v>20</v>
      </c>
      <c r="G679" s="120">
        <v>4</v>
      </c>
      <c r="H679" s="121">
        <f t="shared" si="21"/>
        <v>160</v>
      </c>
      <c r="I679" s="122">
        <f t="shared" si="20"/>
        <v>8</v>
      </c>
    </row>
    <row r="680" spans="1:9" x14ac:dyDescent="0.35">
      <c r="A680" s="117">
        <v>45671</v>
      </c>
      <c r="B680" s="118" t="s">
        <v>322</v>
      </c>
      <c r="C680" s="118" t="s">
        <v>314</v>
      </c>
      <c r="D680" s="118" t="s">
        <v>423</v>
      </c>
      <c r="E680" s="118" t="s">
        <v>342</v>
      </c>
      <c r="F680" s="119">
        <v>16</v>
      </c>
      <c r="G680" s="120">
        <v>17</v>
      </c>
      <c r="H680" s="121">
        <f t="shared" si="21"/>
        <v>320</v>
      </c>
      <c r="I680" s="122">
        <f t="shared" si="20"/>
        <v>19.2</v>
      </c>
    </row>
    <row r="681" spans="1:9" x14ac:dyDescent="0.35">
      <c r="A681" s="117">
        <v>45671</v>
      </c>
      <c r="B681" s="118" t="s">
        <v>322</v>
      </c>
      <c r="C681" s="118" t="s">
        <v>319</v>
      </c>
      <c r="D681" s="118" t="s">
        <v>333</v>
      </c>
      <c r="E681" s="118" t="s">
        <v>400</v>
      </c>
      <c r="F681" s="119">
        <v>30</v>
      </c>
      <c r="G681" s="120">
        <v>17</v>
      </c>
      <c r="H681" s="121">
        <f t="shared" si="21"/>
        <v>540</v>
      </c>
      <c r="I681" s="122">
        <f t="shared" si="20"/>
        <v>27</v>
      </c>
    </row>
    <row r="682" spans="1:9" x14ac:dyDescent="0.35">
      <c r="A682" s="117">
        <v>45671</v>
      </c>
      <c r="B682" s="118" t="s">
        <v>422</v>
      </c>
      <c r="C682" s="118" t="s">
        <v>314</v>
      </c>
      <c r="D682" s="118" t="s">
        <v>390</v>
      </c>
      <c r="E682" s="118" t="s">
        <v>394</v>
      </c>
      <c r="F682" s="119">
        <v>61</v>
      </c>
      <c r="G682" s="120">
        <v>24</v>
      </c>
      <c r="H682" s="121">
        <f t="shared" si="21"/>
        <v>1647</v>
      </c>
      <c r="I682" s="122">
        <f t="shared" si="20"/>
        <v>82.350000000000009</v>
      </c>
    </row>
    <row r="683" spans="1:9" x14ac:dyDescent="0.35">
      <c r="A683" s="117">
        <v>45671</v>
      </c>
      <c r="B683" s="118" t="s">
        <v>313</v>
      </c>
      <c r="C683" s="118" t="s">
        <v>314</v>
      </c>
      <c r="D683" s="118" t="s">
        <v>333</v>
      </c>
      <c r="E683" s="118" t="s">
        <v>344</v>
      </c>
      <c r="F683" s="119">
        <v>9</v>
      </c>
      <c r="G683" s="120">
        <v>13</v>
      </c>
      <c r="H683" s="121">
        <f t="shared" si="21"/>
        <v>144</v>
      </c>
      <c r="I683" s="122">
        <f t="shared" si="20"/>
        <v>7.2</v>
      </c>
    </row>
    <row r="684" spans="1:9" x14ac:dyDescent="0.35">
      <c r="A684" s="117">
        <v>45671</v>
      </c>
      <c r="B684" s="118" t="s">
        <v>313</v>
      </c>
      <c r="C684" s="118" t="s">
        <v>393</v>
      </c>
      <c r="D684" s="118" t="s">
        <v>333</v>
      </c>
      <c r="E684" s="118" t="s">
        <v>344</v>
      </c>
      <c r="F684" s="119">
        <v>13</v>
      </c>
      <c r="G684" s="120">
        <v>13</v>
      </c>
      <c r="H684" s="121">
        <f t="shared" si="21"/>
        <v>195</v>
      </c>
      <c r="I684" s="122">
        <f t="shared" si="20"/>
        <v>9.75</v>
      </c>
    </row>
    <row r="685" spans="1:9" x14ac:dyDescent="0.35">
      <c r="A685" s="117">
        <v>45671</v>
      </c>
      <c r="B685" s="118" t="s">
        <v>327</v>
      </c>
      <c r="C685" s="118" t="s">
        <v>332</v>
      </c>
      <c r="D685" s="118" t="s">
        <v>333</v>
      </c>
      <c r="E685" s="118" t="s">
        <v>335</v>
      </c>
      <c r="F685" s="119">
        <v>57</v>
      </c>
      <c r="G685" s="120">
        <v>6</v>
      </c>
      <c r="H685" s="121">
        <f t="shared" si="21"/>
        <v>570</v>
      </c>
      <c r="I685" s="122">
        <f t="shared" si="20"/>
        <v>28.5</v>
      </c>
    </row>
    <row r="686" spans="1:9" x14ac:dyDescent="0.35">
      <c r="A686" s="117">
        <v>45672</v>
      </c>
      <c r="B686" s="118" t="s">
        <v>313</v>
      </c>
      <c r="C686" s="118" t="s">
        <v>314</v>
      </c>
      <c r="D686" s="118" t="s">
        <v>338</v>
      </c>
      <c r="E686" s="118" t="s">
        <v>406</v>
      </c>
      <c r="F686" s="119">
        <v>50</v>
      </c>
      <c r="G686" s="120">
        <v>13</v>
      </c>
      <c r="H686" s="121">
        <f t="shared" si="21"/>
        <v>800</v>
      </c>
      <c r="I686" s="122">
        <f t="shared" si="20"/>
        <v>48</v>
      </c>
    </row>
    <row r="687" spans="1:9" x14ac:dyDescent="0.35">
      <c r="A687" s="117">
        <v>45672</v>
      </c>
      <c r="B687" s="118" t="s">
        <v>322</v>
      </c>
      <c r="C687" s="118" t="s">
        <v>314</v>
      </c>
      <c r="D687" s="118" t="s">
        <v>423</v>
      </c>
      <c r="E687" s="118" t="s">
        <v>341</v>
      </c>
      <c r="F687" s="119">
        <v>29</v>
      </c>
      <c r="G687" s="120">
        <v>17</v>
      </c>
      <c r="H687" s="121">
        <f t="shared" si="21"/>
        <v>580</v>
      </c>
      <c r="I687" s="122">
        <f t="shared" si="20"/>
        <v>34.799999999999997</v>
      </c>
    </row>
    <row r="688" spans="1:9" x14ac:dyDescent="0.35">
      <c r="A688" s="117">
        <v>45672</v>
      </c>
      <c r="B688" s="118" t="s">
        <v>313</v>
      </c>
      <c r="C688" s="118" t="s">
        <v>319</v>
      </c>
      <c r="D688" s="118" t="s">
        <v>338</v>
      </c>
      <c r="E688" s="118" t="s">
        <v>341</v>
      </c>
      <c r="F688" s="119">
        <v>34</v>
      </c>
      <c r="G688" s="120">
        <v>13</v>
      </c>
      <c r="H688" s="121">
        <f t="shared" si="21"/>
        <v>476</v>
      </c>
      <c r="I688" s="122">
        <f t="shared" si="20"/>
        <v>28.56</v>
      </c>
    </row>
    <row r="689" spans="1:9" x14ac:dyDescent="0.35">
      <c r="A689" s="117">
        <v>45672</v>
      </c>
      <c r="B689" s="118" t="s">
        <v>318</v>
      </c>
      <c r="C689" s="118" t="s">
        <v>314</v>
      </c>
      <c r="D689" s="118" t="s">
        <v>324</v>
      </c>
      <c r="E689" s="118" t="s">
        <v>349</v>
      </c>
      <c r="F689" s="119">
        <v>59</v>
      </c>
      <c r="G689" s="120">
        <v>4</v>
      </c>
      <c r="H689" s="121">
        <f t="shared" si="21"/>
        <v>413</v>
      </c>
      <c r="I689" s="122">
        <f t="shared" si="20"/>
        <v>20.650000000000002</v>
      </c>
    </row>
    <row r="690" spans="1:9" x14ac:dyDescent="0.35">
      <c r="A690" s="117">
        <v>45672</v>
      </c>
      <c r="B690" s="118" t="s">
        <v>318</v>
      </c>
      <c r="C690" s="118" t="s">
        <v>314</v>
      </c>
      <c r="D690" s="118" t="s">
        <v>423</v>
      </c>
      <c r="E690" s="118" t="s">
        <v>349</v>
      </c>
      <c r="F690" s="119">
        <v>63</v>
      </c>
      <c r="G690" s="120">
        <v>4</v>
      </c>
      <c r="H690" s="121">
        <f t="shared" si="21"/>
        <v>441</v>
      </c>
      <c r="I690" s="122">
        <f t="shared" si="20"/>
        <v>26.459999999999997</v>
      </c>
    </row>
    <row r="691" spans="1:9" x14ac:dyDescent="0.35">
      <c r="A691" s="117">
        <v>45672</v>
      </c>
      <c r="B691" s="118" t="s">
        <v>313</v>
      </c>
      <c r="C691" s="118" t="s">
        <v>332</v>
      </c>
      <c r="D691" s="118" t="s">
        <v>320</v>
      </c>
      <c r="E691" s="118" t="s">
        <v>454</v>
      </c>
      <c r="F691" s="119">
        <v>54</v>
      </c>
      <c r="G691" s="120">
        <v>13</v>
      </c>
      <c r="H691" s="121">
        <f t="shared" si="21"/>
        <v>918</v>
      </c>
      <c r="I691" s="122">
        <f t="shared" si="20"/>
        <v>55.08</v>
      </c>
    </row>
    <row r="692" spans="1:9" x14ac:dyDescent="0.35">
      <c r="A692" s="117">
        <v>45672</v>
      </c>
      <c r="B692" s="118" t="s">
        <v>422</v>
      </c>
      <c r="C692" s="118" t="s">
        <v>319</v>
      </c>
      <c r="D692" s="118" t="s">
        <v>324</v>
      </c>
      <c r="E692" s="118" t="s">
        <v>454</v>
      </c>
      <c r="F692" s="119">
        <v>6</v>
      </c>
      <c r="G692" s="120">
        <v>24</v>
      </c>
      <c r="H692" s="121">
        <f t="shared" si="21"/>
        <v>150</v>
      </c>
      <c r="I692" s="122">
        <f t="shared" si="20"/>
        <v>7.5</v>
      </c>
    </row>
    <row r="693" spans="1:9" x14ac:dyDescent="0.35">
      <c r="A693" s="117">
        <v>45672</v>
      </c>
      <c r="B693" s="118" t="s">
        <v>327</v>
      </c>
      <c r="C693" s="118" t="s">
        <v>332</v>
      </c>
      <c r="D693" s="118" t="s">
        <v>390</v>
      </c>
      <c r="E693" s="118" t="s">
        <v>394</v>
      </c>
      <c r="F693" s="119">
        <v>7</v>
      </c>
      <c r="G693" s="120">
        <v>6</v>
      </c>
      <c r="H693" s="121">
        <f t="shared" si="21"/>
        <v>70</v>
      </c>
      <c r="I693" s="122">
        <f t="shared" si="20"/>
        <v>3.5</v>
      </c>
    </row>
    <row r="694" spans="1:9" x14ac:dyDescent="0.35">
      <c r="A694" s="117">
        <v>45672</v>
      </c>
      <c r="B694" s="118" t="s">
        <v>313</v>
      </c>
      <c r="C694" s="118" t="s">
        <v>314</v>
      </c>
      <c r="D694" s="118" t="s">
        <v>338</v>
      </c>
      <c r="E694" s="118" t="s">
        <v>405</v>
      </c>
      <c r="F694" s="119">
        <v>13</v>
      </c>
      <c r="G694" s="120">
        <v>13</v>
      </c>
      <c r="H694" s="121">
        <f t="shared" si="21"/>
        <v>208</v>
      </c>
      <c r="I694" s="122">
        <f t="shared" si="20"/>
        <v>12.48</v>
      </c>
    </row>
    <row r="695" spans="1:9" x14ac:dyDescent="0.35">
      <c r="A695" s="117">
        <v>45673</v>
      </c>
      <c r="B695" s="118" t="s">
        <v>318</v>
      </c>
      <c r="C695" s="118" t="s">
        <v>314</v>
      </c>
      <c r="D695" s="118" t="s">
        <v>320</v>
      </c>
      <c r="E695" s="118" t="s">
        <v>455</v>
      </c>
      <c r="F695" s="119">
        <v>22</v>
      </c>
      <c r="G695" s="120">
        <v>4</v>
      </c>
      <c r="H695" s="121">
        <f t="shared" si="21"/>
        <v>154</v>
      </c>
      <c r="I695" s="122">
        <f t="shared" si="20"/>
        <v>9.24</v>
      </c>
    </row>
    <row r="696" spans="1:9" x14ac:dyDescent="0.35">
      <c r="A696" s="117">
        <v>45673</v>
      </c>
      <c r="B696" s="118" t="s">
        <v>318</v>
      </c>
      <c r="C696" s="118" t="s">
        <v>319</v>
      </c>
      <c r="D696" s="118" t="s">
        <v>315</v>
      </c>
      <c r="E696" s="118" t="s">
        <v>347</v>
      </c>
      <c r="F696" s="119">
        <v>49</v>
      </c>
      <c r="G696" s="120">
        <v>4</v>
      </c>
      <c r="H696" s="121">
        <f t="shared" si="21"/>
        <v>245</v>
      </c>
      <c r="I696" s="122">
        <f t="shared" si="20"/>
        <v>12.25</v>
      </c>
    </row>
    <row r="697" spans="1:9" x14ac:dyDescent="0.35">
      <c r="A697" s="117">
        <v>45673</v>
      </c>
      <c r="B697" s="118" t="s">
        <v>422</v>
      </c>
      <c r="C697" s="118" t="s">
        <v>332</v>
      </c>
      <c r="D697" s="118" t="s">
        <v>320</v>
      </c>
      <c r="E697" s="118" t="s">
        <v>329</v>
      </c>
      <c r="F697" s="119">
        <v>42</v>
      </c>
      <c r="G697" s="120">
        <v>24</v>
      </c>
      <c r="H697" s="121">
        <f t="shared" si="21"/>
        <v>1176</v>
      </c>
      <c r="I697" s="122">
        <f t="shared" si="20"/>
        <v>70.56</v>
      </c>
    </row>
    <row r="698" spans="1:9" x14ac:dyDescent="0.35">
      <c r="A698" s="117">
        <v>45673</v>
      </c>
      <c r="B698" s="118" t="s">
        <v>318</v>
      </c>
      <c r="C698" s="118" t="s">
        <v>314</v>
      </c>
      <c r="D698" s="118" t="s">
        <v>324</v>
      </c>
      <c r="E698" s="118" t="s">
        <v>405</v>
      </c>
      <c r="F698" s="119">
        <v>8</v>
      </c>
      <c r="G698" s="120">
        <v>4</v>
      </c>
      <c r="H698" s="121">
        <f t="shared" si="21"/>
        <v>56</v>
      </c>
      <c r="I698" s="122">
        <f t="shared" si="20"/>
        <v>2.8000000000000003</v>
      </c>
    </row>
    <row r="699" spans="1:9" x14ac:dyDescent="0.35">
      <c r="A699" s="117">
        <v>45673</v>
      </c>
      <c r="B699" s="118" t="s">
        <v>322</v>
      </c>
      <c r="C699" s="118" t="s">
        <v>319</v>
      </c>
      <c r="D699" s="118" t="s">
        <v>390</v>
      </c>
      <c r="E699" s="118" t="s">
        <v>405</v>
      </c>
      <c r="F699" s="119">
        <v>36</v>
      </c>
      <c r="G699" s="120">
        <v>17</v>
      </c>
      <c r="H699" s="121">
        <f t="shared" si="21"/>
        <v>648</v>
      </c>
      <c r="I699" s="122">
        <f t="shared" si="20"/>
        <v>32.4</v>
      </c>
    </row>
    <row r="700" spans="1:9" x14ac:dyDescent="0.35">
      <c r="A700" s="117">
        <v>45674</v>
      </c>
      <c r="B700" s="118" t="s">
        <v>318</v>
      </c>
      <c r="C700" s="118" t="s">
        <v>314</v>
      </c>
      <c r="D700" s="118" t="s">
        <v>423</v>
      </c>
      <c r="E700" s="118" t="s">
        <v>400</v>
      </c>
      <c r="F700" s="119">
        <v>15</v>
      </c>
      <c r="G700" s="120">
        <v>4</v>
      </c>
      <c r="H700" s="121">
        <f t="shared" si="21"/>
        <v>105</v>
      </c>
      <c r="I700" s="122">
        <f t="shared" si="20"/>
        <v>6.3</v>
      </c>
    </row>
    <row r="701" spans="1:9" x14ac:dyDescent="0.35">
      <c r="A701" s="117">
        <v>45674</v>
      </c>
      <c r="B701" s="118" t="s">
        <v>327</v>
      </c>
      <c r="C701" s="118" t="s">
        <v>314</v>
      </c>
      <c r="D701" s="118" t="s">
        <v>320</v>
      </c>
      <c r="E701" s="118" t="s">
        <v>329</v>
      </c>
      <c r="F701" s="119">
        <v>42</v>
      </c>
      <c r="G701" s="120">
        <v>6</v>
      </c>
      <c r="H701" s="121">
        <f t="shared" si="21"/>
        <v>378</v>
      </c>
      <c r="I701" s="122">
        <f t="shared" si="20"/>
        <v>22.68</v>
      </c>
    </row>
    <row r="702" spans="1:9" x14ac:dyDescent="0.35">
      <c r="A702" s="117">
        <v>45674</v>
      </c>
      <c r="B702" s="118" t="s">
        <v>327</v>
      </c>
      <c r="C702" s="118" t="s">
        <v>314</v>
      </c>
      <c r="D702" s="118" t="s">
        <v>320</v>
      </c>
      <c r="E702" s="118" t="s">
        <v>394</v>
      </c>
      <c r="F702" s="119">
        <v>22</v>
      </c>
      <c r="G702" s="120">
        <v>6</v>
      </c>
      <c r="H702" s="121">
        <f t="shared" si="21"/>
        <v>198</v>
      </c>
      <c r="I702" s="122">
        <f t="shared" si="20"/>
        <v>11.879999999999999</v>
      </c>
    </row>
    <row r="703" spans="1:9" x14ac:dyDescent="0.35">
      <c r="A703" s="117">
        <v>45675</v>
      </c>
      <c r="B703" s="118" t="s">
        <v>322</v>
      </c>
      <c r="C703" s="118" t="s">
        <v>314</v>
      </c>
      <c r="D703" s="118" t="s">
        <v>390</v>
      </c>
      <c r="E703" s="118" t="s">
        <v>340</v>
      </c>
      <c r="F703" s="119">
        <v>46</v>
      </c>
      <c r="G703" s="120">
        <v>17</v>
      </c>
      <c r="H703" s="121">
        <f t="shared" si="21"/>
        <v>920</v>
      </c>
      <c r="I703" s="122">
        <f t="shared" si="20"/>
        <v>46</v>
      </c>
    </row>
    <row r="704" spans="1:9" x14ac:dyDescent="0.35">
      <c r="A704" s="117">
        <v>45675</v>
      </c>
      <c r="B704" s="118" t="s">
        <v>327</v>
      </c>
      <c r="C704" s="118" t="s">
        <v>314</v>
      </c>
      <c r="D704" s="118" t="s">
        <v>338</v>
      </c>
      <c r="E704" s="118" t="s">
        <v>343</v>
      </c>
      <c r="F704" s="119">
        <v>53</v>
      </c>
      <c r="G704" s="120">
        <v>6</v>
      </c>
      <c r="H704" s="121">
        <f t="shared" si="21"/>
        <v>477</v>
      </c>
      <c r="I704" s="122">
        <f t="shared" si="20"/>
        <v>28.619999999999997</v>
      </c>
    </row>
    <row r="705" spans="1:9" x14ac:dyDescent="0.35">
      <c r="A705" s="117">
        <v>45676</v>
      </c>
      <c r="B705" s="118" t="s">
        <v>322</v>
      </c>
      <c r="C705" s="118" t="s">
        <v>319</v>
      </c>
      <c r="D705" s="118" t="s">
        <v>320</v>
      </c>
      <c r="E705" s="118" t="s">
        <v>340</v>
      </c>
      <c r="F705" s="119">
        <v>17</v>
      </c>
      <c r="G705" s="120">
        <v>17</v>
      </c>
      <c r="H705" s="121">
        <f t="shared" si="21"/>
        <v>306</v>
      </c>
      <c r="I705" s="122">
        <f t="shared" si="20"/>
        <v>18.36</v>
      </c>
    </row>
    <row r="706" spans="1:9" x14ac:dyDescent="0.35">
      <c r="A706" s="117">
        <v>45676</v>
      </c>
      <c r="B706" s="118" t="s">
        <v>422</v>
      </c>
      <c r="C706" s="118" t="s">
        <v>314</v>
      </c>
      <c r="D706" s="118" t="s">
        <v>390</v>
      </c>
      <c r="E706" s="118" t="s">
        <v>349</v>
      </c>
      <c r="F706" s="119">
        <v>31</v>
      </c>
      <c r="G706" s="120">
        <v>24</v>
      </c>
      <c r="H706" s="121">
        <f t="shared" si="21"/>
        <v>837</v>
      </c>
      <c r="I706" s="122">
        <f t="shared" ref="I706:I769" si="22">H706*VLOOKUP(D706,$O$4:$P$10,2,TRUE)</f>
        <v>41.85</v>
      </c>
    </row>
    <row r="707" spans="1:9" x14ac:dyDescent="0.35">
      <c r="A707" s="117">
        <v>45676</v>
      </c>
      <c r="B707" s="118" t="s">
        <v>327</v>
      </c>
      <c r="C707" s="118" t="s">
        <v>332</v>
      </c>
      <c r="D707" s="118" t="s">
        <v>320</v>
      </c>
      <c r="E707" s="118" t="s">
        <v>454</v>
      </c>
      <c r="F707" s="119">
        <v>41</v>
      </c>
      <c r="G707" s="120">
        <v>6</v>
      </c>
      <c r="H707" s="121">
        <f t="shared" ref="H707:H770" si="23">(F707*G707)+VLOOKUP(C707,$K$11:$L$14,2,FALSE)*F707</f>
        <v>410</v>
      </c>
      <c r="I707" s="122">
        <f t="shared" si="22"/>
        <v>24.599999999999998</v>
      </c>
    </row>
    <row r="708" spans="1:9" x14ac:dyDescent="0.35">
      <c r="A708" s="117">
        <v>45676</v>
      </c>
      <c r="B708" s="118" t="s">
        <v>318</v>
      </c>
      <c r="C708" s="118" t="s">
        <v>319</v>
      </c>
      <c r="D708" s="118" t="s">
        <v>390</v>
      </c>
      <c r="E708" s="118" t="s">
        <v>454</v>
      </c>
      <c r="F708" s="119">
        <v>60</v>
      </c>
      <c r="G708" s="120">
        <v>4</v>
      </c>
      <c r="H708" s="121">
        <f t="shared" si="23"/>
        <v>300</v>
      </c>
      <c r="I708" s="122">
        <f t="shared" si="22"/>
        <v>15</v>
      </c>
    </row>
    <row r="709" spans="1:9" x14ac:dyDescent="0.35">
      <c r="A709" s="117">
        <v>45676</v>
      </c>
      <c r="B709" s="118" t="s">
        <v>327</v>
      </c>
      <c r="C709" s="118" t="s">
        <v>332</v>
      </c>
      <c r="D709" s="118" t="s">
        <v>333</v>
      </c>
      <c r="E709" s="118" t="s">
        <v>346</v>
      </c>
      <c r="F709" s="119">
        <v>31</v>
      </c>
      <c r="G709" s="120">
        <v>6</v>
      </c>
      <c r="H709" s="121">
        <f t="shared" si="23"/>
        <v>310</v>
      </c>
      <c r="I709" s="122">
        <f t="shared" si="22"/>
        <v>15.5</v>
      </c>
    </row>
    <row r="710" spans="1:9" x14ac:dyDescent="0.35">
      <c r="A710" s="117">
        <v>45676</v>
      </c>
      <c r="B710" s="118" t="s">
        <v>422</v>
      </c>
      <c r="C710" s="118" t="s">
        <v>393</v>
      </c>
      <c r="D710" s="118" t="s">
        <v>423</v>
      </c>
      <c r="E710" s="118" t="s">
        <v>394</v>
      </c>
      <c r="F710" s="119">
        <v>28</v>
      </c>
      <c r="G710" s="120">
        <v>24</v>
      </c>
      <c r="H710" s="121">
        <f t="shared" si="23"/>
        <v>728</v>
      </c>
      <c r="I710" s="122">
        <f t="shared" si="22"/>
        <v>43.68</v>
      </c>
    </row>
    <row r="711" spans="1:9" x14ac:dyDescent="0.35">
      <c r="A711" s="117">
        <v>45677</v>
      </c>
      <c r="B711" s="118" t="s">
        <v>327</v>
      </c>
      <c r="C711" s="118" t="s">
        <v>393</v>
      </c>
      <c r="D711" s="118" t="s">
        <v>315</v>
      </c>
      <c r="E711" s="118" t="s">
        <v>388</v>
      </c>
      <c r="F711" s="119">
        <v>64</v>
      </c>
      <c r="G711" s="120">
        <v>6</v>
      </c>
      <c r="H711" s="121">
        <f t="shared" si="23"/>
        <v>512</v>
      </c>
      <c r="I711" s="122">
        <f t="shared" si="22"/>
        <v>25.6</v>
      </c>
    </row>
    <row r="712" spans="1:9" x14ac:dyDescent="0.35">
      <c r="A712" s="117">
        <v>45677</v>
      </c>
      <c r="B712" s="118" t="s">
        <v>318</v>
      </c>
      <c r="C712" s="118" t="s">
        <v>319</v>
      </c>
      <c r="D712" s="118" t="s">
        <v>320</v>
      </c>
      <c r="E712" s="118" t="s">
        <v>416</v>
      </c>
      <c r="F712" s="119">
        <v>18</v>
      </c>
      <c r="G712" s="120">
        <v>4</v>
      </c>
      <c r="H712" s="121">
        <f t="shared" si="23"/>
        <v>90</v>
      </c>
      <c r="I712" s="122">
        <f t="shared" si="22"/>
        <v>5.3999999999999995</v>
      </c>
    </row>
    <row r="713" spans="1:9" x14ac:dyDescent="0.35">
      <c r="A713" s="117">
        <v>45677</v>
      </c>
      <c r="B713" s="118" t="s">
        <v>422</v>
      </c>
      <c r="C713" s="118" t="s">
        <v>332</v>
      </c>
      <c r="D713" s="118" t="s">
        <v>324</v>
      </c>
      <c r="E713" s="118" t="s">
        <v>405</v>
      </c>
      <c r="F713" s="119">
        <v>33</v>
      </c>
      <c r="G713" s="120">
        <v>24</v>
      </c>
      <c r="H713" s="121">
        <f t="shared" si="23"/>
        <v>924</v>
      </c>
      <c r="I713" s="122">
        <f t="shared" si="22"/>
        <v>46.2</v>
      </c>
    </row>
    <row r="714" spans="1:9" x14ac:dyDescent="0.35">
      <c r="A714" s="117">
        <v>45678</v>
      </c>
      <c r="B714" s="118" t="s">
        <v>322</v>
      </c>
      <c r="C714" s="118" t="s">
        <v>332</v>
      </c>
      <c r="D714" s="118" t="s">
        <v>423</v>
      </c>
      <c r="E714" s="118" t="s">
        <v>343</v>
      </c>
      <c r="F714" s="119">
        <v>33</v>
      </c>
      <c r="G714" s="120">
        <v>17</v>
      </c>
      <c r="H714" s="121">
        <f t="shared" si="23"/>
        <v>693</v>
      </c>
      <c r="I714" s="122">
        <f t="shared" si="22"/>
        <v>41.58</v>
      </c>
    </row>
    <row r="715" spans="1:9" x14ac:dyDescent="0.35">
      <c r="A715" s="117">
        <v>45679</v>
      </c>
      <c r="B715" s="118" t="s">
        <v>327</v>
      </c>
      <c r="C715" s="118" t="s">
        <v>314</v>
      </c>
      <c r="D715" s="118" t="s">
        <v>338</v>
      </c>
      <c r="E715" s="118" t="s">
        <v>340</v>
      </c>
      <c r="F715" s="119">
        <v>47</v>
      </c>
      <c r="G715" s="120">
        <v>6</v>
      </c>
      <c r="H715" s="121">
        <f t="shared" si="23"/>
        <v>423</v>
      </c>
      <c r="I715" s="122">
        <f t="shared" si="22"/>
        <v>25.38</v>
      </c>
    </row>
    <row r="716" spans="1:9" x14ac:dyDescent="0.35">
      <c r="A716" s="117">
        <v>45679</v>
      </c>
      <c r="B716" s="118" t="s">
        <v>327</v>
      </c>
      <c r="C716" s="118" t="s">
        <v>332</v>
      </c>
      <c r="D716" s="118" t="s">
        <v>315</v>
      </c>
      <c r="E716" s="118" t="s">
        <v>350</v>
      </c>
      <c r="F716" s="119">
        <v>30</v>
      </c>
      <c r="G716" s="120">
        <v>6</v>
      </c>
      <c r="H716" s="121">
        <f t="shared" si="23"/>
        <v>300</v>
      </c>
      <c r="I716" s="122">
        <f t="shared" si="22"/>
        <v>15</v>
      </c>
    </row>
    <row r="717" spans="1:9" x14ac:dyDescent="0.35">
      <c r="A717" s="117">
        <v>45679</v>
      </c>
      <c r="B717" s="118" t="s">
        <v>318</v>
      </c>
      <c r="C717" s="118" t="s">
        <v>314</v>
      </c>
      <c r="D717" s="118" t="s">
        <v>333</v>
      </c>
      <c r="E717" s="118" t="s">
        <v>350</v>
      </c>
      <c r="F717" s="119">
        <v>56</v>
      </c>
      <c r="G717" s="120">
        <v>4</v>
      </c>
      <c r="H717" s="121">
        <f t="shared" si="23"/>
        <v>392</v>
      </c>
      <c r="I717" s="122">
        <f t="shared" si="22"/>
        <v>19.600000000000001</v>
      </c>
    </row>
    <row r="718" spans="1:9" x14ac:dyDescent="0.35">
      <c r="A718" s="117">
        <v>45680</v>
      </c>
      <c r="B718" s="118" t="s">
        <v>322</v>
      </c>
      <c r="C718" s="118" t="s">
        <v>314</v>
      </c>
      <c r="D718" s="118" t="s">
        <v>423</v>
      </c>
      <c r="E718" s="118" t="s">
        <v>342</v>
      </c>
      <c r="F718" s="119">
        <v>52</v>
      </c>
      <c r="G718" s="120">
        <v>17</v>
      </c>
      <c r="H718" s="121">
        <f t="shared" si="23"/>
        <v>1040</v>
      </c>
      <c r="I718" s="122">
        <f t="shared" si="22"/>
        <v>62.4</v>
      </c>
    </row>
    <row r="719" spans="1:9" x14ac:dyDescent="0.35">
      <c r="A719" s="117">
        <v>45680</v>
      </c>
      <c r="B719" s="118" t="s">
        <v>313</v>
      </c>
      <c r="C719" s="118" t="s">
        <v>319</v>
      </c>
      <c r="D719" s="118" t="s">
        <v>333</v>
      </c>
      <c r="E719" s="118" t="s">
        <v>331</v>
      </c>
      <c r="F719" s="119">
        <v>38</v>
      </c>
      <c r="G719" s="120">
        <v>13</v>
      </c>
      <c r="H719" s="121">
        <f t="shared" si="23"/>
        <v>532</v>
      </c>
      <c r="I719" s="122">
        <f t="shared" si="22"/>
        <v>26.6</v>
      </c>
    </row>
    <row r="720" spans="1:9" x14ac:dyDescent="0.35">
      <c r="A720" s="117">
        <v>45681</v>
      </c>
      <c r="B720" s="118" t="s">
        <v>422</v>
      </c>
      <c r="C720" s="118" t="s">
        <v>314</v>
      </c>
      <c r="D720" s="118" t="s">
        <v>315</v>
      </c>
      <c r="E720" s="118" t="s">
        <v>344</v>
      </c>
      <c r="F720" s="119">
        <v>62</v>
      </c>
      <c r="G720" s="120">
        <v>24</v>
      </c>
      <c r="H720" s="121">
        <f t="shared" si="23"/>
        <v>1674</v>
      </c>
      <c r="I720" s="122">
        <f t="shared" si="22"/>
        <v>83.7</v>
      </c>
    </row>
    <row r="721" spans="1:9" x14ac:dyDescent="0.35">
      <c r="A721" s="117">
        <v>45682</v>
      </c>
      <c r="B721" s="118" t="s">
        <v>422</v>
      </c>
      <c r="C721" s="118" t="s">
        <v>332</v>
      </c>
      <c r="D721" s="118" t="s">
        <v>333</v>
      </c>
      <c r="E721" s="118" t="s">
        <v>388</v>
      </c>
      <c r="F721" s="119">
        <v>26</v>
      </c>
      <c r="G721" s="120">
        <v>24</v>
      </c>
      <c r="H721" s="121">
        <f t="shared" si="23"/>
        <v>728</v>
      </c>
      <c r="I721" s="122">
        <f t="shared" si="22"/>
        <v>36.4</v>
      </c>
    </row>
    <row r="722" spans="1:9" x14ac:dyDescent="0.35">
      <c r="A722" s="117">
        <v>45682</v>
      </c>
      <c r="B722" s="118" t="s">
        <v>422</v>
      </c>
      <c r="C722" s="118" t="s">
        <v>332</v>
      </c>
      <c r="D722" s="118" t="s">
        <v>333</v>
      </c>
      <c r="E722" s="118" t="s">
        <v>400</v>
      </c>
      <c r="F722" s="119">
        <v>11</v>
      </c>
      <c r="G722" s="120">
        <v>24</v>
      </c>
      <c r="H722" s="121">
        <f t="shared" si="23"/>
        <v>308</v>
      </c>
      <c r="I722" s="122">
        <f t="shared" si="22"/>
        <v>15.4</v>
      </c>
    </row>
    <row r="723" spans="1:9" x14ac:dyDescent="0.35">
      <c r="A723" s="117">
        <v>45682</v>
      </c>
      <c r="B723" s="118" t="s">
        <v>313</v>
      </c>
      <c r="C723" s="118" t="s">
        <v>314</v>
      </c>
      <c r="D723" s="118" t="s">
        <v>324</v>
      </c>
      <c r="E723" s="118" t="s">
        <v>329</v>
      </c>
      <c r="F723" s="119">
        <v>57</v>
      </c>
      <c r="G723" s="120">
        <v>13</v>
      </c>
      <c r="H723" s="121">
        <f t="shared" si="23"/>
        <v>912</v>
      </c>
      <c r="I723" s="122">
        <f t="shared" si="22"/>
        <v>45.6</v>
      </c>
    </row>
    <row r="724" spans="1:9" x14ac:dyDescent="0.35">
      <c r="A724" s="117">
        <v>45683</v>
      </c>
      <c r="B724" s="118" t="s">
        <v>422</v>
      </c>
      <c r="C724" s="118" t="s">
        <v>314</v>
      </c>
      <c r="D724" s="118" t="s">
        <v>320</v>
      </c>
      <c r="E724" s="118" t="s">
        <v>454</v>
      </c>
      <c r="F724" s="119">
        <v>51</v>
      </c>
      <c r="G724" s="120">
        <v>24</v>
      </c>
      <c r="H724" s="121">
        <f t="shared" si="23"/>
        <v>1377</v>
      </c>
      <c r="I724" s="122">
        <f t="shared" si="22"/>
        <v>82.61999999999999</v>
      </c>
    </row>
    <row r="725" spans="1:9" x14ac:dyDescent="0.35">
      <c r="A725" s="117">
        <v>45683</v>
      </c>
      <c r="B725" s="118" t="s">
        <v>327</v>
      </c>
      <c r="C725" s="118" t="s">
        <v>332</v>
      </c>
      <c r="D725" s="118" t="s">
        <v>320</v>
      </c>
      <c r="E725" s="118" t="s">
        <v>394</v>
      </c>
      <c r="F725" s="119">
        <v>12</v>
      </c>
      <c r="G725" s="120">
        <v>6</v>
      </c>
      <c r="H725" s="121">
        <f t="shared" si="23"/>
        <v>120</v>
      </c>
      <c r="I725" s="122">
        <f t="shared" si="22"/>
        <v>7.1999999999999993</v>
      </c>
    </row>
    <row r="726" spans="1:9" x14ac:dyDescent="0.35">
      <c r="A726" s="117">
        <v>45683</v>
      </c>
      <c r="B726" s="118" t="s">
        <v>327</v>
      </c>
      <c r="C726" s="118" t="s">
        <v>393</v>
      </c>
      <c r="D726" s="118" t="s">
        <v>423</v>
      </c>
      <c r="E726" s="118" t="s">
        <v>343</v>
      </c>
      <c r="F726" s="119">
        <v>54</v>
      </c>
      <c r="G726" s="120">
        <v>6</v>
      </c>
      <c r="H726" s="121">
        <f t="shared" si="23"/>
        <v>432</v>
      </c>
      <c r="I726" s="122">
        <f t="shared" si="22"/>
        <v>25.919999999999998</v>
      </c>
    </row>
    <row r="727" spans="1:9" x14ac:dyDescent="0.35">
      <c r="A727" s="117">
        <v>45684</v>
      </c>
      <c r="B727" s="118" t="s">
        <v>318</v>
      </c>
      <c r="C727" s="118" t="s">
        <v>332</v>
      </c>
      <c r="D727" s="118" t="s">
        <v>324</v>
      </c>
      <c r="E727" s="118" t="s">
        <v>394</v>
      </c>
      <c r="F727" s="119">
        <v>7</v>
      </c>
      <c r="G727" s="120">
        <v>4</v>
      </c>
      <c r="H727" s="121">
        <f t="shared" si="23"/>
        <v>56</v>
      </c>
      <c r="I727" s="122">
        <f t="shared" si="22"/>
        <v>2.8000000000000003</v>
      </c>
    </row>
    <row r="728" spans="1:9" x14ac:dyDescent="0.35">
      <c r="A728" s="117">
        <v>45684</v>
      </c>
      <c r="B728" s="118" t="s">
        <v>313</v>
      </c>
      <c r="C728" s="118" t="s">
        <v>314</v>
      </c>
      <c r="D728" s="118" t="s">
        <v>333</v>
      </c>
      <c r="E728" s="118" t="s">
        <v>343</v>
      </c>
      <c r="F728" s="119">
        <v>31</v>
      </c>
      <c r="G728" s="120">
        <v>13</v>
      </c>
      <c r="H728" s="121">
        <f t="shared" si="23"/>
        <v>496</v>
      </c>
      <c r="I728" s="122">
        <f t="shared" si="22"/>
        <v>24.8</v>
      </c>
    </row>
    <row r="729" spans="1:9" x14ac:dyDescent="0.35">
      <c r="A729" s="117">
        <v>45685</v>
      </c>
      <c r="B729" s="118" t="s">
        <v>422</v>
      </c>
      <c r="C729" s="118" t="s">
        <v>393</v>
      </c>
      <c r="D729" s="118" t="s">
        <v>320</v>
      </c>
      <c r="E729" s="118" t="s">
        <v>388</v>
      </c>
      <c r="F729" s="119">
        <v>7</v>
      </c>
      <c r="G729" s="120">
        <v>24</v>
      </c>
      <c r="H729" s="121">
        <f t="shared" si="23"/>
        <v>182</v>
      </c>
      <c r="I729" s="122">
        <f t="shared" si="22"/>
        <v>10.92</v>
      </c>
    </row>
    <row r="730" spans="1:9" x14ac:dyDescent="0.35">
      <c r="A730" s="117">
        <v>45685</v>
      </c>
      <c r="B730" s="118" t="s">
        <v>327</v>
      </c>
      <c r="C730" s="118" t="s">
        <v>332</v>
      </c>
      <c r="D730" s="118" t="s">
        <v>333</v>
      </c>
      <c r="E730" s="118" t="s">
        <v>394</v>
      </c>
      <c r="F730" s="119">
        <v>10</v>
      </c>
      <c r="G730" s="120">
        <v>6</v>
      </c>
      <c r="H730" s="121">
        <f t="shared" si="23"/>
        <v>100</v>
      </c>
      <c r="I730" s="122">
        <f t="shared" si="22"/>
        <v>5</v>
      </c>
    </row>
    <row r="731" spans="1:9" x14ac:dyDescent="0.35">
      <c r="A731" s="117">
        <v>45685</v>
      </c>
      <c r="B731" s="118" t="s">
        <v>318</v>
      </c>
      <c r="C731" s="118" t="s">
        <v>393</v>
      </c>
      <c r="D731" s="118" t="s">
        <v>423</v>
      </c>
      <c r="E731" s="118" t="s">
        <v>394</v>
      </c>
      <c r="F731" s="119">
        <v>13</v>
      </c>
      <c r="G731" s="120">
        <v>4</v>
      </c>
      <c r="H731" s="121">
        <f t="shared" si="23"/>
        <v>78</v>
      </c>
      <c r="I731" s="122">
        <f t="shared" si="22"/>
        <v>4.68</v>
      </c>
    </row>
    <row r="732" spans="1:9" x14ac:dyDescent="0.35">
      <c r="A732" s="117">
        <v>45686</v>
      </c>
      <c r="B732" s="118" t="s">
        <v>318</v>
      </c>
      <c r="C732" s="118" t="s">
        <v>319</v>
      </c>
      <c r="D732" s="118" t="s">
        <v>320</v>
      </c>
      <c r="E732" s="118" t="s">
        <v>341</v>
      </c>
      <c r="F732" s="119">
        <v>47</v>
      </c>
      <c r="G732" s="120">
        <v>4</v>
      </c>
      <c r="H732" s="121">
        <f t="shared" si="23"/>
        <v>235</v>
      </c>
      <c r="I732" s="122">
        <f t="shared" si="22"/>
        <v>14.1</v>
      </c>
    </row>
    <row r="733" spans="1:9" x14ac:dyDescent="0.35">
      <c r="A733" s="117">
        <v>45686</v>
      </c>
      <c r="B733" s="118" t="s">
        <v>327</v>
      </c>
      <c r="C733" s="118" t="s">
        <v>393</v>
      </c>
      <c r="D733" s="118" t="s">
        <v>390</v>
      </c>
      <c r="E733" s="118" t="s">
        <v>342</v>
      </c>
      <c r="F733" s="119">
        <v>22</v>
      </c>
      <c r="G733" s="120">
        <v>6</v>
      </c>
      <c r="H733" s="121">
        <f t="shared" si="23"/>
        <v>176</v>
      </c>
      <c r="I733" s="122">
        <f t="shared" si="22"/>
        <v>8.8000000000000007</v>
      </c>
    </row>
    <row r="734" spans="1:9" x14ac:dyDescent="0.35">
      <c r="A734" s="117">
        <v>45686</v>
      </c>
      <c r="B734" s="118" t="s">
        <v>322</v>
      </c>
      <c r="C734" s="118" t="s">
        <v>332</v>
      </c>
      <c r="D734" s="118" t="s">
        <v>324</v>
      </c>
      <c r="E734" s="118" t="s">
        <v>349</v>
      </c>
      <c r="F734" s="119">
        <v>59</v>
      </c>
      <c r="G734" s="120">
        <v>17</v>
      </c>
      <c r="H734" s="121">
        <f t="shared" si="23"/>
        <v>1239</v>
      </c>
      <c r="I734" s="122">
        <f t="shared" si="22"/>
        <v>61.95</v>
      </c>
    </row>
    <row r="735" spans="1:9" x14ac:dyDescent="0.35">
      <c r="A735" s="117">
        <v>45686</v>
      </c>
      <c r="B735" s="118" t="s">
        <v>313</v>
      </c>
      <c r="C735" s="118" t="s">
        <v>332</v>
      </c>
      <c r="D735" s="118" t="s">
        <v>333</v>
      </c>
      <c r="E735" s="118" t="s">
        <v>339</v>
      </c>
      <c r="F735" s="119">
        <v>28</v>
      </c>
      <c r="G735" s="120">
        <v>13</v>
      </c>
      <c r="H735" s="121">
        <f t="shared" si="23"/>
        <v>476</v>
      </c>
      <c r="I735" s="122">
        <f t="shared" si="22"/>
        <v>23.8</v>
      </c>
    </row>
    <row r="736" spans="1:9" x14ac:dyDescent="0.35">
      <c r="A736" s="117">
        <v>45686</v>
      </c>
      <c r="B736" s="118" t="s">
        <v>422</v>
      </c>
      <c r="C736" s="118" t="s">
        <v>393</v>
      </c>
      <c r="D736" s="118" t="s">
        <v>315</v>
      </c>
      <c r="E736" s="118" t="s">
        <v>339</v>
      </c>
      <c r="F736" s="119">
        <v>50</v>
      </c>
      <c r="G736" s="120">
        <v>24</v>
      </c>
      <c r="H736" s="121">
        <f t="shared" si="23"/>
        <v>1300</v>
      </c>
      <c r="I736" s="122">
        <f t="shared" si="22"/>
        <v>65</v>
      </c>
    </row>
    <row r="737" spans="1:9" x14ac:dyDescent="0.35">
      <c r="A737" s="117">
        <v>45686</v>
      </c>
      <c r="B737" s="118" t="s">
        <v>327</v>
      </c>
      <c r="C737" s="118" t="s">
        <v>314</v>
      </c>
      <c r="D737" s="118" t="s">
        <v>333</v>
      </c>
      <c r="E737" s="118" t="s">
        <v>454</v>
      </c>
      <c r="F737" s="119">
        <v>39</v>
      </c>
      <c r="G737" s="120">
        <v>6</v>
      </c>
      <c r="H737" s="121">
        <f t="shared" si="23"/>
        <v>351</v>
      </c>
      <c r="I737" s="122">
        <f t="shared" si="22"/>
        <v>17.55</v>
      </c>
    </row>
    <row r="738" spans="1:9" x14ac:dyDescent="0.35">
      <c r="A738" s="117">
        <v>45686</v>
      </c>
      <c r="B738" s="118" t="s">
        <v>322</v>
      </c>
      <c r="C738" s="118" t="s">
        <v>393</v>
      </c>
      <c r="D738" s="118" t="s">
        <v>320</v>
      </c>
      <c r="E738" s="118" t="s">
        <v>454</v>
      </c>
      <c r="F738" s="119">
        <v>21</v>
      </c>
      <c r="G738" s="120">
        <v>17</v>
      </c>
      <c r="H738" s="121">
        <f t="shared" si="23"/>
        <v>399</v>
      </c>
      <c r="I738" s="122">
        <f t="shared" si="22"/>
        <v>23.939999999999998</v>
      </c>
    </row>
    <row r="739" spans="1:9" x14ac:dyDescent="0.35">
      <c r="A739" s="117">
        <v>45686</v>
      </c>
      <c r="B739" s="118" t="s">
        <v>422</v>
      </c>
      <c r="C739" s="118" t="s">
        <v>314</v>
      </c>
      <c r="D739" s="118" t="s">
        <v>315</v>
      </c>
      <c r="E739" s="118" t="s">
        <v>394</v>
      </c>
      <c r="F739" s="119">
        <v>61</v>
      </c>
      <c r="G739" s="120">
        <v>24</v>
      </c>
      <c r="H739" s="121">
        <f t="shared" si="23"/>
        <v>1647</v>
      </c>
      <c r="I739" s="122">
        <f t="shared" si="22"/>
        <v>82.350000000000009</v>
      </c>
    </row>
    <row r="740" spans="1:9" x14ac:dyDescent="0.35">
      <c r="A740" s="117">
        <v>45686</v>
      </c>
      <c r="B740" s="118" t="s">
        <v>313</v>
      </c>
      <c r="C740" s="118" t="s">
        <v>332</v>
      </c>
      <c r="D740" s="118" t="s">
        <v>315</v>
      </c>
      <c r="E740" s="118" t="s">
        <v>343</v>
      </c>
      <c r="F740" s="119">
        <v>10</v>
      </c>
      <c r="G740" s="120">
        <v>13</v>
      </c>
      <c r="H740" s="121">
        <f t="shared" si="23"/>
        <v>170</v>
      </c>
      <c r="I740" s="122">
        <f t="shared" si="22"/>
        <v>8.5</v>
      </c>
    </row>
    <row r="741" spans="1:9" x14ac:dyDescent="0.35">
      <c r="A741" s="117">
        <v>45686</v>
      </c>
      <c r="B741" s="118" t="s">
        <v>318</v>
      </c>
      <c r="C741" s="118" t="s">
        <v>393</v>
      </c>
      <c r="D741" s="118" t="s">
        <v>333</v>
      </c>
      <c r="E741" s="118" t="s">
        <v>316</v>
      </c>
      <c r="F741" s="119">
        <v>39</v>
      </c>
      <c r="G741" s="120">
        <v>4</v>
      </c>
      <c r="H741" s="121">
        <f t="shared" si="23"/>
        <v>234</v>
      </c>
      <c r="I741" s="122">
        <f t="shared" si="22"/>
        <v>11.700000000000001</v>
      </c>
    </row>
    <row r="742" spans="1:9" x14ac:dyDescent="0.35">
      <c r="A742" s="117">
        <v>45687</v>
      </c>
      <c r="B742" s="118" t="s">
        <v>313</v>
      </c>
      <c r="C742" s="118" t="s">
        <v>332</v>
      </c>
      <c r="D742" s="118" t="s">
        <v>320</v>
      </c>
      <c r="E742" s="118" t="s">
        <v>405</v>
      </c>
      <c r="F742" s="119">
        <v>60</v>
      </c>
      <c r="G742" s="120">
        <v>13</v>
      </c>
      <c r="H742" s="121">
        <f t="shared" si="23"/>
        <v>1020</v>
      </c>
      <c r="I742" s="122">
        <f t="shared" si="22"/>
        <v>61.199999999999996</v>
      </c>
    </row>
    <row r="743" spans="1:9" x14ac:dyDescent="0.35">
      <c r="A743" s="117">
        <v>45687</v>
      </c>
      <c r="B743" s="118" t="s">
        <v>327</v>
      </c>
      <c r="C743" s="118" t="s">
        <v>314</v>
      </c>
      <c r="D743" s="118" t="s">
        <v>390</v>
      </c>
      <c r="E743" s="118" t="s">
        <v>316</v>
      </c>
      <c r="F743" s="119">
        <v>54</v>
      </c>
      <c r="G743" s="120">
        <v>6</v>
      </c>
      <c r="H743" s="121">
        <f t="shared" si="23"/>
        <v>486</v>
      </c>
      <c r="I743" s="122">
        <f t="shared" si="22"/>
        <v>24.3</v>
      </c>
    </row>
    <row r="744" spans="1:9" x14ac:dyDescent="0.35">
      <c r="A744" s="117">
        <v>45688</v>
      </c>
      <c r="B744" s="118" t="s">
        <v>327</v>
      </c>
      <c r="C744" s="118" t="s">
        <v>314</v>
      </c>
      <c r="D744" s="118" t="s">
        <v>333</v>
      </c>
      <c r="E744" s="118" t="s">
        <v>388</v>
      </c>
      <c r="F744" s="119">
        <v>19</v>
      </c>
      <c r="G744" s="120">
        <v>6</v>
      </c>
      <c r="H744" s="121">
        <f t="shared" si="23"/>
        <v>171</v>
      </c>
      <c r="I744" s="122">
        <f t="shared" si="22"/>
        <v>8.5500000000000007</v>
      </c>
    </row>
    <row r="745" spans="1:9" x14ac:dyDescent="0.35">
      <c r="A745" s="117">
        <v>45688</v>
      </c>
      <c r="B745" s="118" t="s">
        <v>313</v>
      </c>
      <c r="C745" s="118" t="s">
        <v>393</v>
      </c>
      <c r="D745" s="118" t="s">
        <v>324</v>
      </c>
      <c r="E745" s="118" t="s">
        <v>340</v>
      </c>
      <c r="F745" s="119">
        <v>55</v>
      </c>
      <c r="G745" s="120">
        <v>13</v>
      </c>
      <c r="H745" s="121">
        <f t="shared" si="23"/>
        <v>825</v>
      </c>
      <c r="I745" s="122">
        <f t="shared" si="22"/>
        <v>41.25</v>
      </c>
    </row>
    <row r="746" spans="1:9" x14ac:dyDescent="0.35">
      <c r="A746" s="117">
        <v>45688</v>
      </c>
      <c r="B746" s="118" t="s">
        <v>318</v>
      </c>
      <c r="C746" s="118" t="s">
        <v>319</v>
      </c>
      <c r="D746" s="118" t="s">
        <v>390</v>
      </c>
      <c r="E746" s="118" t="s">
        <v>347</v>
      </c>
      <c r="F746" s="119">
        <v>24</v>
      </c>
      <c r="G746" s="120">
        <v>4</v>
      </c>
      <c r="H746" s="121">
        <f t="shared" si="23"/>
        <v>120</v>
      </c>
      <c r="I746" s="122">
        <f t="shared" si="22"/>
        <v>6</v>
      </c>
    </row>
    <row r="747" spans="1:9" x14ac:dyDescent="0.35">
      <c r="A747" s="117">
        <v>45689</v>
      </c>
      <c r="B747" s="118" t="s">
        <v>327</v>
      </c>
      <c r="C747" s="118" t="s">
        <v>314</v>
      </c>
      <c r="D747" s="118" t="s">
        <v>423</v>
      </c>
      <c r="E747" s="118" t="s">
        <v>340</v>
      </c>
      <c r="F747" s="119">
        <v>40</v>
      </c>
      <c r="G747" s="120">
        <v>6</v>
      </c>
      <c r="H747" s="121">
        <f t="shared" si="23"/>
        <v>360</v>
      </c>
      <c r="I747" s="122">
        <f t="shared" si="22"/>
        <v>21.599999999999998</v>
      </c>
    </row>
    <row r="748" spans="1:9" x14ac:dyDescent="0.35">
      <c r="A748" s="117">
        <v>45689</v>
      </c>
      <c r="B748" s="118" t="s">
        <v>322</v>
      </c>
      <c r="C748" s="118" t="s">
        <v>319</v>
      </c>
      <c r="D748" s="118" t="s">
        <v>423</v>
      </c>
      <c r="E748" s="118" t="s">
        <v>329</v>
      </c>
      <c r="F748" s="119">
        <v>39</v>
      </c>
      <c r="G748" s="120">
        <v>17</v>
      </c>
      <c r="H748" s="121">
        <f t="shared" si="23"/>
        <v>702</v>
      </c>
      <c r="I748" s="122">
        <f t="shared" si="22"/>
        <v>42.12</v>
      </c>
    </row>
    <row r="749" spans="1:9" x14ac:dyDescent="0.35">
      <c r="A749" s="117">
        <v>45689</v>
      </c>
      <c r="B749" s="118" t="s">
        <v>327</v>
      </c>
      <c r="C749" s="118" t="s">
        <v>393</v>
      </c>
      <c r="D749" s="118" t="s">
        <v>315</v>
      </c>
      <c r="E749" s="118" t="s">
        <v>416</v>
      </c>
      <c r="F749" s="119">
        <v>13</v>
      </c>
      <c r="G749" s="120">
        <v>6</v>
      </c>
      <c r="H749" s="121">
        <f t="shared" si="23"/>
        <v>104</v>
      </c>
      <c r="I749" s="122">
        <f t="shared" si="22"/>
        <v>5.2</v>
      </c>
    </row>
    <row r="750" spans="1:9" x14ac:dyDescent="0.35">
      <c r="A750" s="117">
        <v>45690</v>
      </c>
      <c r="B750" s="118" t="s">
        <v>322</v>
      </c>
      <c r="C750" s="118" t="s">
        <v>332</v>
      </c>
      <c r="D750" s="118" t="s">
        <v>423</v>
      </c>
      <c r="E750" s="118" t="s">
        <v>339</v>
      </c>
      <c r="F750" s="119">
        <v>56</v>
      </c>
      <c r="G750" s="120">
        <v>17</v>
      </c>
      <c r="H750" s="121">
        <f t="shared" si="23"/>
        <v>1176</v>
      </c>
      <c r="I750" s="122">
        <f t="shared" si="22"/>
        <v>70.56</v>
      </c>
    </row>
    <row r="751" spans="1:9" x14ac:dyDescent="0.35">
      <c r="A751" s="117">
        <v>45690</v>
      </c>
      <c r="B751" s="118" t="s">
        <v>422</v>
      </c>
      <c r="C751" s="118" t="s">
        <v>314</v>
      </c>
      <c r="D751" s="118" t="s">
        <v>324</v>
      </c>
      <c r="E751" s="118" t="s">
        <v>346</v>
      </c>
      <c r="F751" s="119">
        <v>20</v>
      </c>
      <c r="G751" s="120">
        <v>24</v>
      </c>
      <c r="H751" s="121">
        <f t="shared" si="23"/>
        <v>540</v>
      </c>
      <c r="I751" s="122">
        <f t="shared" si="22"/>
        <v>27</v>
      </c>
    </row>
    <row r="752" spans="1:9" x14ac:dyDescent="0.35">
      <c r="A752" s="117">
        <v>45691</v>
      </c>
      <c r="B752" s="118" t="s">
        <v>422</v>
      </c>
      <c r="C752" s="118" t="s">
        <v>393</v>
      </c>
      <c r="D752" s="118" t="s">
        <v>390</v>
      </c>
      <c r="E752" s="118" t="s">
        <v>406</v>
      </c>
      <c r="F752" s="119">
        <v>25</v>
      </c>
      <c r="G752" s="120">
        <v>24</v>
      </c>
      <c r="H752" s="121">
        <f t="shared" si="23"/>
        <v>650</v>
      </c>
      <c r="I752" s="122">
        <f t="shared" si="22"/>
        <v>32.5</v>
      </c>
    </row>
    <row r="753" spans="1:9" x14ac:dyDescent="0.35">
      <c r="A753" s="117">
        <v>45691</v>
      </c>
      <c r="B753" s="118" t="s">
        <v>422</v>
      </c>
      <c r="C753" s="118" t="s">
        <v>314</v>
      </c>
      <c r="D753" s="118" t="s">
        <v>423</v>
      </c>
      <c r="E753" s="118" t="s">
        <v>406</v>
      </c>
      <c r="F753" s="119">
        <v>21</v>
      </c>
      <c r="G753" s="120">
        <v>24</v>
      </c>
      <c r="H753" s="121">
        <f t="shared" si="23"/>
        <v>567</v>
      </c>
      <c r="I753" s="122">
        <f t="shared" si="22"/>
        <v>34.019999999999996</v>
      </c>
    </row>
    <row r="754" spans="1:9" x14ac:dyDescent="0.35">
      <c r="A754" s="117">
        <v>45691</v>
      </c>
      <c r="B754" s="118" t="s">
        <v>313</v>
      </c>
      <c r="C754" s="118" t="s">
        <v>393</v>
      </c>
      <c r="D754" s="118" t="s">
        <v>333</v>
      </c>
      <c r="E754" s="118" t="s">
        <v>455</v>
      </c>
      <c r="F754" s="119">
        <v>23</v>
      </c>
      <c r="G754" s="120">
        <v>13</v>
      </c>
      <c r="H754" s="121">
        <f t="shared" si="23"/>
        <v>345</v>
      </c>
      <c r="I754" s="122">
        <f t="shared" si="22"/>
        <v>17.25</v>
      </c>
    </row>
    <row r="755" spans="1:9" x14ac:dyDescent="0.35">
      <c r="A755" s="117">
        <v>45691</v>
      </c>
      <c r="B755" s="118" t="s">
        <v>318</v>
      </c>
      <c r="C755" s="118" t="s">
        <v>393</v>
      </c>
      <c r="D755" s="118" t="s">
        <v>320</v>
      </c>
      <c r="E755" s="118" t="s">
        <v>388</v>
      </c>
      <c r="F755" s="119">
        <v>41</v>
      </c>
      <c r="G755" s="120">
        <v>4</v>
      </c>
      <c r="H755" s="121">
        <f t="shared" si="23"/>
        <v>246</v>
      </c>
      <c r="I755" s="122">
        <f t="shared" si="22"/>
        <v>14.76</v>
      </c>
    </row>
    <row r="756" spans="1:9" x14ac:dyDescent="0.35">
      <c r="A756" s="117">
        <v>45691</v>
      </c>
      <c r="B756" s="118" t="s">
        <v>322</v>
      </c>
      <c r="C756" s="118" t="s">
        <v>314</v>
      </c>
      <c r="D756" s="118" t="s">
        <v>423</v>
      </c>
      <c r="E756" s="118" t="s">
        <v>331</v>
      </c>
      <c r="F756" s="119">
        <v>34</v>
      </c>
      <c r="G756" s="120">
        <v>17</v>
      </c>
      <c r="H756" s="121">
        <f t="shared" si="23"/>
        <v>680</v>
      </c>
      <c r="I756" s="122">
        <f t="shared" si="22"/>
        <v>40.799999999999997</v>
      </c>
    </row>
    <row r="757" spans="1:9" x14ac:dyDescent="0.35">
      <c r="A757" s="117">
        <v>45692</v>
      </c>
      <c r="B757" s="118" t="s">
        <v>327</v>
      </c>
      <c r="C757" s="118" t="s">
        <v>393</v>
      </c>
      <c r="D757" s="118" t="s">
        <v>423</v>
      </c>
      <c r="E757" s="118" t="s">
        <v>406</v>
      </c>
      <c r="F757" s="119">
        <v>12</v>
      </c>
      <c r="G757" s="120">
        <v>6</v>
      </c>
      <c r="H757" s="121">
        <f t="shared" si="23"/>
        <v>96</v>
      </c>
      <c r="I757" s="122">
        <f t="shared" si="22"/>
        <v>5.76</v>
      </c>
    </row>
    <row r="758" spans="1:9" x14ac:dyDescent="0.35">
      <c r="A758" s="117">
        <v>45692</v>
      </c>
      <c r="B758" s="118" t="s">
        <v>313</v>
      </c>
      <c r="C758" s="118" t="s">
        <v>393</v>
      </c>
      <c r="D758" s="118" t="s">
        <v>333</v>
      </c>
      <c r="E758" s="118" t="s">
        <v>349</v>
      </c>
      <c r="F758" s="119">
        <v>35</v>
      </c>
      <c r="G758" s="120">
        <v>13</v>
      </c>
      <c r="H758" s="121">
        <f t="shared" si="23"/>
        <v>525</v>
      </c>
      <c r="I758" s="122">
        <f t="shared" si="22"/>
        <v>26.25</v>
      </c>
    </row>
    <row r="759" spans="1:9" x14ac:dyDescent="0.35">
      <c r="A759" s="117">
        <v>45692</v>
      </c>
      <c r="B759" s="118" t="s">
        <v>313</v>
      </c>
      <c r="C759" s="118" t="s">
        <v>319</v>
      </c>
      <c r="D759" s="118" t="s">
        <v>423</v>
      </c>
      <c r="E759" s="118" t="s">
        <v>405</v>
      </c>
      <c r="F759" s="119">
        <v>41</v>
      </c>
      <c r="G759" s="120">
        <v>13</v>
      </c>
      <c r="H759" s="121">
        <f t="shared" si="23"/>
        <v>574</v>
      </c>
      <c r="I759" s="122">
        <f t="shared" si="22"/>
        <v>34.44</v>
      </c>
    </row>
    <row r="760" spans="1:9" x14ac:dyDescent="0.35">
      <c r="A760" s="117">
        <v>45693</v>
      </c>
      <c r="B760" s="118" t="s">
        <v>322</v>
      </c>
      <c r="C760" s="118" t="s">
        <v>332</v>
      </c>
      <c r="D760" s="118" t="s">
        <v>320</v>
      </c>
      <c r="E760" s="118" t="s">
        <v>345</v>
      </c>
      <c r="F760" s="119">
        <v>23</v>
      </c>
      <c r="G760" s="120">
        <v>17</v>
      </c>
      <c r="H760" s="121">
        <f t="shared" si="23"/>
        <v>483</v>
      </c>
      <c r="I760" s="122">
        <f t="shared" si="22"/>
        <v>28.98</v>
      </c>
    </row>
    <row r="761" spans="1:9" x14ac:dyDescent="0.35">
      <c r="A761" s="117">
        <v>45693</v>
      </c>
      <c r="B761" s="118" t="s">
        <v>422</v>
      </c>
      <c r="C761" s="118" t="s">
        <v>393</v>
      </c>
      <c r="D761" s="118" t="s">
        <v>320</v>
      </c>
      <c r="E761" s="118" t="s">
        <v>337</v>
      </c>
      <c r="F761" s="119">
        <v>38</v>
      </c>
      <c r="G761" s="120">
        <v>24</v>
      </c>
      <c r="H761" s="121">
        <f t="shared" si="23"/>
        <v>988</v>
      </c>
      <c r="I761" s="122">
        <f t="shared" si="22"/>
        <v>59.28</v>
      </c>
    </row>
    <row r="762" spans="1:9" x14ac:dyDescent="0.35">
      <c r="A762" s="117">
        <v>45693</v>
      </c>
      <c r="B762" s="118" t="s">
        <v>322</v>
      </c>
      <c r="C762" s="118" t="s">
        <v>393</v>
      </c>
      <c r="D762" s="118" t="s">
        <v>324</v>
      </c>
      <c r="E762" s="118" t="s">
        <v>329</v>
      </c>
      <c r="F762" s="119">
        <v>60</v>
      </c>
      <c r="G762" s="120">
        <v>17</v>
      </c>
      <c r="H762" s="121">
        <f t="shared" si="23"/>
        <v>1140</v>
      </c>
      <c r="I762" s="122">
        <f t="shared" si="22"/>
        <v>57</v>
      </c>
    </row>
    <row r="763" spans="1:9" x14ac:dyDescent="0.35">
      <c r="A763" s="117">
        <v>45694</v>
      </c>
      <c r="B763" s="118" t="s">
        <v>422</v>
      </c>
      <c r="C763" s="118" t="s">
        <v>332</v>
      </c>
      <c r="D763" s="118" t="s">
        <v>423</v>
      </c>
      <c r="E763" s="118" t="s">
        <v>342</v>
      </c>
      <c r="F763" s="119">
        <v>13</v>
      </c>
      <c r="G763" s="120">
        <v>24</v>
      </c>
      <c r="H763" s="121">
        <f t="shared" si="23"/>
        <v>364</v>
      </c>
      <c r="I763" s="122">
        <f t="shared" si="22"/>
        <v>21.84</v>
      </c>
    </row>
    <row r="764" spans="1:9" x14ac:dyDescent="0.35">
      <c r="A764" s="117">
        <v>45694</v>
      </c>
      <c r="B764" s="118" t="s">
        <v>422</v>
      </c>
      <c r="C764" s="118" t="s">
        <v>393</v>
      </c>
      <c r="D764" s="118" t="s">
        <v>320</v>
      </c>
      <c r="E764" s="118" t="s">
        <v>337</v>
      </c>
      <c r="F764" s="119">
        <v>65</v>
      </c>
      <c r="G764" s="120">
        <v>24</v>
      </c>
      <c r="H764" s="121">
        <f t="shared" si="23"/>
        <v>1690</v>
      </c>
      <c r="I764" s="122">
        <f t="shared" si="22"/>
        <v>101.39999999999999</v>
      </c>
    </row>
    <row r="765" spans="1:9" x14ac:dyDescent="0.35">
      <c r="A765" s="117">
        <v>45694</v>
      </c>
      <c r="B765" s="118" t="s">
        <v>422</v>
      </c>
      <c r="C765" s="118" t="s">
        <v>393</v>
      </c>
      <c r="D765" s="118" t="s">
        <v>390</v>
      </c>
      <c r="E765" s="118" t="s">
        <v>400</v>
      </c>
      <c r="F765" s="119">
        <v>12</v>
      </c>
      <c r="G765" s="120">
        <v>24</v>
      </c>
      <c r="H765" s="121">
        <f t="shared" si="23"/>
        <v>312</v>
      </c>
      <c r="I765" s="122">
        <f t="shared" si="22"/>
        <v>15.600000000000001</v>
      </c>
    </row>
    <row r="766" spans="1:9" x14ac:dyDescent="0.35">
      <c r="A766" s="117">
        <v>45694</v>
      </c>
      <c r="B766" s="118" t="s">
        <v>318</v>
      </c>
      <c r="C766" s="118" t="s">
        <v>314</v>
      </c>
      <c r="D766" s="118" t="s">
        <v>320</v>
      </c>
      <c r="E766" s="118" t="s">
        <v>394</v>
      </c>
      <c r="F766" s="119">
        <v>17</v>
      </c>
      <c r="G766" s="120">
        <v>4</v>
      </c>
      <c r="H766" s="121">
        <f t="shared" si="23"/>
        <v>119</v>
      </c>
      <c r="I766" s="122">
        <f t="shared" si="22"/>
        <v>7.14</v>
      </c>
    </row>
    <row r="767" spans="1:9" x14ac:dyDescent="0.35">
      <c r="A767" s="117">
        <v>45695</v>
      </c>
      <c r="B767" s="118" t="s">
        <v>422</v>
      </c>
      <c r="C767" s="118" t="s">
        <v>332</v>
      </c>
      <c r="D767" s="118" t="s">
        <v>320</v>
      </c>
      <c r="E767" s="118" t="s">
        <v>347</v>
      </c>
      <c r="F767" s="119">
        <v>6</v>
      </c>
      <c r="G767" s="120">
        <v>24</v>
      </c>
      <c r="H767" s="121">
        <f t="shared" si="23"/>
        <v>168</v>
      </c>
      <c r="I767" s="122">
        <f t="shared" si="22"/>
        <v>10.08</v>
      </c>
    </row>
    <row r="768" spans="1:9" x14ac:dyDescent="0.35">
      <c r="A768" s="117">
        <v>45695</v>
      </c>
      <c r="B768" s="118" t="s">
        <v>322</v>
      </c>
      <c r="C768" s="118" t="s">
        <v>319</v>
      </c>
      <c r="D768" s="118" t="s">
        <v>390</v>
      </c>
      <c r="E768" s="118" t="s">
        <v>346</v>
      </c>
      <c r="F768" s="119">
        <v>8</v>
      </c>
      <c r="G768" s="120">
        <v>17</v>
      </c>
      <c r="H768" s="121">
        <f t="shared" si="23"/>
        <v>144</v>
      </c>
      <c r="I768" s="122">
        <f t="shared" si="22"/>
        <v>7.2</v>
      </c>
    </row>
    <row r="769" spans="1:9" x14ac:dyDescent="0.35">
      <c r="A769" s="117">
        <v>45695</v>
      </c>
      <c r="B769" s="118" t="s">
        <v>322</v>
      </c>
      <c r="C769" s="118" t="s">
        <v>319</v>
      </c>
      <c r="D769" s="118" t="s">
        <v>423</v>
      </c>
      <c r="E769" s="118" t="s">
        <v>405</v>
      </c>
      <c r="F769" s="119">
        <v>41</v>
      </c>
      <c r="G769" s="120">
        <v>17</v>
      </c>
      <c r="H769" s="121">
        <f t="shared" si="23"/>
        <v>738</v>
      </c>
      <c r="I769" s="122">
        <f t="shared" si="22"/>
        <v>44.28</v>
      </c>
    </row>
    <row r="770" spans="1:9" x14ac:dyDescent="0.35">
      <c r="A770" s="117">
        <v>45696</v>
      </c>
      <c r="B770" s="118" t="s">
        <v>422</v>
      </c>
      <c r="C770" s="118" t="s">
        <v>314</v>
      </c>
      <c r="D770" s="118" t="s">
        <v>324</v>
      </c>
      <c r="E770" s="118" t="s">
        <v>331</v>
      </c>
      <c r="F770" s="119">
        <v>30</v>
      </c>
      <c r="G770" s="120">
        <v>24</v>
      </c>
      <c r="H770" s="121">
        <f t="shared" si="23"/>
        <v>810</v>
      </c>
      <c r="I770" s="122">
        <f t="shared" ref="I770:I833" si="24">H770*VLOOKUP(D770,$O$4:$P$10,2,TRUE)</f>
        <v>40.5</v>
      </c>
    </row>
    <row r="771" spans="1:9" x14ac:dyDescent="0.35">
      <c r="A771" s="117">
        <v>45697</v>
      </c>
      <c r="B771" s="118" t="s">
        <v>318</v>
      </c>
      <c r="C771" s="118" t="s">
        <v>332</v>
      </c>
      <c r="D771" s="118" t="s">
        <v>333</v>
      </c>
      <c r="E771" s="118" t="s">
        <v>342</v>
      </c>
      <c r="F771" s="119">
        <v>57</v>
      </c>
      <c r="G771" s="120">
        <v>4</v>
      </c>
      <c r="H771" s="121">
        <f t="shared" ref="H771:H834" si="25">(F771*G771)+VLOOKUP(C771,$K$11:$L$14,2,FALSE)*F771</f>
        <v>456</v>
      </c>
      <c r="I771" s="122">
        <f t="shared" si="24"/>
        <v>22.8</v>
      </c>
    </row>
    <row r="772" spans="1:9" x14ac:dyDescent="0.35">
      <c r="A772" s="117">
        <v>45697</v>
      </c>
      <c r="B772" s="118" t="s">
        <v>422</v>
      </c>
      <c r="C772" s="118" t="s">
        <v>314</v>
      </c>
      <c r="D772" s="118" t="s">
        <v>320</v>
      </c>
      <c r="E772" s="118" t="s">
        <v>394</v>
      </c>
      <c r="F772" s="119">
        <v>37</v>
      </c>
      <c r="G772" s="120">
        <v>24</v>
      </c>
      <c r="H772" s="121">
        <f t="shared" si="25"/>
        <v>999</v>
      </c>
      <c r="I772" s="122">
        <f t="shared" si="24"/>
        <v>59.94</v>
      </c>
    </row>
    <row r="773" spans="1:9" x14ac:dyDescent="0.35">
      <c r="A773" s="117">
        <v>45697</v>
      </c>
      <c r="B773" s="118" t="s">
        <v>313</v>
      </c>
      <c r="C773" s="118" t="s">
        <v>314</v>
      </c>
      <c r="D773" s="118" t="s">
        <v>338</v>
      </c>
      <c r="E773" s="118" t="s">
        <v>344</v>
      </c>
      <c r="F773" s="119">
        <v>57</v>
      </c>
      <c r="G773" s="120">
        <v>13</v>
      </c>
      <c r="H773" s="121">
        <f t="shared" si="25"/>
        <v>912</v>
      </c>
      <c r="I773" s="122">
        <f t="shared" si="24"/>
        <v>54.72</v>
      </c>
    </row>
    <row r="774" spans="1:9" x14ac:dyDescent="0.35">
      <c r="A774" s="117">
        <v>45697</v>
      </c>
      <c r="B774" s="118" t="s">
        <v>313</v>
      </c>
      <c r="C774" s="118" t="s">
        <v>314</v>
      </c>
      <c r="D774" s="118" t="s">
        <v>324</v>
      </c>
      <c r="E774" s="118" t="s">
        <v>405</v>
      </c>
      <c r="F774" s="119">
        <v>26</v>
      </c>
      <c r="G774" s="120">
        <v>13</v>
      </c>
      <c r="H774" s="121">
        <f t="shared" si="25"/>
        <v>416</v>
      </c>
      <c r="I774" s="122">
        <f t="shared" si="24"/>
        <v>20.8</v>
      </c>
    </row>
    <row r="775" spans="1:9" x14ac:dyDescent="0.35">
      <c r="A775" s="117">
        <v>45698</v>
      </c>
      <c r="B775" s="118" t="s">
        <v>327</v>
      </c>
      <c r="C775" s="118" t="s">
        <v>319</v>
      </c>
      <c r="D775" s="118" t="s">
        <v>315</v>
      </c>
      <c r="E775" s="118" t="s">
        <v>349</v>
      </c>
      <c r="F775" s="119">
        <v>7</v>
      </c>
      <c r="G775" s="120">
        <v>6</v>
      </c>
      <c r="H775" s="121">
        <f t="shared" si="25"/>
        <v>49</v>
      </c>
      <c r="I775" s="122">
        <f t="shared" si="24"/>
        <v>2.4500000000000002</v>
      </c>
    </row>
    <row r="776" spans="1:9" x14ac:dyDescent="0.35">
      <c r="A776" s="117">
        <v>45698</v>
      </c>
      <c r="B776" s="118" t="s">
        <v>422</v>
      </c>
      <c r="C776" s="118" t="s">
        <v>314</v>
      </c>
      <c r="D776" s="118" t="s">
        <v>423</v>
      </c>
      <c r="E776" s="118" t="s">
        <v>347</v>
      </c>
      <c r="F776" s="119">
        <v>53</v>
      </c>
      <c r="G776" s="120">
        <v>24</v>
      </c>
      <c r="H776" s="121">
        <f t="shared" si="25"/>
        <v>1431</v>
      </c>
      <c r="I776" s="122">
        <f t="shared" si="24"/>
        <v>85.86</v>
      </c>
    </row>
    <row r="777" spans="1:9" x14ac:dyDescent="0.35">
      <c r="A777" s="117">
        <v>45698</v>
      </c>
      <c r="B777" s="118" t="s">
        <v>422</v>
      </c>
      <c r="C777" s="118" t="s">
        <v>332</v>
      </c>
      <c r="D777" s="118" t="s">
        <v>423</v>
      </c>
      <c r="E777" s="118" t="s">
        <v>400</v>
      </c>
      <c r="F777" s="119">
        <v>50</v>
      </c>
      <c r="G777" s="120">
        <v>24</v>
      </c>
      <c r="H777" s="121">
        <f t="shared" si="25"/>
        <v>1400</v>
      </c>
      <c r="I777" s="122">
        <f t="shared" si="24"/>
        <v>84</v>
      </c>
    </row>
    <row r="778" spans="1:9" x14ac:dyDescent="0.35">
      <c r="A778" s="117">
        <v>45698</v>
      </c>
      <c r="B778" s="118" t="s">
        <v>327</v>
      </c>
      <c r="C778" s="118" t="s">
        <v>319</v>
      </c>
      <c r="D778" s="118" t="s">
        <v>423</v>
      </c>
      <c r="E778" s="118" t="s">
        <v>394</v>
      </c>
      <c r="F778" s="119">
        <v>27</v>
      </c>
      <c r="G778" s="120">
        <v>6</v>
      </c>
      <c r="H778" s="121">
        <f t="shared" si="25"/>
        <v>189</v>
      </c>
      <c r="I778" s="122">
        <f t="shared" si="24"/>
        <v>11.34</v>
      </c>
    </row>
    <row r="779" spans="1:9" x14ac:dyDescent="0.35">
      <c r="A779" s="117">
        <v>45699</v>
      </c>
      <c r="B779" s="118" t="s">
        <v>422</v>
      </c>
      <c r="C779" s="118" t="s">
        <v>319</v>
      </c>
      <c r="D779" s="118" t="s">
        <v>338</v>
      </c>
      <c r="E779" s="118" t="s">
        <v>341</v>
      </c>
      <c r="F779" s="119">
        <v>53</v>
      </c>
      <c r="G779" s="120">
        <v>24</v>
      </c>
      <c r="H779" s="121">
        <f t="shared" si="25"/>
        <v>1325</v>
      </c>
      <c r="I779" s="122">
        <f t="shared" si="24"/>
        <v>79.5</v>
      </c>
    </row>
    <row r="780" spans="1:9" x14ac:dyDescent="0.35">
      <c r="A780" s="117">
        <v>45699</v>
      </c>
      <c r="B780" s="118" t="s">
        <v>318</v>
      </c>
      <c r="C780" s="118" t="s">
        <v>332</v>
      </c>
      <c r="D780" s="118" t="s">
        <v>390</v>
      </c>
      <c r="E780" s="118" t="s">
        <v>394</v>
      </c>
      <c r="F780" s="119">
        <v>23</v>
      </c>
      <c r="G780" s="120">
        <v>4</v>
      </c>
      <c r="H780" s="121">
        <f t="shared" si="25"/>
        <v>184</v>
      </c>
      <c r="I780" s="122">
        <f t="shared" si="24"/>
        <v>9.2000000000000011</v>
      </c>
    </row>
    <row r="781" spans="1:9" x14ac:dyDescent="0.35">
      <c r="A781" s="117">
        <v>45699</v>
      </c>
      <c r="B781" s="118" t="s">
        <v>318</v>
      </c>
      <c r="C781" s="118" t="s">
        <v>319</v>
      </c>
      <c r="D781" s="118" t="s">
        <v>315</v>
      </c>
      <c r="E781" s="118" t="s">
        <v>335</v>
      </c>
      <c r="F781" s="119">
        <v>36</v>
      </c>
      <c r="G781" s="120">
        <v>4</v>
      </c>
      <c r="H781" s="121">
        <f t="shared" si="25"/>
        <v>180</v>
      </c>
      <c r="I781" s="122">
        <f t="shared" si="24"/>
        <v>9</v>
      </c>
    </row>
    <row r="782" spans="1:9" x14ac:dyDescent="0.35">
      <c r="A782" s="117">
        <v>45700</v>
      </c>
      <c r="B782" s="118" t="s">
        <v>318</v>
      </c>
      <c r="C782" s="118" t="s">
        <v>319</v>
      </c>
      <c r="D782" s="118" t="s">
        <v>333</v>
      </c>
      <c r="E782" s="118" t="s">
        <v>340</v>
      </c>
      <c r="F782" s="119">
        <v>12</v>
      </c>
      <c r="G782" s="120">
        <v>4</v>
      </c>
      <c r="H782" s="121">
        <f t="shared" si="25"/>
        <v>60</v>
      </c>
      <c r="I782" s="122">
        <f t="shared" si="24"/>
        <v>3</v>
      </c>
    </row>
    <row r="783" spans="1:9" x14ac:dyDescent="0.35">
      <c r="A783" s="117">
        <v>45700</v>
      </c>
      <c r="B783" s="118" t="s">
        <v>318</v>
      </c>
      <c r="C783" s="118" t="s">
        <v>319</v>
      </c>
      <c r="D783" s="118" t="s">
        <v>390</v>
      </c>
      <c r="E783" s="118" t="s">
        <v>339</v>
      </c>
      <c r="F783" s="119">
        <v>19</v>
      </c>
      <c r="G783" s="120">
        <v>4</v>
      </c>
      <c r="H783" s="121">
        <f t="shared" si="25"/>
        <v>95</v>
      </c>
      <c r="I783" s="122">
        <f t="shared" si="24"/>
        <v>4.75</v>
      </c>
    </row>
    <row r="784" spans="1:9" x14ac:dyDescent="0.35">
      <c r="A784" s="117">
        <v>45700</v>
      </c>
      <c r="B784" s="118" t="s">
        <v>322</v>
      </c>
      <c r="C784" s="118" t="s">
        <v>332</v>
      </c>
      <c r="D784" s="118" t="s">
        <v>315</v>
      </c>
      <c r="E784" s="118" t="s">
        <v>329</v>
      </c>
      <c r="F784" s="119">
        <v>11</v>
      </c>
      <c r="G784" s="120">
        <v>17</v>
      </c>
      <c r="H784" s="121">
        <f t="shared" si="25"/>
        <v>231</v>
      </c>
      <c r="I784" s="122">
        <f t="shared" si="24"/>
        <v>11.55</v>
      </c>
    </row>
    <row r="785" spans="1:9" x14ac:dyDescent="0.35">
      <c r="A785" s="117">
        <v>45700</v>
      </c>
      <c r="B785" s="118" t="s">
        <v>313</v>
      </c>
      <c r="C785" s="118" t="s">
        <v>393</v>
      </c>
      <c r="D785" s="118" t="s">
        <v>324</v>
      </c>
      <c r="E785" s="118" t="s">
        <v>329</v>
      </c>
      <c r="F785" s="119">
        <v>43</v>
      </c>
      <c r="G785" s="120">
        <v>13</v>
      </c>
      <c r="H785" s="121">
        <f t="shared" si="25"/>
        <v>645</v>
      </c>
      <c r="I785" s="122">
        <f t="shared" si="24"/>
        <v>32.25</v>
      </c>
    </row>
    <row r="786" spans="1:9" x14ac:dyDescent="0.35">
      <c r="A786" s="117">
        <v>45701</v>
      </c>
      <c r="B786" s="118" t="s">
        <v>313</v>
      </c>
      <c r="C786" s="118" t="s">
        <v>393</v>
      </c>
      <c r="D786" s="118" t="s">
        <v>324</v>
      </c>
      <c r="E786" s="118" t="s">
        <v>341</v>
      </c>
      <c r="F786" s="119">
        <v>30</v>
      </c>
      <c r="G786" s="120">
        <v>13</v>
      </c>
      <c r="H786" s="121">
        <f t="shared" si="25"/>
        <v>450</v>
      </c>
      <c r="I786" s="122">
        <f t="shared" si="24"/>
        <v>22.5</v>
      </c>
    </row>
    <row r="787" spans="1:9" x14ac:dyDescent="0.35">
      <c r="A787" s="117">
        <v>45701</v>
      </c>
      <c r="B787" s="118" t="s">
        <v>313</v>
      </c>
      <c r="C787" s="118" t="s">
        <v>393</v>
      </c>
      <c r="D787" s="118" t="s">
        <v>324</v>
      </c>
      <c r="E787" s="118" t="s">
        <v>337</v>
      </c>
      <c r="F787" s="119">
        <v>23</v>
      </c>
      <c r="G787" s="120">
        <v>13</v>
      </c>
      <c r="H787" s="121">
        <f t="shared" si="25"/>
        <v>345</v>
      </c>
      <c r="I787" s="122">
        <f t="shared" si="24"/>
        <v>17.25</v>
      </c>
    </row>
    <row r="788" spans="1:9" x14ac:dyDescent="0.35">
      <c r="A788" s="117">
        <v>45701</v>
      </c>
      <c r="B788" s="118" t="s">
        <v>318</v>
      </c>
      <c r="C788" s="118" t="s">
        <v>393</v>
      </c>
      <c r="D788" s="118" t="s">
        <v>423</v>
      </c>
      <c r="E788" s="118" t="s">
        <v>346</v>
      </c>
      <c r="F788" s="119">
        <v>51</v>
      </c>
      <c r="G788" s="120">
        <v>4</v>
      </c>
      <c r="H788" s="121">
        <f t="shared" si="25"/>
        <v>306</v>
      </c>
      <c r="I788" s="122">
        <f t="shared" si="24"/>
        <v>18.36</v>
      </c>
    </row>
    <row r="789" spans="1:9" x14ac:dyDescent="0.35">
      <c r="A789" s="117">
        <v>45701</v>
      </c>
      <c r="B789" s="118" t="s">
        <v>327</v>
      </c>
      <c r="C789" s="118" t="s">
        <v>393</v>
      </c>
      <c r="D789" s="118" t="s">
        <v>423</v>
      </c>
      <c r="E789" s="118" t="s">
        <v>394</v>
      </c>
      <c r="F789" s="119">
        <v>7</v>
      </c>
      <c r="G789" s="120">
        <v>6</v>
      </c>
      <c r="H789" s="121">
        <f t="shared" si="25"/>
        <v>56</v>
      </c>
      <c r="I789" s="122">
        <f t="shared" si="24"/>
        <v>3.36</v>
      </c>
    </row>
    <row r="790" spans="1:9" x14ac:dyDescent="0.35">
      <c r="A790" s="117">
        <v>45701</v>
      </c>
      <c r="B790" s="118" t="s">
        <v>318</v>
      </c>
      <c r="C790" s="118" t="s">
        <v>332</v>
      </c>
      <c r="D790" s="118" t="s">
        <v>333</v>
      </c>
      <c r="E790" s="118" t="s">
        <v>405</v>
      </c>
      <c r="F790" s="119">
        <v>19</v>
      </c>
      <c r="G790" s="120">
        <v>4</v>
      </c>
      <c r="H790" s="121">
        <f t="shared" si="25"/>
        <v>152</v>
      </c>
      <c r="I790" s="122">
        <f t="shared" si="24"/>
        <v>7.6000000000000005</v>
      </c>
    </row>
    <row r="791" spans="1:9" x14ac:dyDescent="0.35">
      <c r="A791" s="117">
        <v>45702</v>
      </c>
      <c r="B791" s="118" t="s">
        <v>313</v>
      </c>
      <c r="C791" s="118" t="s">
        <v>314</v>
      </c>
      <c r="D791" s="118" t="s">
        <v>338</v>
      </c>
      <c r="E791" s="118" t="s">
        <v>348</v>
      </c>
      <c r="F791" s="119">
        <v>36</v>
      </c>
      <c r="G791" s="120">
        <v>13</v>
      </c>
      <c r="H791" s="121">
        <f t="shared" si="25"/>
        <v>576</v>
      </c>
      <c r="I791" s="122">
        <f t="shared" si="24"/>
        <v>34.56</v>
      </c>
    </row>
    <row r="792" spans="1:9" x14ac:dyDescent="0.35">
      <c r="A792" s="117">
        <v>45702</v>
      </c>
      <c r="B792" s="118" t="s">
        <v>327</v>
      </c>
      <c r="C792" s="118" t="s">
        <v>319</v>
      </c>
      <c r="D792" s="118" t="s">
        <v>315</v>
      </c>
      <c r="E792" s="118" t="s">
        <v>350</v>
      </c>
      <c r="F792" s="119">
        <v>15</v>
      </c>
      <c r="G792" s="120">
        <v>6</v>
      </c>
      <c r="H792" s="121">
        <f t="shared" si="25"/>
        <v>105</v>
      </c>
      <c r="I792" s="122">
        <f t="shared" si="24"/>
        <v>5.25</v>
      </c>
    </row>
    <row r="793" spans="1:9" x14ac:dyDescent="0.35">
      <c r="A793" s="117">
        <v>45703</v>
      </c>
      <c r="B793" s="118" t="s">
        <v>322</v>
      </c>
      <c r="C793" s="118" t="s">
        <v>393</v>
      </c>
      <c r="D793" s="118" t="s">
        <v>423</v>
      </c>
      <c r="E793" s="118" t="s">
        <v>337</v>
      </c>
      <c r="F793" s="119">
        <v>59</v>
      </c>
      <c r="G793" s="120">
        <v>17</v>
      </c>
      <c r="H793" s="121">
        <f t="shared" si="25"/>
        <v>1121</v>
      </c>
      <c r="I793" s="122">
        <f t="shared" si="24"/>
        <v>67.259999999999991</v>
      </c>
    </row>
    <row r="794" spans="1:9" x14ac:dyDescent="0.35">
      <c r="A794" s="117">
        <v>45703</v>
      </c>
      <c r="B794" s="118" t="s">
        <v>313</v>
      </c>
      <c r="C794" s="118" t="s">
        <v>319</v>
      </c>
      <c r="D794" s="118" t="s">
        <v>423</v>
      </c>
      <c r="E794" s="118" t="s">
        <v>350</v>
      </c>
      <c r="F794" s="119">
        <v>26</v>
      </c>
      <c r="G794" s="120">
        <v>13</v>
      </c>
      <c r="H794" s="121">
        <f t="shared" si="25"/>
        <v>364</v>
      </c>
      <c r="I794" s="122">
        <f t="shared" si="24"/>
        <v>21.84</v>
      </c>
    </row>
    <row r="795" spans="1:9" x14ac:dyDescent="0.35">
      <c r="A795" s="117">
        <v>45704</v>
      </c>
      <c r="B795" s="118" t="s">
        <v>318</v>
      </c>
      <c r="C795" s="118" t="s">
        <v>332</v>
      </c>
      <c r="D795" s="118" t="s">
        <v>320</v>
      </c>
      <c r="E795" s="118" t="s">
        <v>394</v>
      </c>
      <c r="F795" s="119">
        <v>64</v>
      </c>
      <c r="G795" s="120">
        <v>4</v>
      </c>
      <c r="H795" s="121">
        <f t="shared" si="25"/>
        <v>512</v>
      </c>
      <c r="I795" s="122">
        <f t="shared" si="24"/>
        <v>30.72</v>
      </c>
    </row>
    <row r="796" spans="1:9" x14ac:dyDescent="0.35">
      <c r="A796" s="117">
        <v>45704</v>
      </c>
      <c r="B796" s="118" t="s">
        <v>422</v>
      </c>
      <c r="C796" s="118" t="s">
        <v>332</v>
      </c>
      <c r="D796" s="118" t="s">
        <v>324</v>
      </c>
      <c r="E796" s="118" t="s">
        <v>344</v>
      </c>
      <c r="F796" s="119">
        <v>20</v>
      </c>
      <c r="G796" s="120">
        <v>24</v>
      </c>
      <c r="H796" s="121">
        <f t="shared" si="25"/>
        <v>560</v>
      </c>
      <c r="I796" s="122">
        <f t="shared" si="24"/>
        <v>28</v>
      </c>
    </row>
    <row r="797" spans="1:9" x14ac:dyDescent="0.35">
      <c r="A797" s="117">
        <v>45704</v>
      </c>
      <c r="B797" s="118" t="s">
        <v>327</v>
      </c>
      <c r="C797" s="118" t="s">
        <v>319</v>
      </c>
      <c r="D797" s="118" t="s">
        <v>315</v>
      </c>
      <c r="E797" s="118" t="s">
        <v>350</v>
      </c>
      <c r="F797" s="119">
        <v>53</v>
      </c>
      <c r="G797" s="120">
        <v>6</v>
      </c>
      <c r="H797" s="121">
        <f t="shared" si="25"/>
        <v>371</v>
      </c>
      <c r="I797" s="122">
        <f t="shared" si="24"/>
        <v>18.55</v>
      </c>
    </row>
    <row r="798" spans="1:9" x14ac:dyDescent="0.35">
      <c r="A798" s="117">
        <v>45705</v>
      </c>
      <c r="B798" s="118" t="s">
        <v>322</v>
      </c>
      <c r="C798" s="118" t="s">
        <v>332</v>
      </c>
      <c r="D798" s="118" t="s">
        <v>338</v>
      </c>
      <c r="E798" s="118" t="s">
        <v>388</v>
      </c>
      <c r="F798" s="119">
        <v>27</v>
      </c>
      <c r="G798" s="120">
        <v>17</v>
      </c>
      <c r="H798" s="121">
        <f t="shared" si="25"/>
        <v>567</v>
      </c>
      <c r="I798" s="122">
        <f t="shared" si="24"/>
        <v>34.019999999999996</v>
      </c>
    </row>
    <row r="799" spans="1:9" x14ac:dyDescent="0.35">
      <c r="A799" s="117">
        <v>45705</v>
      </c>
      <c r="B799" s="118" t="s">
        <v>422</v>
      </c>
      <c r="C799" s="118" t="s">
        <v>314</v>
      </c>
      <c r="D799" s="118" t="s">
        <v>320</v>
      </c>
      <c r="E799" s="118" t="s">
        <v>347</v>
      </c>
      <c r="F799" s="119">
        <v>63</v>
      </c>
      <c r="G799" s="120">
        <v>24</v>
      </c>
      <c r="H799" s="121">
        <f t="shared" si="25"/>
        <v>1701</v>
      </c>
      <c r="I799" s="122">
        <f t="shared" si="24"/>
        <v>102.06</v>
      </c>
    </row>
    <row r="800" spans="1:9" x14ac:dyDescent="0.35">
      <c r="A800" s="117">
        <v>45705</v>
      </c>
      <c r="B800" s="118" t="s">
        <v>318</v>
      </c>
      <c r="C800" s="118" t="s">
        <v>332</v>
      </c>
      <c r="D800" s="118" t="s">
        <v>423</v>
      </c>
      <c r="E800" s="118" t="s">
        <v>344</v>
      </c>
      <c r="F800" s="119">
        <v>43</v>
      </c>
      <c r="G800" s="120">
        <v>4</v>
      </c>
      <c r="H800" s="121">
        <f t="shared" si="25"/>
        <v>344</v>
      </c>
      <c r="I800" s="122">
        <f t="shared" si="24"/>
        <v>20.64</v>
      </c>
    </row>
    <row r="801" spans="1:9" x14ac:dyDescent="0.35">
      <c r="A801" s="117">
        <v>45705</v>
      </c>
      <c r="B801" s="118" t="s">
        <v>322</v>
      </c>
      <c r="C801" s="118" t="s">
        <v>314</v>
      </c>
      <c r="D801" s="118" t="s">
        <v>390</v>
      </c>
      <c r="E801" s="118" t="s">
        <v>343</v>
      </c>
      <c r="F801" s="119">
        <v>34</v>
      </c>
      <c r="G801" s="120">
        <v>17</v>
      </c>
      <c r="H801" s="121">
        <f t="shared" si="25"/>
        <v>680</v>
      </c>
      <c r="I801" s="122">
        <f t="shared" si="24"/>
        <v>34</v>
      </c>
    </row>
    <row r="802" spans="1:9" x14ac:dyDescent="0.35">
      <c r="A802" s="117">
        <v>45706</v>
      </c>
      <c r="B802" s="118" t="s">
        <v>313</v>
      </c>
      <c r="C802" s="118" t="s">
        <v>314</v>
      </c>
      <c r="D802" s="118" t="s">
        <v>320</v>
      </c>
      <c r="E802" s="118" t="s">
        <v>342</v>
      </c>
      <c r="F802" s="119">
        <v>55</v>
      </c>
      <c r="G802" s="120">
        <v>13</v>
      </c>
      <c r="H802" s="121">
        <f t="shared" si="25"/>
        <v>880</v>
      </c>
      <c r="I802" s="122">
        <f t="shared" si="24"/>
        <v>52.8</v>
      </c>
    </row>
    <row r="803" spans="1:9" x14ac:dyDescent="0.35">
      <c r="A803" s="117">
        <v>45706</v>
      </c>
      <c r="B803" s="118" t="s">
        <v>422</v>
      </c>
      <c r="C803" s="118" t="s">
        <v>332</v>
      </c>
      <c r="D803" s="118" t="s">
        <v>315</v>
      </c>
      <c r="E803" s="118" t="s">
        <v>340</v>
      </c>
      <c r="F803" s="119">
        <v>33</v>
      </c>
      <c r="G803" s="120">
        <v>24</v>
      </c>
      <c r="H803" s="121">
        <f t="shared" si="25"/>
        <v>924</v>
      </c>
      <c r="I803" s="122">
        <f t="shared" si="24"/>
        <v>46.2</v>
      </c>
    </row>
    <row r="804" spans="1:9" x14ac:dyDescent="0.35">
      <c r="A804" s="117">
        <v>45706</v>
      </c>
      <c r="B804" s="118" t="s">
        <v>422</v>
      </c>
      <c r="C804" s="118" t="s">
        <v>332</v>
      </c>
      <c r="D804" s="118" t="s">
        <v>315</v>
      </c>
      <c r="E804" s="118" t="s">
        <v>340</v>
      </c>
      <c r="F804" s="119">
        <v>15</v>
      </c>
      <c r="G804" s="120">
        <v>24</v>
      </c>
      <c r="H804" s="121">
        <f t="shared" si="25"/>
        <v>420</v>
      </c>
      <c r="I804" s="122">
        <f t="shared" si="24"/>
        <v>21</v>
      </c>
    </row>
    <row r="805" spans="1:9" x14ac:dyDescent="0.35">
      <c r="A805" s="117">
        <v>45706</v>
      </c>
      <c r="B805" s="118" t="s">
        <v>318</v>
      </c>
      <c r="C805" s="118" t="s">
        <v>332</v>
      </c>
      <c r="D805" s="118" t="s">
        <v>423</v>
      </c>
      <c r="E805" s="118" t="s">
        <v>345</v>
      </c>
      <c r="F805" s="119">
        <v>37</v>
      </c>
      <c r="G805" s="120">
        <v>4</v>
      </c>
      <c r="H805" s="121">
        <f t="shared" si="25"/>
        <v>296</v>
      </c>
      <c r="I805" s="122">
        <f t="shared" si="24"/>
        <v>17.759999999999998</v>
      </c>
    </row>
    <row r="806" spans="1:9" x14ac:dyDescent="0.35">
      <c r="A806" s="117">
        <v>45706</v>
      </c>
      <c r="B806" s="118" t="s">
        <v>313</v>
      </c>
      <c r="C806" s="118" t="s">
        <v>332</v>
      </c>
      <c r="D806" s="118" t="s">
        <v>338</v>
      </c>
      <c r="E806" s="118" t="s">
        <v>454</v>
      </c>
      <c r="F806" s="119">
        <v>11</v>
      </c>
      <c r="G806" s="120">
        <v>13</v>
      </c>
      <c r="H806" s="121">
        <f t="shared" si="25"/>
        <v>187</v>
      </c>
      <c r="I806" s="122">
        <f t="shared" si="24"/>
        <v>11.219999999999999</v>
      </c>
    </row>
    <row r="807" spans="1:9" x14ac:dyDescent="0.35">
      <c r="A807" s="117">
        <v>45706</v>
      </c>
      <c r="B807" s="118" t="s">
        <v>422</v>
      </c>
      <c r="C807" s="118" t="s">
        <v>319</v>
      </c>
      <c r="D807" s="118" t="s">
        <v>390</v>
      </c>
      <c r="E807" s="118" t="s">
        <v>331</v>
      </c>
      <c r="F807" s="119">
        <v>55</v>
      </c>
      <c r="G807" s="120">
        <v>24</v>
      </c>
      <c r="H807" s="121">
        <f t="shared" si="25"/>
        <v>1375</v>
      </c>
      <c r="I807" s="122">
        <f t="shared" si="24"/>
        <v>68.75</v>
      </c>
    </row>
    <row r="808" spans="1:9" x14ac:dyDescent="0.35">
      <c r="A808" s="117">
        <v>45706</v>
      </c>
      <c r="B808" s="118" t="s">
        <v>313</v>
      </c>
      <c r="C808" s="118" t="s">
        <v>393</v>
      </c>
      <c r="D808" s="118" t="s">
        <v>320</v>
      </c>
      <c r="E808" s="118" t="s">
        <v>344</v>
      </c>
      <c r="F808" s="119">
        <v>20</v>
      </c>
      <c r="G808" s="120">
        <v>13</v>
      </c>
      <c r="H808" s="121">
        <f t="shared" si="25"/>
        <v>300</v>
      </c>
      <c r="I808" s="122">
        <f t="shared" si="24"/>
        <v>18</v>
      </c>
    </row>
    <row r="809" spans="1:9" x14ac:dyDescent="0.35">
      <c r="A809" s="117">
        <v>45706</v>
      </c>
      <c r="B809" s="118" t="s">
        <v>327</v>
      </c>
      <c r="C809" s="118" t="s">
        <v>314</v>
      </c>
      <c r="D809" s="118" t="s">
        <v>333</v>
      </c>
      <c r="E809" s="118" t="s">
        <v>405</v>
      </c>
      <c r="F809" s="119">
        <v>33</v>
      </c>
      <c r="G809" s="120">
        <v>6</v>
      </c>
      <c r="H809" s="121">
        <f t="shared" si="25"/>
        <v>297</v>
      </c>
      <c r="I809" s="122">
        <f t="shared" si="24"/>
        <v>14.850000000000001</v>
      </c>
    </row>
    <row r="810" spans="1:9" x14ac:dyDescent="0.35">
      <c r="A810" s="117">
        <v>45707</v>
      </c>
      <c r="B810" s="118" t="s">
        <v>313</v>
      </c>
      <c r="C810" s="118" t="s">
        <v>332</v>
      </c>
      <c r="D810" s="118" t="s">
        <v>390</v>
      </c>
      <c r="E810" s="118" t="s">
        <v>349</v>
      </c>
      <c r="F810" s="119">
        <v>47</v>
      </c>
      <c r="G810" s="120">
        <v>13</v>
      </c>
      <c r="H810" s="121">
        <f t="shared" si="25"/>
        <v>799</v>
      </c>
      <c r="I810" s="122">
        <f t="shared" si="24"/>
        <v>39.950000000000003</v>
      </c>
    </row>
    <row r="811" spans="1:9" x14ac:dyDescent="0.35">
      <c r="A811" s="117">
        <v>45707</v>
      </c>
      <c r="B811" s="118" t="s">
        <v>313</v>
      </c>
      <c r="C811" s="118" t="s">
        <v>319</v>
      </c>
      <c r="D811" s="118" t="s">
        <v>390</v>
      </c>
      <c r="E811" s="118" t="s">
        <v>339</v>
      </c>
      <c r="F811" s="119">
        <v>16</v>
      </c>
      <c r="G811" s="120">
        <v>13</v>
      </c>
      <c r="H811" s="121">
        <f t="shared" si="25"/>
        <v>224</v>
      </c>
      <c r="I811" s="122">
        <f t="shared" si="24"/>
        <v>11.200000000000001</v>
      </c>
    </row>
    <row r="812" spans="1:9" x14ac:dyDescent="0.35">
      <c r="A812" s="117">
        <v>45707</v>
      </c>
      <c r="B812" s="118" t="s">
        <v>422</v>
      </c>
      <c r="C812" s="118" t="s">
        <v>332</v>
      </c>
      <c r="D812" s="118" t="s">
        <v>338</v>
      </c>
      <c r="E812" s="118" t="s">
        <v>329</v>
      </c>
      <c r="F812" s="119">
        <v>10</v>
      </c>
      <c r="G812" s="120">
        <v>24</v>
      </c>
      <c r="H812" s="121">
        <f t="shared" si="25"/>
        <v>280</v>
      </c>
      <c r="I812" s="122">
        <f t="shared" si="24"/>
        <v>16.8</v>
      </c>
    </row>
    <row r="813" spans="1:9" x14ac:dyDescent="0.35">
      <c r="A813" s="117">
        <v>45707</v>
      </c>
      <c r="B813" s="118" t="s">
        <v>318</v>
      </c>
      <c r="C813" s="118" t="s">
        <v>332</v>
      </c>
      <c r="D813" s="118" t="s">
        <v>324</v>
      </c>
      <c r="E813" s="118" t="s">
        <v>416</v>
      </c>
      <c r="F813" s="119">
        <v>40</v>
      </c>
      <c r="G813" s="120">
        <v>4</v>
      </c>
      <c r="H813" s="121">
        <f t="shared" si="25"/>
        <v>320</v>
      </c>
      <c r="I813" s="122">
        <f t="shared" si="24"/>
        <v>16</v>
      </c>
    </row>
    <row r="814" spans="1:9" x14ac:dyDescent="0.35">
      <c r="A814" s="117">
        <v>45708</v>
      </c>
      <c r="B814" s="118" t="s">
        <v>318</v>
      </c>
      <c r="C814" s="118" t="s">
        <v>332</v>
      </c>
      <c r="D814" s="118" t="s">
        <v>320</v>
      </c>
      <c r="E814" s="118" t="s">
        <v>400</v>
      </c>
      <c r="F814" s="119">
        <v>18</v>
      </c>
      <c r="G814" s="120">
        <v>4</v>
      </c>
      <c r="H814" s="121">
        <f t="shared" si="25"/>
        <v>144</v>
      </c>
      <c r="I814" s="122">
        <f t="shared" si="24"/>
        <v>8.64</v>
      </c>
    </row>
    <row r="815" spans="1:9" x14ac:dyDescent="0.35">
      <c r="A815" s="117">
        <v>45708</v>
      </c>
      <c r="B815" s="118" t="s">
        <v>327</v>
      </c>
      <c r="C815" s="118" t="s">
        <v>393</v>
      </c>
      <c r="D815" s="118" t="s">
        <v>390</v>
      </c>
      <c r="E815" s="118" t="s">
        <v>346</v>
      </c>
      <c r="F815" s="119">
        <v>6</v>
      </c>
      <c r="G815" s="120">
        <v>6</v>
      </c>
      <c r="H815" s="121">
        <f t="shared" si="25"/>
        <v>48</v>
      </c>
      <c r="I815" s="122">
        <f t="shared" si="24"/>
        <v>2.4000000000000004</v>
      </c>
    </row>
    <row r="816" spans="1:9" x14ac:dyDescent="0.35">
      <c r="A816" s="117">
        <v>45708</v>
      </c>
      <c r="B816" s="118" t="s">
        <v>327</v>
      </c>
      <c r="C816" s="118" t="s">
        <v>319</v>
      </c>
      <c r="D816" s="118" t="s">
        <v>324</v>
      </c>
      <c r="E816" s="118" t="s">
        <v>405</v>
      </c>
      <c r="F816" s="119">
        <v>34</v>
      </c>
      <c r="G816" s="120">
        <v>6</v>
      </c>
      <c r="H816" s="121">
        <f t="shared" si="25"/>
        <v>238</v>
      </c>
      <c r="I816" s="122">
        <f t="shared" si="24"/>
        <v>11.9</v>
      </c>
    </row>
    <row r="817" spans="1:9" x14ac:dyDescent="0.35">
      <c r="A817" s="117">
        <v>45708</v>
      </c>
      <c r="B817" s="118" t="s">
        <v>422</v>
      </c>
      <c r="C817" s="118" t="s">
        <v>319</v>
      </c>
      <c r="D817" s="118" t="s">
        <v>320</v>
      </c>
      <c r="E817" s="118" t="s">
        <v>335</v>
      </c>
      <c r="F817" s="119">
        <v>47</v>
      </c>
      <c r="G817" s="120">
        <v>24</v>
      </c>
      <c r="H817" s="121">
        <f t="shared" si="25"/>
        <v>1175</v>
      </c>
      <c r="I817" s="122">
        <f t="shared" si="24"/>
        <v>70.5</v>
      </c>
    </row>
    <row r="818" spans="1:9" x14ac:dyDescent="0.35">
      <c r="A818" s="117">
        <v>45709</v>
      </c>
      <c r="B818" s="118" t="s">
        <v>327</v>
      </c>
      <c r="C818" s="118" t="s">
        <v>393</v>
      </c>
      <c r="D818" s="118" t="s">
        <v>320</v>
      </c>
      <c r="E818" s="118" t="s">
        <v>406</v>
      </c>
      <c r="F818" s="119">
        <v>22</v>
      </c>
      <c r="G818" s="120">
        <v>6</v>
      </c>
      <c r="H818" s="121">
        <f t="shared" si="25"/>
        <v>176</v>
      </c>
      <c r="I818" s="122">
        <f t="shared" si="24"/>
        <v>10.559999999999999</v>
      </c>
    </row>
    <row r="819" spans="1:9" x14ac:dyDescent="0.35">
      <c r="A819" s="117">
        <v>45709</v>
      </c>
      <c r="B819" s="118" t="s">
        <v>318</v>
      </c>
      <c r="C819" s="118" t="s">
        <v>393</v>
      </c>
      <c r="D819" s="118" t="s">
        <v>333</v>
      </c>
      <c r="E819" s="118" t="s">
        <v>400</v>
      </c>
      <c r="F819" s="119">
        <v>10</v>
      </c>
      <c r="G819" s="120">
        <v>4</v>
      </c>
      <c r="H819" s="121">
        <f t="shared" si="25"/>
        <v>60</v>
      </c>
      <c r="I819" s="122">
        <f t="shared" si="24"/>
        <v>3</v>
      </c>
    </row>
    <row r="820" spans="1:9" x14ac:dyDescent="0.35">
      <c r="A820" s="117">
        <v>45709</v>
      </c>
      <c r="B820" s="118" t="s">
        <v>327</v>
      </c>
      <c r="C820" s="118" t="s">
        <v>332</v>
      </c>
      <c r="D820" s="118" t="s">
        <v>320</v>
      </c>
      <c r="E820" s="118" t="s">
        <v>329</v>
      </c>
      <c r="F820" s="119">
        <v>26</v>
      </c>
      <c r="G820" s="120">
        <v>6</v>
      </c>
      <c r="H820" s="121">
        <f t="shared" si="25"/>
        <v>260</v>
      </c>
      <c r="I820" s="122">
        <f t="shared" si="24"/>
        <v>15.6</v>
      </c>
    </row>
    <row r="821" spans="1:9" x14ac:dyDescent="0.35">
      <c r="A821" s="117">
        <v>45709</v>
      </c>
      <c r="B821" s="118" t="s">
        <v>327</v>
      </c>
      <c r="C821" s="118" t="s">
        <v>314</v>
      </c>
      <c r="D821" s="118" t="s">
        <v>338</v>
      </c>
      <c r="E821" s="118" t="s">
        <v>343</v>
      </c>
      <c r="F821" s="119">
        <v>56</v>
      </c>
      <c r="G821" s="120">
        <v>6</v>
      </c>
      <c r="H821" s="121">
        <f t="shared" si="25"/>
        <v>504</v>
      </c>
      <c r="I821" s="122">
        <f t="shared" si="24"/>
        <v>30.24</v>
      </c>
    </row>
    <row r="822" spans="1:9" x14ac:dyDescent="0.35">
      <c r="A822" s="117">
        <v>45709</v>
      </c>
      <c r="B822" s="118" t="s">
        <v>327</v>
      </c>
      <c r="C822" s="118" t="s">
        <v>332</v>
      </c>
      <c r="D822" s="118" t="s">
        <v>315</v>
      </c>
      <c r="E822" s="118" t="s">
        <v>350</v>
      </c>
      <c r="F822" s="119">
        <v>43</v>
      </c>
      <c r="G822" s="120">
        <v>6</v>
      </c>
      <c r="H822" s="121">
        <f t="shared" si="25"/>
        <v>430</v>
      </c>
      <c r="I822" s="122">
        <f t="shared" si="24"/>
        <v>21.5</v>
      </c>
    </row>
    <row r="823" spans="1:9" x14ac:dyDescent="0.35">
      <c r="A823" s="117">
        <v>45709</v>
      </c>
      <c r="B823" s="118" t="s">
        <v>422</v>
      </c>
      <c r="C823" s="118" t="s">
        <v>393</v>
      </c>
      <c r="D823" s="118" t="s">
        <v>315</v>
      </c>
      <c r="E823" s="118" t="s">
        <v>350</v>
      </c>
      <c r="F823" s="119">
        <v>6</v>
      </c>
      <c r="G823" s="120">
        <v>24</v>
      </c>
      <c r="H823" s="121">
        <f t="shared" si="25"/>
        <v>156</v>
      </c>
      <c r="I823" s="122">
        <f t="shared" si="24"/>
        <v>7.8000000000000007</v>
      </c>
    </row>
    <row r="824" spans="1:9" x14ac:dyDescent="0.35">
      <c r="A824" s="117">
        <v>45710</v>
      </c>
      <c r="B824" s="118" t="s">
        <v>327</v>
      </c>
      <c r="C824" s="118" t="s">
        <v>393</v>
      </c>
      <c r="D824" s="118" t="s">
        <v>324</v>
      </c>
      <c r="E824" s="118" t="s">
        <v>395</v>
      </c>
      <c r="F824" s="119">
        <v>51</v>
      </c>
      <c r="G824" s="120">
        <v>6</v>
      </c>
      <c r="H824" s="121">
        <f t="shared" si="25"/>
        <v>408</v>
      </c>
      <c r="I824" s="122">
        <f t="shared" si="24"/>
        <v>20.400000000000002</v>
      </c>
    </row>
    <row r="825" spans="1:9" x14ac:dyDescent="0.35">
      <c r="A825" s="117">
        <v>45710</v>
      </c>
      <c r="B825" s="118" t="s">
        <v>322</v>
      </c>
      <c r="C825" s="118" t="s">
        <v>314</v>
      </c>
      <c r="D825" s="118" t="s">
        <v>315</v>
      </c>
      <c r="E825" s="118" t="s">
        <v>347</v>
      </c>
      <c r="F825" s="119">
        <v>64</v>
      </c>
      <c r="G825" s="120">
        <v>17</v>
      </c>
      <c r="H825" s="121">
        <f t="shared" si="25"/>
        <v>1280</v>
      </c>
      <c r="I825" s="122">
        <f t="shared" si="24"/>
        <v>64</v>
      </c>
    </row>
    <row r="826" spans="1:9" x14ac:dyDescent="0.35">
      <c r="A826" s="117">
        <v>45710</v>
      </c>
      <c r="B826" s="118" t="s">
        <v>422</v>
      </c>
      <c r="C826" s="118" t="s">
        <v>393</v>
      </c>
      <c r="D826" s="118" t="s">
        <v>320</v>
      </c>
      <c r="E826" s="118" t="s">
        <v>454</v>
      </c>
      <c r="F826" s="119">
        <v>34</v>
      </c>
      <c r="G826" s="120">
        <v>24</v>
      </c>
      <c r="H826" s="121">
        <f t="shared" si="25"/>
        <v>884</v>
      </c>
      <c r="I826" s="122">
        <f t="shared" si="24"/>
        <v>53.04</v>
      </c>
    </row>
    <row r="827" spans="1:9" x14ac:dyDescent="0.35">
      <c r="A827" s="117">
        <v>45710</v>
      </c>
      <c r="B827" s="118" t="s">
        <v>327</v>
      </c>
      <c r="C827" s="118" t="s">
        <v>393</v>
      </c>
      <c r="D827" s="118" t="s">
        <v>333</v>
      </c>
      <c r="E827" s="118" t="s">
        <v>405</v>
      </c>
      <c r="F827" s="119">
        <v>40</v>
      </c>
      <c r="G827" s="120">
        <v>6</v>
      </c>
      <c r="H827" s="121">
        <f t="shared" si="25"/>
        <v>320</v>
      </c>
      <c r="I827" s="122">
        <f t="shared" si="24"/>
        <v>16</v>
      </c>
    </row>
    <row r="828" spans="1:9" x14ac:dyDescent="0.35">
      <c r="A828" s="117">
        <v>45711</v>
      </c>
      <c r="B828" s="118" t="s">
        <v>313</v>
      </c>
      <c r="C828" s="118" t="s">
        <v>393</v>
      </c>
      <c r="D828" s="118" t="s">
        <v>324</v>
      </c>
      <c r="E828" s="118" t="s">
        <v>341</v>
      </c>
      <c r="F828" s="119">
        <v>23</v>
      </c>
      <c r="G828" s="120">
        <v>13</v>
      </c>
      <c r="H828" s="121">
        <f t="shared" si="25"/>
        <v>345</v>
      </c>
      <c r="I828" s="122">
        <f t="shared" si="24"/>
        <v>17.25</v>
      </c>
    </row>
    <row r="829" spans="1:9" x14ac:dyDescent="0.35">
      <c r="A829" s="117">
        <v>45711</v>
      </c>
      <c r="B829" s="118" t="s">
        <v>327</v>
      </c>
      <c r="C829" s="118" t="s">
        <v>314</v>
      </c>
      <c r="D829" s="118" t="s">
        <v>423</v>
      </c>
      <c r="E829" s="118" t="s">
        <v>340</v>
      </c>
      <c r="F829" s="119">
        <v>38</v>
      </c>
      <c r="G829" s="120">
        <v>6</v>
      </c>
      <c r="H829" s="121">
        <f t="shared" si="25"/>
        <v>342</v>
      </c>
      <c r="I829" s="122">
        <f t="shared" si="24"/>
        <v>20.52</v>
      </c>
    </row>
    <row r="830" spans="1:9" x14ac:dyDescent="0.35">
      <c r="A830" s="117">
        <v>45712</v>
      </c>
      <c r="B830" s="118" t="s">
        <v>313</v>
      </c>
      <c r="C830" s="118" t="s">
        <v>314</v>
      </c>
      <c r="D830" s="118" t="s">
        <v>315</v>
      </c>
      <c r="E830" s="118" t="s">
        <v>341</v>
      </c>
      <c r="F830" s="119">
        <v>54</v>
      </c>
      <c r="G830" s="120">
        <v>13</v>
      </c>
      <c r="H830" s="121">
        <f t="shared" si="25"/>
        <v>864</v>
      </c>
      <c r="I830" s="122">
        <f t="shared" si="24"/>
        <v>43.2</v>
      </c>
    </row>
    <row r="831" spans="1:9" x14ac:dyDescent="0.35">
      <c r="A831" s="117">
        <v>45712</v>
      </c>
      <c r="B831" s="118" t="s">
        <v>327</v>
      </c>
      <c r="C831" s="118" t="s">
        <v>319</v>
      </c>
      <c r="D831" s="118" t="s">
        <v>338</v>
      </c>
      <c r="E831" s="118" t="s">
        <v>394</v>
      </c>
      <c r="F831" s="119">
        <v>40</v>
      </c>
      <c r="G831" s="120">
        <v>6</v>
      </c>
      <c r="H831" s="121">
        <f t="shared" si="25"/>
        <v>280</v>
      </c>
      <c r="I831" s="122">
        <f t="shared" si="24"/>
        <v>16.8</v>
      </c>
    </row>
    <row r="832" spans="1:9" x14ac:dyDescent="0.35">
      <c r="A832" s="117">
        <v>45713</v>
      </c>
      <c r="B832" s="118" t="s">
        <v>318</v>
      </c>
      <c r="C832" s="118" t="s">
        <v>332</v>
      </c>
      <c r="D832" s="118" t="s">
        <v>320</v>
      </c>
      <c r="E832" s="118" t="s">
        <v>406</v>
      </c>
      <c r="F832" s="119">
        <v>48</v>
      </c>
      <c r="G832" s="120">
        <v>4</v>
      </c>
      <c r="H832" s="121">
        <f t="shared" si="25"/>
        <v>384</v>
      </c>
      <c r="I832" s="122">
        <f t="shared" si="24"/>
        <v>23.04</v>
      </c>
    </row>
    <row r="833" spans="1:9" x14ac:dyDescent="0.35">
      <c r="A833" s="117">
        <v>45713</v>
      </c>
      <c r="B833" s="118" t="s">
        <v>422</v>
      </c>
      <c r="C833" s="118" t="s">
        <v>393</v>
      </c>
      <c r="D833" s="118" t="s">
        <v>320</v>
      </c>
      <c r="E833" s="118" t="s">
        <v>340</v>
      </c>
      <c r="F833" s="119">
        <v>6</v>
      </c>
      <c r="G833" s="120">
        <v>24</v>
      </c>
      <c r="H833" s="121">
        <f t="shared" si="25"/>
        <v>156</v>
      </c>
      <c r="I833" s="122">
        <f t="shared" si="24"/>
        <v>9.36</v>
      </c>
    </row>
    <row r="834" spans="1:9" x14ac:dyDescent="0.35">
      <c r="A834" s="117">
        <v>45713</v>
      </c>
      <c r="B834" s="118" t="s">
        <v>322</v>
      </c>
      <c r="C834" s="118" t="s">
        <v>332</v>
      </c>
      <c r="D834" s="118" t="s">
        <v>315</v>
      </c>
      <c r="E834" s="118" t="s">
        <v>343</v>
      </c>
      <c r="F834" s="119">
        <v>17</v>
      </c>
      <c r="G834" s="120">
        <v>17</v>
      </c>
      <c r="H834" s="121">
        <f t="shared" si="25"/>
        <v>357</v>
      </c>
      <c r="I834" s="122">
        <f t="shared" ref="I834:I897" si="26">H834*VLOOKUP(D834,$O$4:$P$10,2,TRUE)</f>
        <v>17.850000000000001</v>
      </c>
    </row>
    <row r="835" spans="1:9" x14ac:dyDescent="0.35">
      <c r="A835" s="117">
        <v>45714</v>
      </c>
      <c r="B835" s="118" t="s">
        <v>318</v>
      </c>
      <c r="C835" s="118" t="s">
        <v>314</v>
      </c>
      <c r="D835" s="118" t="s">
        <v>324</v>
      </c>
      <c r="E835" s="118" t="s">
        <v>348</v>
      </c>
      <c r="F835" s="119">
        <v>27</v>
      </c>
      <c r="G835" s="120">
        <v>4</v>
      </c>
      <c r="H835" s="121">
        <f t="shared" ref="H835:H898" si="27">(F835*G835)+VLOOKUP(C835,$K$11:$L$14,2,FALSE)*F835</f>
        <v>189</v>
      </c>
      <c r="I835" s="122">
        <f t="shared" si="26"/>
        <v>9.4500000000000011</v>
      </c>
    </row>
    <row r="836" spans="1:9" x14ac:dyDescent="0.35">
      <c r="A836" s="117">
        <v>45714</v>
      </c>
      <c r="B836" s="118" t="s">
        <v>318</v>
      </c>
      <c r="C836" s="118" t="s">
        <v>319</v>
      </c>
      <c r="D836" s="118" t="s">
        <v>320</v>
      </c>
      <c r="E836" s="118" t="s">
        <v>347</v>
      </c>
      <c r="F836" s="119">
        <v>51</v>
      </c>
      <c r="G836" s="120">
        <v>4</v>
      </c>
      <c r="H836" s="121">
        <f t="shared" si="27"/>
        <v>255</v>
      </c>
      <c r="I836" s="122">
        <f t="shared" si="26"/>
        <v>15.299999999999999</v>
      </c>
    </row>
    <row r="837" spans="1:9" x14ac:dyDescent="0.35">
      <c r="A837" s="117">
        <v>45715</v>
      </c>
      <c r="B837" s="118" t="s">
        <v>322</v>
      </c>
      <c r="C837" s="118" t="s">
        <v>332</v>
      </c>
      <c r="D837" s="118" t="s">
        <v>315</v>
      </c>
      <c r="E837" s="118" t="s">
        <v>348</v>
      </c>
      <c r="F837" s="119">
        <v>25</v>
      </c>
      <c r="G837" s="120">
        <v>17</v>
      </c>
      <c r="H837" s="121">
        <f t="shared" si="27"/>
        <v>525</v>
      </c>
      <c r="I837" s="122">
        <f t="shared" si="26"/>
        <v>26.25</v>
      </c>
    </row>
    <row r="838" spans="1:9" x14ac:dyDescent="0.35">
      <c r="A838" s="117">
        <v>45715</v>
      </c>
      <c r="B838" s="118" t="s">
        <v>327</v>
      </c>
      <c r="C838" s="118" t="s">
        <v>332</v>
      </c>
      <c r="D838" s="118" t="s">
        <v>315</v>
      </c>
      <c r="E838" s="118" t="s">
        <v>340</v>
      </c>
      <c r="F838" s="119">
        <v>56</v>
      </c>
      <c r="G838" s="120">
        <v>6</v>
      </c>
      <c r="H838" s="121">
        <f t="shared" si="27"/>
        <v>560</v>
      </c>
      <c r="I838" s="122">
        <f t="shared" si="26"/>
        <v>28</v>
      </c>
    </row>
    <row r="839" spans="1:9" x14ac:dyDescent="0.35">
      <c r="A839" s="117">
        <v>45715</v>
      </c>
      <c r="B839" s="118" t="s">
        <v>313</v>
      </c>
      <c r="C839" s="118" t="s">
        <v>314</v>
      </c>
      <c r="D839" s="118" t="s">
        <v>390</v>
      </c>
      <c r="E839" s="118" t="s">
        <v>340</v>
      </c>
      <c r="F839" s="119">
        <v>50</v>
      </c>
      <c r="G839" s="120">
        <v>13</v>
      </c>
      <c r="H839" s="121">
        <f t="shared" si="27"/>
        <v>800</v>
      </c>
      <c r="I839" s="122">
        <f t="shared" si="26"/>
        <v>40</v>
      </c>
    </row>
    <row r="840" spans="1:9" x14ac:dyDescent="0.35">
      <c r="A840" s="117">
        <v>45715</v>
      </c>
      <c r="B840" s="118" t="s">
        <v>327</v>
      </c>
      <c r="C840" s="118" t="s">
        <v>393</v>
      </c>
      <c r="D840" s="118" t="s">
        <v>390</v>
      </c>
      <c r="E840" s="118" t="s">
        <v>339</v>
      </c>
      <c r="F840" s="119">
        <v>21</v>
      </c>
      <c r="G840" s="120">
        <v>6</v>
      </c>
      <c r="H840" s="121">
        <f t="shared" si="27"/>
        <v>168</v>
      </c>
      <c r="I840" s="122">
        <f t="shared" si="26"/>
        <v>8.4</v>
      </c>
    </row>
    <row r="841" spans="1:9" x14ac:dyDescent="0.35">
      <c r="A841" s="117">
        <v>45715</v>
      </c>
      <c r="B841" s="118" t="s">
        <v>318</v>
      </c>
      <c r="C841" s="118" t="s">
        <v>332</v>
      </c>
      <c r="D841" s="118" t="s">
        <v>390</v>
      </c>
      <c r="E841" s="118" t="s">
        <v>339</v>
      </c>
      <c r="F841" s="119">
        <v>17</v>
      </c>
      <c r="G841" s="120">
        <v>4</v>
      </c>
      <c r="H841" s="121">
        <f t="shared" si="27"/>
        <v>136</v>
      </c>
      <c r="I841" s="122">
        <f t="shared" si="26"/>
        <v>6.8000000000000007</v>
      </c>
    </row>
    <row r="842" spans="1:9" x14ac:dyDescent="0.35">
      <c r="A842" s="117">
        <v>45715</v>
      </c>
      <c r="B842" s="118" t="s">
        <v>313</v>
      </c>
      <c r="C842" s="118" t="s">
        <v>319</v>
      </c>
      <c r="D842" s="118" t="s">
        <v>320</v>
      </c>
      <c r="E842" s="118" t="s">
        <v>343</v>
      </c>
      <c r="F842" s="119">
        <v>23</v>
      </c>
      <c r="G842" s="120">
        <v>13</v>
      </c>
      <c r="H842" s="121">
        <f t="shared" si="27"/>
        <v>322</v>
      </c>
      <c r="I842" s="122">
        <f t="shared" si="26"/>
        <v>19.32</v>
      </c>
    </row>
    <row r="843" spans="1:9" x14ac:dyDescent="0.35">
      <c r="A843" s="117">
        <v>45716</v>
      </c>
      <c r="B843" s="118" t="s">
        <v>313</v>
      </c>
      <c r="C843" s="118" t="s">
        <v>332</v>
      </c>
      <c r="D843" s="118" t="s">
        <v>324</v>
      </c>
      <c r="E843" s="118" t="s">
        <v>339</v>
      </c>
      <c r="F843" s="119">
        <v>15</v>
      </c>
      <c r="G843" s="120">
        <v>13</v>
      </c>
      <c r="H843" s="121">
        <f t="shared" si="27"/>
        <v>255</v>
      </c>
      <c r="I843" s="122">
        <f t="shared" si="26"/>
        <v>12.75</v>
      </c>
    </row>
    <row r="844" spans="1:9" x14ac:dyDescent="0.35">
      <c r="A844" s="117">
        <v>45716</v>
      </c>
      <c r="B844" s="118" t="s">
        <v>422</v>
      </c>
      <c r="C844" s="118" t="s">
        <v>393</v>
      </c>
      <c r="D844" s="118" t="s">
        <v>423</v>
      </c>
      <c r="E844" s="118" t="s">
        <v>405</v>
      </c>
      <c r="F844" s="119">
        <v>21</v>
      </c>
      <c r="G844" s="120">
        <v>24</v>
      </c>
      <c r="H844" s="121">
        <f t="shared" si="27"/>
        <v>546</v>
      </c>
      <c r="I844" s="122">
        <f t="shared" si="26"/>
        <v>32.76</v>
      </c>
    </row>
    <row r="845" spans="1:9" x14ac:dyDescent="0.35">
      <c r="A845" s="117">
        <v>45716</v>
      </c>
      <c r="B845" s="118" t="s">
        <v>313</v>
      </c>
      <c r="C845" s="118" t="s">
        <v>314</v>
      </c>
      <c r="D845" s="118" t="s">
        <v>423</v>
      </c>
      <c r="E845" s="118" t="s">
        <v>335</v>
      </c>
      <c r="F845" s="119">
        <v>56</v>
      </c>
      <c r="G845" s="120">
        <v>13</v>
      </c>
      <c r="H845" s="121">
        <f t="shared" si="27"/>
        <v>896</v>
      </c>
      <c r="I845" s="122">
        <f t="shared" si="26"/>
        <v>53.76</v>
      </c>
    </row>
    <row r="846" spans="1:9" x14ac:dyDescent="0.35">
      <c r="A846" s="117">
        <v>45717</v>
      </c>
      <c r="B846" s="118" t="s">
        <v>422</v>
      </c>
      <c r="C846" s="118" t="s">
        <v>314</v>
      </c>
      <c r="D846" s="118" t="s">
        <v>315</v>
      </c>
      <c r="E846" s="118" t="s">
        <v>342</v>
      </c>
      <c r="F846" s="119">
        <v>50</v>
      </c>
      <c r="G846" s="120">
        <v>24</v>
      </c>
      <c r="H846" s="121">
        <f t="shared" si="27"/>
        <v>1350</v>
      </c>
      <c r="I846" s="122">
        <f t="shared" si="26"/>
        <v>67.5</v>
      </c>
    </row>
    <row r="847" spans="1:9" x14ac:dyDescent="0.35">
      <c r="A847" s="117">
        <v>45717</v>
      </c>
      <c r="B847" s="118" t="s">
        <v>422</v>
      </c>
      <c r="C847" s="118" t="s">
        <v>319</v>
      </c>
      <c r="D847" s="118" t="s">
        <v>320</v>
      </c>
      <c r="E847" s="118" t="s">
        <v>454</v>
      </c>
      <c r="F847" s="119">
        <v>26</v>
      </c>
      <c r="G847" s="120">
        <v>24</v>
      </c>
      <c r="H847" s="121">
        <f t="shared" si="27"/>
        <v>650</v>
      </c>
      <c r="I847" s="122">
        <f t="shared" si="26"/>
        <v>39</v>
      </c>
    </row>
    <row r="848" spans="1:9" x14ac:dyDescent="0.35">
      <c r="A848" s="117">
        <v>45718</v>
      </c>
      <c r="B848" s="118" t="s">
        <v>318</v>
      </c>
      <c r="C848" s="118" t="s">
        <v>332</v>
      </c>
      <c r="D848" s="118" t="s">
        <v>338</v>
      </c>
      <c r="E848" s="118" t="s">
        <v>344</v>
      </c>
      <c r="F848" s="119">
        <v>30</v>
      </c>
      <c r="G848" s="120">
        <v>4</v>
      </c>
      <c r="H848" s="121">
        <f t="shared" si="27"/>
        <v>240</v>
      </c>
      <c r="I848" s="122">
        <f t="shared" si="26"/>
        <v>14.399999999999999</v>
      </c>
    </row>
    <row r="849" spans="1:9" x14ac:dyDescent="0.35">
      <c r="A849" s="117">
        <v>45718</v>
      </c>
      <c r="B849" s="118" t="s">
        <v>422</v>
      </c>
      <c r="C849" s="118" t="s">
        <v>332</v>
      </c>
      <c r="D849" s="118" t="s">
        <v>320</v>
      </c>
      <c r="E849" s="118" t="s">
        <v>405</v>
      </c>
      <c r="F849" s="119">
        <v>10</v>
      </c>
      <c r="G849" s="120">
        <v>24</v>
      </c>
      <c r="H849" s="121">
        <f t="shared" si="27"/>
        <v>280</v>
      </c>
      <c r="I849" s="122">
        <f t="shared" si="26"/>
        <v>16.8</v>
      </c>
    </row>
    <row r="850" spans="1:9" x14ac:dyDescent="0.35">
      <c r="A850" s="117">
        <v>45718</v>
      </c>
      <c r="B850" s="118" t="s">
        <v>322</v>
      </c>
      <c r="C850" s="118" t="s">
        <v>332</v>
      </c>
      <c r="D850" s="118" t="s">
        <v>338</v>
      </c>
      <c r="E850" s="118" t="s">
        <v>405</v>
      </c>
      <c r="F850" s="119">
        <v>56</v>
      </c>
      <c r="G850" s="120">
        <v>17</v>
      </c>
      <c r="H850" s="121">
        <f t="shared" si="27"/>
        <v>1176</v>
      </c>
      <c r="I850" s="122">
        <f t="shared" si="26"/>
        <v>70.56</v>
      </c>
    </row>
    <row r="851" spans="1:9" x14ac:dyDescent="0.35">
      <c r="A851" s="117">
        <v>45720</v>
      </c>
      <c r="B851" s="118" t="s">
        <v>322</v>
      </c>
      <c r="C851" s="118" t="s">
        <v>332</v>
      </c>
      <c r="D851" s="118" t="s">
        <v>423</v>
      </c>
      <c r="E851" s="118" t="s">
        <v>340</v>
      </c>
      <c r="F851" s="119">
        <v>44</v>
      </c>
      <c r="G851" s="120">
        <v>17</v>
      </c>
      <c r="H851" s="121">
        <f t="shared" si="27"/>
        <v>924</v>
      </c>
      <c r="I851" s="122">
        <f t="shared" si="26"/>
        <v>55.44</v>
      </c>
    </row>
    <row r="852" spans="1:9" x14ac:dyDescent="0.35">
      <c r="A852" s="117">
        <v>45720</v>
      </c>
      <c r="B852" s="118" t="s">
        <v>313</v>
      </c>
      <c r="C852" s="118" t="s">
        <v>319</v>
      </c>
      <c r="D852" s="118" t="s">
        <v>338</v>
      </c>
      <c r="E852" s="118" t="s">
        <v>395</v>
      </c>
      <c r="F852" s="119">
        <v>55</v>
      </c>
      <c r="G852" s="120">
        <v>13</v>
      </c>
      <c r="H852" s="121">
        <f t="shared" si="27"/>
        <v>770</v>
      </c>
      <c r="I852" s="122">
        <f t="shared" si="26"/>
        <v>46.199999999999996</v>
      </c>
    </row>
    <row r="853" spans="1:9" x14ac:dyDescent="0.35">
      <c r="A853" s="117">
        <v>45721</v>
      </c>
      <c r="B853" s="118" t="s">
        <v>313</v>
      </c>
      <c r="C853" s="118" t="s">
        <v>319</v>
      </c>
      <c r="D853" s="118" t="s">
        <v>423</v>
      </c>
      <c r="E853" s="118" t="s">
        <v>348</v>
      </c>
      <c r="F853" s="119">
        <v>22</v>
      </c>
      <c r="G853" s="120">
        <v>13</v>
      </c>
      <c r="H853" s="121">
        <f t="shared" si="27"/>
        <v>308</v>
      </c>
      <c r="I853" s="122">
        <f t="shared" si="26"/>
        <v>18.48</v>
      </c>
    </row>
    <row r="854" spans="1:9" x14ac:dyDescent="0.35">
      <c r="A854" s="117">
        <v>45722</v>
      </c>
      <c r="B854" s="118" t="s">
        <v>322</v>
      </c>
      <c r="C854" s="118" t="s">
        <v>314</v>
      </c>
      <c r="D854" s="118" t="s">
        <v>324</v>
      </c>
      <c r="E854" s="118" t="s">
        <v>406</v>
      </c>
      <c r="F854" s="119">
        <v>22</v>
      </c>
      <c r="G854" s="120">
        <v>17</v>
      </c>
      <c r="H854" s="121">
        <f t="shared" si="27"/>
        <v>440</v>
      </c>
      <c r="I854" s="122">
        <f t="shared" si="26"/>
        <v>22</v>
      </c>
    </row>
    <row r="855" spans="1:9" x14ac:dyDescent="0.35">
      <c r="A855" s="117">
        <v>45722</v>
      </c>
      <c r="B855" s="118" t="s">
        <v>422</v>
      </c>
      <c r="C855" s="118" t="s">
        <v>314</v>
      </c>
      <c r="D855" s="118" t="s">
        <v>338</v>
      </c>
      <c r="E855" s="118" t="s">
        <v>340</v>
      </c>
      <c r="F855" s="119">
        <v>24</v>
      </c>
      <c r="G855" s="120">
        <v>24</v>
      </c>
      <c r="H855" s="121">
        <f t="shared" si="27"/>
        <v>648</v>
      </c>
      <c r="I855" s="122">
        <f t="shared" si="26"/>
        <v>38.879999999999995</v>
      </c>
    </row>
    <row r="856" spans="1:9" x14ac:dyDescent="0.35">
      <c r="A856" s="117">
        <v>45722</v>
      </c>
      <c r="B856" s="118" t="s">
        <v>318</v>
      </c>
      <c r="C856" s="118" t="s">
        <v>332</v>
      </c>
      <c r="D856" s="118" t="s">
        <v>320</v>
      </c>
      <c r="E856" s="118" t="s">
        <v>394</v>
      </c>
      <c r="F856" s="119">
        <v>40</v>
      </c>
      <c r="G856" s="120">
        <v>4</v>
      </c>
      <c r="H856" s="121">
        <f t="shared" si="27"/>
        <v>320</v>
      </c>
      <c r="I856" s="122">
        <f t="shared" si="26"/>
        <v>19.2</v>
      </c>
    </row>
    <row r="857" spans="1:9" x14ac:dyDescent="0.35">
      <c r="A857" s="117">
        <v>45723</v>
      </c>
      <c r="B857" s="118" t="s">
        <v>327</v>
      </c>
      <c r="C857" s="118" t="s">
        <v>319</v>
      </c>
      <c r="D857" s="118" t="s">
        <v>333</v>
      </c>
      <c r="E857" s="118" t="s">
        <v>349</v>
      </c>
      <c r="F857" s="119">
        <v>51</v>
      </c>
      <c r="G857" s="120">
        <v>6</v>
      </c>
      <c r="H857" s="121">
        <f t="shared" si="27"/>
        <v>357</v>
      </c>
      <c r="I857" s="122">
        <f t="shared" si="26"/>
        <v>17.850000000000001</v>
      </c>
    </row>
    <row r="858" spans="1:9" x14ac:dyDescent="0.35">
      <c r="A858" s="117">
        <v>45723</v>
      </c>
      <c r="B858" s="118" t="s">
        <v>322</v>
      </c>
      <c r="C858" s="118" t="s">
        <v>319</v>
      </c>
      <c r="D858" s="118" t="s">
        <v>423</v>
      </c>
      <c r="E858" s="118" t="s">
        <v>416</v>
      </c>
      <c r="F858" s="119">
        <v>28</v>
      </c>
      <c r="G858" s="120">
        <v>17</v>
      </c>
      <c r="H858" s="121">
        <f t="shared" si="27"/>
        <v>504</v>
      </c>
      <c r="I858" s="122">
        <f t="shared" si="26"/>
        <v>30.24</v>
      </c>
    </row>
    <row r="859" spans="1:9" x14ac:dyDescent="0.35">
      <c r="A859" s="117">
        <v>45723</v>
      </c>
      <c r="B859" s="118" t="s">
        <v>327</v>
      </c>
      <c r="C859" s="118" t="s">
        <v>332</v>
      </c>
      <c r="D859" s="118" t="s">
        <v>324</v>
      </c>
      <c r="E859" s="118" t="s">
        <v>343</v>
      </c>
      <c r="F859" s="119">
        <v>19</v>
      </c>
      <c r="G859" s="120">
        <v>6</v>
      </c>
      <c r="H859" s="121">
        <f t="shared" si="27"/>
        <v>190</v>
      </c>
      <c r="I859" s="122">
        <f t="shared" si="26"/>
        <v>9.5</v>
      </c>
    </row>
    <row r="860" spans="1:9" x14ac:dyDescent="0.35">
      <c r="A860" s="117">
        <v>45724</v>
      </c>
      <c r="B860" s="118" t="s">
        <v>422</v>
      </c>
      <c r="C860" s="118" t="s">
        <v>332</v>
      </c>
      <c r="D860" s="118" t="s">
        <v>320</v>
      </c>
      <c r="E860" s="118" t="s">
        <v>454</v>
      </c>
      <c r="F860" s="119">
        <v>36</v>
      </c>
      <c r="G860" s="120">
        <v>24</v>
      </c>
      <c r="H860" s="121">
        <f t="shared" si="27"/>
        <v>1008</v>
      </c>
      <c r="I860" s="122">
        <f t="shared" si="26"/>
        <v>60.48</v>
      </c>
    </row>
    <row r="861" spans="1:9" x14ac:dyDescent="0.35">
      <c r="A861" s="117">
        <v>45724</v>
      </c>
      <c r="B861" s="118" t="s">
        <v>422</v>
      </c>
      <c r="C861" s="118" t="s">
        <v>393</v>
      </c>
      <c r="D861" s="118" t="s">
        <v>324</v>
      </c>
      <c r="E861" s="118" t="s">
        <v>346</v>
      </c>
      <c r="F861" s="119">
        <v>29</v>
      </c>
      <c r="G861" s="120">
        <v>24</v>
      </c>
      <c r="H861" s="121">
        <f t="shared" si="27"/>
        <v>754</v>
      </c>
      <c r="I861" s="122">
        <f t="shared" si="26"/>
        <v>37.700000000000003</v>
      </c>
    </row>
    <row r="862" spans="1:9" x14ac:dyDescent="0.35">
      <c r="A862" s="117">
        <v>45725</v>
      </c>
      <c r="B862" s="118" t="s">
        <v>322</v>
      </c>
      <c r="C862" s="118" t="s">
        <v>314</v>
      </c>
      <c r="D862" s="118" t="s">
        <v>324</v>
      </c>
      <c r="E862" s="118" t="s">
        <v>342</v>
      </c>
      <c r="F862" s="119">
        <v>61</v>
      </c>
      <c r="G862" s="120">
        <v>17</v>
      </c>
      <c r="H862" s="121">
        <f t="shared" si="27"/>
        <v>1220</v>
      </c>
      <c r="I862" s="122">
        <f t="shared" si="26"/>
        <v>61</v>
      </c>
    </row>
    <row r="863" spans="1:9" x14ac:dyDescent="0.35">
      <c r="A863" s="117">
        <v>45725</v>
      </c>
      <c r="B863" s="118" t="s">
        <v>313</v>
      </c>
      <c r="C863" s="118" t="s">
        <v>314</v>
      </c>
      <c r="D863" s="118" t="s">
        <v>333</v>
      </c>
      <c r="E863" s="118" t="s">
        <v>395</v>
      </c>
      <c r="F863" s="119">
        <v>17</v>
      </c>
      <c r="G863" s="120">
        <v>13</v>
      </c>
      <c r="H863" s="121">
        <f t="shared" si="27"/>
        <v>272</v>
      </c>
      <c r="I863" s="122">
        <f t="shared" si="26"/>
        <v>13.600000000000001</v>
      </c>
    </row>
    <row r="864" spans="1:9" x14ac:dyDescent="0.35">
      <c r="A864" s="117">
        <v>45726</v>
      </c>
      <c r="B864" s="118" t="s">
        <v>313</v>
      </c>
      <c r="C864" s="118" t="s">
        <v>314</v>
      </c>
      <c r="D864" s="118" t="s">
        <v>320</v>
      </c>
      <c r="E864" s="118" t="s">
        <v>341</v>
      </c>
      <c r="F864" s="119">
        <v>61</v>
      </c>
      <c r="G864" s="120">
        <v>13</v>
      </c>
      <c r="H864" s="121">
        <f t="shared" si="27"/>
        <v>976</v>
      </c>
      <c r="I864" s="122">
        <f t="shared" si="26"/>
        <v>58.559999999999995</v>
      </c>
    </row>
    <row r="865" spans="1:9" x14ac:dyDescent="0.35">
      <c r="A865" s="117">
        <v>45726</v>
      </c>
      <c r="B865" s="118" t="s">
        <v>318</v>
      </c>
      <c r="C865" s="118" t="s">
        <v>314</v>
      </c>
      <c r="D865" s="118" t="s">
        <v>333</v>
      </c>
      <c r="E865" s="118" t="s">
        <v>346</v>
      </c>
      <c r="F865" s="119">
        <v>11</v>
      </c>
      <c r="G865" s="120">
        <v>4</v>
      </c>
      <c r="H865" s="121">
        <f t="shared" si="27"/>
        <v>77</v>
      </c>
      <c r="I865" s="122">
        <f t="shared" si="26"/>
        <v>3.85</v>
      </c>
    </row>
    <row r="866" spans="1:9" x14ac:dyDescent="0.35">
      <c r="A866" s="117">
        <v>45726</v>
      </c>
      <c r="B866" s="118" t="s">
        <v>322</v>
      </c>
      <c r="C866" s="118" t="s">
        <v>314</v>
      </c>
      <c r="D866" s="118" t="s">
        <v>333</v>
      </c>
      <c r="E866" s="118" t="s">
        <v>346</v>
      </c>
      <c r="F866" s="119">
        <v>13</v>
      </c>
      <c r="G866" s="120">
        <v>17</v>
      </c>
      <c r="H866" s="121">
        <f t="shared" si="27"/>
        <v>260</v>
      </c>
      <c r="I866" s="122">
        <f t="shared" si="26"/>
        <v>13</v>
      </c>
    </row>
    <row r="867" spans="1:9" x14ac:dyDescent="0.35">
      <c r="A867" s="117">
        <v>45726</v>
      </c>
      <c r="B867" s="118" t="s">
        <v>422</v>
      </c>
      <c r="C867" s="118" t="s">
        <v>393</v>
      </c>
      <c r="D867" s="118" t="s">
        <v>423</v>
      </c>
      <c r="E867" s="118" t="s">
        <v>394</v>
      </c>
      <c r="F867" s="119">
        <v>58</v>
      </c>
      <c r="G867" s="120">
        <v>24</v>
      </c>
      <c r="H867" s="121">
        <f t="shared" si="27"/>
        <v>1508</v>
      </c>
      <c r="I867" s="122">
        <f t="shared" si="26"/>
        <v>90.47999999999999</v>
      </c>
    </row>
    <row r="868" spans="1:9" x14ac:dyDescent="0.35">
      <c r="A868" s="117">
        <v>45726</v>
      </c>
      <c r="B868" s="118" t="s">
        <v>327</v>
      </c>
      <c r="C868" s="118" t="s">
        <v>332</v>
      </c>
      <c r="D868" s="118" t="s">
        <v>423</v>
      </c>
      <c r="E868" s="118" t="s">
        <v>405</v>
      </c>
      <c r="F868" s="119">
        <v>39</v>
      </c>
      <c r="G868" s="120">
        <v>6</v>
      </c>
      <c r="H868" s="121">
        <f t="shared" si="27"/>
        <v>390</v>
      </c>
      <c r="I868" s="122">
        <f t="shared" si="26"/>
        <v>23.4</v>
      </c>
    </row>
    <row r="869" spans="1:9" x14ac:dyDescent="0.35">
      <c r="A869" s="117">
        <v>45727</v>
      </c>
      <c r="B869" s="118" t="s">
        <v>422</v>
      </c>
      <c r="C869" s="118" t="s">
        <v>332</v>
      </c>
      <c r="D869" s="118" t="s">
        <v>315</v>
      </c>
      <c r="E869" s="118" t="s">
        <v>406</v>
      </c>
      <c r="F869" s="119">
        <v>28</v>
      </c>
      <c r="G869" s="120">
        <v>24</v>
      </c>
      <c r="H869" s="121">
        <f t="shared" si="27"/>
        <v>784</v>
      </c>
      <c r="I869" s="122">
        <f t="shared" si="26"/>
        <v>39.200000000000003</v>
      </c>
    </row>
    <row r="870" spans="1:9" x14ac:dyDescent="0.35">
      <c r="A870" s="117">
        <v>45727</v>
      </c>
      <c r="B870" s="118" t="s">
        <v>422</v>
      </c>
      <c r="C870" s="118" t="s">
        <v>393</v>
      </c>
      <c r="D870" s="118" t="s">
        <v>324</v>
      </c>
      <c r="E870" s="118" t="s">
        <v>348</v>
      </c>
      <c r="F870" s="119">
        <v>65</v>
      </c>
      <c r="G870" s="120">
        <v>24</v>
      </c>
      <c r="H870" s="121">
        <f t="shared" si="27"/>
        <v>1690</v>
      </c>
      <c r="I870" s="122">
        <f t="shared" si="26"/>
        <v>84.5</v>
      </c>
    </row>
    <row r="871" spans="1:9" x14ac:dyDescent="0.35">
      <c r="A871" s="117">
        <v>45727</v>
      </c>
      <c r="B871" s="118" t="s">
        <v>422</v>
      </c>
      <c r="C871" s="118" t="s">
        <v>319</v>
      </c>
      <c r="D871" s="118" t="s">
        <v>324</v>
      </c>
      <c r="E871" s="118" t="s">
        <v>395</v>
      </c>
      <c r="F871" s="119">
        <v>50</v>
      </c>
      <c r="G871" s="120">
        <v>24</v>
      </c>
      <c r="H871" s="121">
        <f t="shared" si="27"/>
        <v>1250</v>
      </c>
      <c r="I871" s="122">
        <f t="shared" si="26"/>
        <v>62.5</v>
      </c>
    </row>
    <row r="872" spans="1:9" x14ac:dyDescent="0.35">
      <c r="A872" s="117">
        <v>45727</v>
      </c>
      <c r="B872" s="118" t="s">
        <v>422</v>
      </c>
      <c r="C872" s="118" t="s">
        <v>314</v>
      </c>
      <c r="D872" s="118" t="s">
        <v>324</v>
      </c>
      <c r="E872" s="118" t="s">
        <v>347</v>
      </c>
      <c r="F872" s="119">
        <v>27</v>
      </c>
      <c r="G872" s="120">
        <v>24</v>
      </c>
      <c r="H872" s="121">
        <f t="shared" si="27"/>
        <v>729</v>
      </c>
      <c r="I872" s="122">
        <f t="shared" si="26"/>
        <v>36.450000000000003</v>
      </c>
    </row>
    <row r="873" spans="1:9" x14ac:dyDescent="0.35">
      <c r="A873" s="117">
        <v>45728</v>
      </c>
      <c r="B873" s="118" t="s">
        <v>313</v>
      </c>
      <c r="C873" s="118" t="s">
        <v>393</v>
      </c>
      <c r="D873" s="118" t="s">
        <v>338</v>
      </c>
      <c r="E873" s="118" t="s">
        <v>341</v>
      </c>
      <c r="F873" s="119">
        <v>34</v>
      </c>
      <c r="G873" s="120">
        <v>13</v>
      </c>
      <c r="H873" s="121">
        <f t="shared" si="27"/>
        <v>510</v>
      </c>
      <c r="I873" s="122">
        <f t="shared" si="26"/>
        <v>30.599999999999998</v>
      </c>
    </row>
    <row r="874" spans="1:9" x14ac:dyDescent="0.35">
      <c r="A874" s="117">
        <v>45729</v>
      </c>
      <c r="B874" s="118" t="s">
        <v>313</v>
      </c>
      <c r="C874" s="118" t="s">
        <v>332</v>
      </c>
      <c r="D874" s="118" t="s">
        <v>423</v>
      </c>
      <c r="E874" s="118" t="s">
        <v>406</v>
      </c>
      <c r="F874" s="119">
        <v>22</v>
      </c>
      <c r="G874" s="120">
        <v>13</v>
      </c>
      <c r="H874" s="121">
        <f t="shared" si="27"/>
        <v>374</v>
      </c>
      <c r="I874" s="122">
        <f t="shared" si="26"/>
        <v>22.439999999999998</v>
      </c>
    </row>
    <row r="875" spans="1:9" x14ac:dyDescent="0.35">
      <c r="A875" s="117">
        <v>45729</v>
      </c>
      <c r="B875" s="118" t="s">
        <v>318</v>
      </c>
      <c r="C875" s="118" t="s">
        <v>319</v>
      </c>
      <c r="D875" s="118" t="s">
        <v>333</v>
      </c>
      <c r="E875" s="118" t="s">
        <v>346</v>
      </c>
      <c r="F875" s="119">
        <v>45</v>
      </c>
      <c r="G875" s="120">
        <v>4</v>
      </c>
      <c r="H875" s="121">
        <f t="shared" si="27"/>
        <v>225</v>
      </c>
      <c r="I875" s="122">
        <f t="shared" si="26"/>
        <v>11.25</v>
      </c>
    </row>
    <row r="876" spans="1:9" x14ac:dyDescent="0.35">
      <c r="A876" s="117">
        <v>45729</v>
      </c>
      <c r="B876" s="118" t="s">
        <v>327</v>
      </c>
      <c r="C876" s="118" t="s">
        <v>314</v>
      </c>
      <c r="D876" s="118" t="s">
        <v>320</v>
      </c>
      <c r="E876" s="118" t="s">
        <v>316</v>
      </c>
      <c r="F876" s="119">
        <v>9</v>
      </c>
      <c r="G876" s="120">
        <v>6</v>
      </c>
      <c r="H876" s="121">
        <f t="shared" si="27"/>
        <v>81</v>
      </c>
      <c r="I876" s="122">
        <f t="shared" si="26"/>
        <v>4.8599999999999994</v>
      </c>
    </row>
    <row r="877" spans="1:9" x14ac:dyDescent="0.35">
      <c r="A877" s="117">
        <v>45730</v>
      </c>
      <c r="B877" s="118" t="s">
        <v>318</v>
      </c>
      <c r="C877" s="118" t="s">
        <v>393</v>
      </c>
      <c r="D877" s="118" t="s">
        <v>390</v>
      </c>
      <c r="E877" s="118" t="s">
        <v>340</v>
      </c>
      <c r="F877" s="119">
        <v>45</v>
      </c>
      <c r="G877" s="120">
        <v>4</v>
      </c>
      <c r="H877" s="121">
        <f t="shared" si="27"/>
        <v>270</v>
      </c>
      <c r="I877" s="122">
        <f t="shared" si="26"/>
        <v>13.5</v>
      </c>
    </row>
    <row r="878" spans="1:9" x14ac:dyDescent="0.35">
      <c r="A878" s="117">
        <v>45730</v>
      </c>
      <c r="B878" s="118" t="s">
        <v>327</v>
      </c>
      <c r="C878" s="118" t="s">
        <v>314</v>
      </c>
      <c r="D878" s="118" t="s">
        <v>333</v>
      </c>
      <c r="E878" s="118" t="s">
        <v>454</v>
      </c>
      <c r="F878" s="119">
        <v>50</v>
      </c>
      <c r="G878" s="120">
        <v>6</v>
      </c>
      <c r="H878" s="121">
        <f t="shared" si="27"/>
        <v>450</v>
      </c>
      <c r="I878" s="122">
        <f t="shared" si="26"/>
        <v>22.5</v>
      </c>
    </row>
    <row r="879" spans="1:9" x14ac:dyDescent="0.35">
      <c r="A879" s="117">
        <v>45730</v>
      </c>
      <c r="B879" s="118" t="s">
        <v>327</v>
      </c>
      <c r="C879" s="118" t="s">
        <v>393</v>
      </c>
      <c r="D879" s="118" t="s">
        <v>423</v>
      </c>
      <c r="E879" s="118" t="s">
        <v>331</v>
      </c>
      <c r="F879" s="119">
        <v>18</v>
      </c>
      <c r="G879" s="120">
        <v>6</v>
      </c>
      <c r="H879" s="121">
        <f t="shared" si="27"/>
        <v>144</v>
      </c>
      <c r="I879" s="122">
        <f t="shared" si="26"/>
        <v>8.64</v>
      </c>
    </row>
    <row r="880" spans="1:9" x14ac:dyDescent="0.35">
      <c r="A880" s="117">
        <v>45731</v>
      </c>
      <c r="B880" s="118" t="s">
        <v>327</v>
      </c>
      <c r="C880" s="118" t="s">
        <v>332</v>
      </c>
      <c r="D880" s="118" t="s">
        <v>324</v>
      </c>
      <c r="E880" s="118" t="s">
        <v>339</v>
      </c>
      <c r="F880" s="119">
        <v>40</v>
      </c>
      <c r="G880" s="120">
        <v>6</v>
      </c>
      <c r="H880" s="121">
        <f t="shared" si="27"/>
        <v>400</v>
      </c>
      <c r="I880" s="122">
        <f t="shared" si="26"/>
        <v>20</v>
      </c>
    </row>
    <row r="881" spans="1:9" x14ac:dyDescent="0.35">
      <c r="A881" s="117">
        <v>45731</v>
      </c>
      <c r="B881" s="118" t="s">
        <v>318</v>
      </c>
      <c r="C881" s="118" t="s">
        <v>319</v>
      </c>
      <c r="D881" s="118" t="s">
        <v>324</v>
      </c>
      <c r="E881" s="118" t="s">
        <v>331</v>
      </c>
      <c r="F881" s="119">
        <v>50</v>
      </c>
      <c r="G881" s="120">
        <v>4</v>
      </c>
      <c r="H881" s="121">
        <f t="shared" si="27"/>
        <v>250</v>
      </c>
      <c r="I881" s="122">
        <f t="shared" si="26"/>
        <v>12.5</v>
      </c>
    </row>
    <row r="882" spans="1:9" x14ac:dyDescent="0.35">
      <c r="A882" s="117">
        <v>45732</v>
      </c>
      <c r="B882" s="118" t="s">
        <v>327</v>
      </c>
      <c r="C882" s="118" t="s">
        <v>314</v>
      </c>
      <c r="D882" s="118" t="s">
        <v>333</v>
      </c>
      <c r="E882" s="118" t="s">
        <v>337</v>
      </c>
      <c r="F882" s="119">
        <v>45</v>
      </c>
      <c r="G882" s="120">
        <v>6</v>
      </c>
      <c r="H882" s="121">
        <f t="shared" si="27"/>
        <v>405</v>
      </c>
      <c r="I882" s="122">
        <f t="shared" si="26"/>
        <v>20.25</v>
      </c>
    </row>
    <row r="883" spans="1:9" x14ac:dyDescent="0.35">
      <c r="A883" s="117">
        <v>45732</v>
      </c>
      <c r="B883" s="118" t="s">
        <v>322</v>
      </c>
      <c r="C883" s="118" t="s">
        <v>393</v>
      </c>
      <c r="D883" s="118" t="s">
        <v>324</v>
      </c>
      <c r="E883" s="118" t="s">
        <v>394</v>
      </c>
      <c r="F883" s="119">
        <v>18</v>
      </c>
      <c r="G883" s="120">
        <v>17</v>
      </c>
      <c r="H883" s="121">
        <f t="shared" si="27"/>
        <v>342</v>
      </c>
      <c r="I883" s="122">
        <f t="shared" si="26"/>
        <v>17.100000000000001</v>
      </c>
    </row>
    <row r="884" spans="1:9" x14ac:dyDescent="0.35">
      <c r="A884" s="117">
        <v>45732</v>
      </c>
      <c r="B884" s="118" t="s">
        <v>422</v>
      </c>
      <c r="C884" s="118" t="s">
        <v>314</v>
      </c>
      <c r="D884" s="118" t="s">
        <v>333</v>
      </c>
      <c r="E884" s="118" t="s">
        <v>350</v>
      </c>
      <c r="F884" s="119">
        <v>29</v>
      </c>
      <c r="G884" s="120">
        <v>24</v>
      </c>
      <c r="H884" s="121">
        <f t="shared" si="27"/>
        <v>783</v>
      </c>
      <c r="I884" s="122">
        <f t="shared" si="26"/>
        <v>39.150000000000006</v>
      </c>
    </row>
    <row r="885" spans="1:9" x14ac:dyDescent="0.35">
      <c r="A885" s="117">
        <v>45733</v>
      </c>
      <c r="B885" s="118" t="s">
        <v>327</v>
      </c>
      <c r="C885" s="118" t="s">
        <v>314</v>
      </c>
      <c r="D885" s="118" t="s">
        <v>333</v>
      </c>
      <c r="E885" s="118" t="s">
        <v>455</v>
      </c>
      <c r="F885" s="119">
        <v>60</v>
      </c>
      <c r="G885" s="120">
        <v>6</v>
      </c>
      <c r="H885" s="121">
        <f t="shared" si="27"/>
        <v>540</v>
      </c>
      <c r="I885" s="122">
        <f t="shared" si="26"/>
        <v>27</v>
      </c>
    </row>
    <row r="886" spans="1:9" x14ac:dyDescent="0.35">
      <c r="A886" s="117">
        <v>45733</v>
      </c>
      <c r="B886" s="118" t="s">
        <v>322</v>
      </c>
      <c r="C886" s="118" t="s">
        <v>319</v>
      </c>
      <c r="D886" s="118" t="s">
        <v>324</v>
      </c>
      <c r="E886" s="118" t="s">
        <v>343</v>
      </c>
      <c r="F886" s="119">
        <v>28</v>
      </c>
      <c r="G886" s="120">
        <v>17</v>
      </c>
      <c r="H886" s="121">
        <f t="shared" si="27"/>
        <v>504</v>
      </c>
      <c r="I886" s="122">
        <f t="shared" si="26"/>
        <v>25.200000000000003</v>
      </c>
    </row>
    <row r="887" spans="1:9" x14ac:dyDescent="0.35">
      <c r="A887" s="117">
        <v>45734</v>
      </c>
      <c r="B887" s="118" t="s">
        <v>422</v>
      </c>
      <c r="C887" s="118" t="s">
        <v>393</v>
      </c>
      <c r="D887" s="118" t="s">
        <v>315</v>
      </c>
      <c r="E887" s="118" t="s">
        <v>406</v>
      </c>
      <c r="F887" s="119">
        <v>64</v>
      </c>
      <c r="G887" s="120">
        <v>24</v>
      </c>
      <c r="H887" s="121">
        <f t="shared" si="27"/>
        <v>1664</v>
      </c>
      <c r="I887" s="122">
        <f t="shared" si="26"/>
        <v>83.2</v>
      </c>
    </row>
    <row r="888" spans="1:9" x14ac:dyDescent="0.35">
      <c r="A888" s="117">
        <v>45734</v>
      </c>
      <c r="B888" s="118" t="s">
        <v>313</v>
      </c>
      <c r="C888" s="118" t="s">
        <v>332</v>
      </c>
      <c r="D888" s="118" t="s">
        <v>324</v>
      </c>
      <c r="E888" s="118" t="s">
        <v>340</v>
      </c>
      <c r="F888" s="119">
        <v>24</v>
      </c>
      <c r="G888" s="120">
        <v>13</v>
      </c>
      <c r="H888" s="121">
        <f t="shared" si="27"/>
        <v>408</v>
      </c>
      <c r="I888" s="122">
        <f t="shared" si="26"/>
        <v>20.400000000000002</v>
      </c>
    </row>
    <row r="889" spans="1:9" x14ac:dyDescent="0.35">
      <c r="A889" s="117">
        <v>45734</v>
      </c>
      <c r="B889" s="118" t="s">
        <v>318</v>
      </c>
      <c r="C889" s="118" t="s">
        <v>319</v>
      </c>
      <c r="D889" s="118" t="s">
        <v>423</v>
      </c>
      <c r="E889" s="118" t="s">
        <v>394</v>
      </c>
      <c r="F889" s="119">
        <v>20</v>
      </c>
      <c r="G889" s="120">
        <v>4</v>
      </c>
      <c r="H889" s="121">
        <f t="shared" si="27"/>
        <v>100</v>
      </c>
      <c r="I889" s="122">
        <f t="shared" si="26"/>
        <v>6</v>
      </c>
    </row>
    <row r="890" spans="1:9" x14ac:dyDescent="0.35">
      <c r="A890" s="117">
        <v>45735</v>
      </c>
      <c r="B890" s="118" t="s">
        <v>318</v>
      </c>
      <c r="C890" s="118" t="s">
        <v>314</v>
      </c>
      <c r="D890" s="118" t="s">
        <v>315</v>
      </c>
      <c r="E890" s="118" t="s">
        <v>346</v>
      </c>
      <c r="F890" s="119">
        <v>28</v>
      </c>
      <c r="G890" s="120">
        <v>4</v>
      </c>
      <c r="H890" s="121">
        <f t="shared" si="27"/>
        <v>196</v>
      </c>
      <c r="I890" s="122">
        <f t="shared" si="26"/>
        <v>9.8000000000000007</v>
      </c>
    </row>
    <row r="891" spans="1:9" x14ac:dyDescent="0.35">
      <c r="A891" s="117">
        <v>45736</v>
      </c>
      <c r="B891" s="118" t="s">
        <v>322</v>
      </c>
      <c r="C891" s="118" t="s">
        <v>314</v>
      </c>
      <c r="D891" s="118" t="s">
        <v>338</v>
      </c>
      <c r="E891" s="118" t="s">
        <v>395</v>
      </c>
      <c r="F891" s="119">
        <v>46</v>
      </c>
      <c r="G891" s="120">
        <v>17</v>
      </c>
      <c r="H891" s="121">
        <f t="shared" si="27"/>
        <v>920</v>
      </c>
      <c r="I891" s="122">
        <f t="shared" si="26"/>
        <v>55.199999999999996</v>
      </c>
    </row>
    <row r="892" spans="1:9" x14ac:dyDescent="0.35">
      <c r="A892" s="117">
        <v>45736</v>
      </c>
      <c r="B892" s="118" t="s">
        <v>322</v>
      </c>
      <c r="C892" s="118" t="s">
        <v>314</v>
      </c>
      <c r="D892" s="118" t="s">
        <v>315</v>
      </c>
      <c r="E892" s="118" t="s">
        <v>329</v>
      </c>
      <c r="F892" s="119">
        <v>65</v>
      </c>
      <c r="G892" s="120">
        <v>17</v>
      </c>
      <c r="H892" s="121">
        <f t="shared" si="27"/>
        <v>1300</v>
      </c>
      <c r="I892" s="122">
        <f t="shared" si="26"/>
        <v>65</v>
      </c>
    </row>
    <row r="893" spans="1:9" x14ac:dyDescent="0.35">
      <c r="A893" s="117">
        <v>45737</v>
      </c>
      <c r="B893" s="118" t="s">
        <v>327</v>
      </c>
      <c r="C893" s="118" t="s">
        <v>319</v>
      </c>
      <c r="D893" s="118" t="s">
        <v>324</v>
      </c>
      <c r="E893" s="118" t="s">
        <v>337</v>
      </c>
      <c r="F893" s="119">
        <v>34</v>
      </c>
      <c r="G893" s="120">
        <v>6</v>
      </c>
      <c r="H893" s="121">
        <f t="shared" si="27"/>
        <v>238</v>
      </c>
      <c r="I893" s="122">
        <f t="shared" si="26"/>
        <v>11.9</v>
      </c>
    </row>
    <row r="894" spans="1:9" x14ac:dyDescent="0.35">
      <c r="A894" s="117">
        <v>45737</v>
      </c>
      <c r="B894" s="118" t="s">
        <v>318</v>
      </c>
      <c r="C894" s="118" t="s">
        <v>332</v>
      </c>
      <c r="D894" s="118" t="s">
        <v>315</v>
      </c>
      <c r="E894" s="118" t="s">
        <v>400</v>
      </c>
      <c r="F894" s="119">
        <v>57</v>
      </c>
      <c r="G894" s="120">
        <v>4</v>
      </c>
      <c r="H894" s="121">
        <f t="shared" si="27"/>
        <v>456</v>
      </c>
      <c r="I894" s="122">
        <f t="shared" si="26"/>
        <v>22.8</v>
      </c>
    </row>
    <row r="895" spans="1:9" x14ac:dyDescent="0.35">
      <c r="A895" s="117">
        <v>45737</v>
      </c>
      <c r="B895" s="118" t="s">
        <v>313</v>
      </c>
      <c r="C895" s="118" t="s">
        <v>332</v>
      </c>
      <c r="D895" s="118" t="s">
        <v>423</v>
      </c>
      <c r="E895" s="118" t="s">
        <v>394</v>
      </c>
      <c r="F895" s="119">
        <v>20</v>
      </c>
      <c r="G895" s="120">
        <v>13</v>
      </c>
      <c r="H895" s="121">
        <f t="shared" si="27"/>
        <v>340</v>
      </c>
      <c r="I895" s="122">
        <f t="shared" si="26"/>
        <v>20.399999999999999</v>
      </c>
    </row>
    <row r="896" spans="1:9" x14ac:dyDescent="0.35">
      <c r="A896" s="117">
        <v>45737</v>
      </c>
      <c r="B896" s="118" t="s">
        <v>422</v>
      </c>
      <c r="C896" s="118" t="s">
        <v>332</v>
      </c>
      <c r="D896" s="118" t="s">
        <v>320</v>
      </c>
      <c r="E896" s="118" t="s">
        <v>344</v>
      </c>
      <c r="F896" s="119">
        <v>64</v>
      </c>
      <c r="G896" s="120">
        <v>24</v>
      </c>
      <c r="H896" s="121">
        <f t="shared" si="27"/>
        <v>1792</v>
      </c>
      <c r="I896" s="122">
        <f t="shared" si="26"/>
        <v>107.52</v>
      </c>
    </row>
    <row r="897" spans="1:9" x14ac:dyDescent="0.35">
      <c r="A897" s="117">
        <v>45738</v>
      </c>
      <c r="B897" s="118" t="s">
        <v>422</v>
      </c>
      <c r="C897" s="118" t="s">
        <v>319</v>
      </c>
      <c r="D897" s="118" t="s">
        <v>315</v>
      </c>
      <c r="E897" s="118" t="s">
        <v>341</v>
      </c>
      <c r="F897" s="119">
        <v>36</v>
      </c>
      <c r="G897" s="120">
        <v>24</v>
      </c>
      <c r="H897" s="121">
        <f t="shared" si="27"/>
        <v>900</v>
      </c>
      <c r="I897" s="122">
        <f t="shared" si="26"/>
        <v>45</v>
      </c>
    </row>
    <row r="898" spans="1:9" x14ac:dyDescent="0.35">
      <c r="A898" s="117">
        <v>45738</v>
      </c>
      <c r="B898" s="118" t="s">
        <v>318</v>
      </c>
      <c r="C898" s="118" t="s">
        <v>332</v>
      </c>
      <c r="D898" s="118" t="s">
        <v>338</v>
      </c>
      <c r="E898" s="118" t="s">
        <v>339</v>
      </c>
      <c r="F898" s="119">
        <v>23</v>
      </c>
      <c r="G898" s="120">
        <v>4</v>
      </c>
      <c r="H898" s="121">
        <f t="shared" si="27"/>
        <v>184</v>
      </c>
      <c r="I898" s="122">
        <f t="shared" ref="I898:I961" si="28">H898*VLOOKUP(D898,$O$4:$P$10,2,TRUE)</f>
        <v>11.04</v>
      </c>
    </row>
    <row r="899" spans="1:9" x14ac:dyDescent="0.35">
      <c r="A899" s="117">
        <v>45738</v>
      </c>
      <c r="B899" s="118" t="s">
        <v>318</v>
      </c>
      <c r="C899" s="118" t="s">
        <v>319</v>
      </c>
      <c r="D899" s="118" t="s">
        <v>324</v>
      </c>
      <c r="E899" s="118" t="s">
        <v>346</v>
      </c>
      <c r="F899" s="119">
        <v>33</v>
      </c>
      <c r="G899" s="120">
        <v>4</v>
      </c>
      <c r="H899" s="121">
        <f t="shared" ref="H899:H962" si="29">(F899*G899)+VLOOKUP(C899,$K$11:$L$14,2,FALSE)*F899</f>
        <v>165</v>
      </c>
      <c r="I899" s="122">
        <f t="shared" si="28"/>
        <v>8.25</v>
      </c>
    </row>
    <row r="900" spans="1:9" x14ac:dyDescent="0.35">
      <c r="A900" s="117">
        <v>45738</v>
      </c>
      <c r="B900" s="118" t="s">
        <v>318</v>
      </c>
      <c r="C900" s="118" t="s">
        <v>319</v>
      </c>
      <c r="D900" s="118" t="s">
        <v>390</v>
      </c>
      <c r="E900" s="118" t="s">
        <v>344</v>
      </c>
      <c r="F900" s="119">
        <v>25</v>
      </c>
      <c r="G900" s="120">
        <v>4</v>
      </c>
      <c r="H900" s="121">
        <f t="shared" si="29"/>
        <v>125</v>
      </c>
      <c r="I900" s="122">
        <f t="shared" si="28"/>
        <v>6.25</v>
      </c>
    </row>
    <row r="901" spans="1:9" x14ac:dyDescent="0.35">
      <c r="A901" s="117">
        <v>45738</v>
      </c>
      <c r="B901" s="118" t="s">
        <v>422</v>
      </c>
      <c r="C901" s="118" t="s">
        <v>319</v>
      </c>
      <c r="D901" s="118" t="s">
        <v>320</v>
      </c>
      <c r="E901" s="118" t="s">
        <v>343</v>
      </c>
      <c r="F901" s="119">
        <v>23</v>
      </c>
      <c r="G901" s="120">
        <v>24</v>
      </c>
      <c r="H901" s="121">
        <f t="shared" si="29"/>
        <v>575</v>
      </c>
      <c r="I901" s="122">
        <f t="shared" si="28"/>
        <v>34.5</v>
      </c>
    </row>
    <row r="902" spans="1:9" x14ac:dyDescent="0.35">
      <c r="A902" s="117">
        <v>45738</v>
      </c>
      <c r="B902" s="118" t="s">
        <v>313</v>
      </c>
      <c r="C902" s="118" t="s">
        <v>319</v>
      </c>
      <c r="D902" s="118" t="s">
        <v>324</v>
      </c>
      <c r="E902" s="118" t="s">
        <v>405</v>
      </c>
      <c r="F902" s="119">
        <v>43</v>
      </c>
      <c r="G902" s="120">
        <v>13</v>
      </c>
      <c r="H902" s="121">
        <f t="shared" si="29"/>
        <v>602</v>
      </c>
      <c r="I902" s="122">
        <f t="shared" si="28"/>
        <v>30.1</v>
      </c>
    </row>
    <row r="903" spans="1:9" x14ac:dyDescent="0.35">
      <c r="A903" s="117">
        <v>45739</v>
      </c>
      <c r="B903" s="118" t="s">
        <v>422</v>
      </c>
      <c r="C903" s="118" t="s">
        <v>319</v>
      </c>
      <c r="D903" s="118" t="s">
        <v>333</v>
      </c>
      <c r="E903" s="118" t="s">
        <v>341</v>
      </c>
      <c r="F903" s="119">
        <v>37</v>
      </c>
      <c r="G903" s="120">
        <v>24</v>
      </c>
      <c r="H903" s="121">
        <f t="shared" si="29"/>
        <v>925</v>
      </c>
      <c r="I903" s="122">
        <f t="shared" si="28"/>
        <v>46.25</v>
      </c>
    </row>
    <row r="904" spans="1:9" x14ac:dyDescent="0.35">
      <c r="A904" s="117">
        <v>45739</v>
      </c>
      <c r="B904" s="118" t="s">
        <v>322</v>
      </c>
      <c r="C904" s="118" t="s">
        <v>314</v>
      </c>
      <c r="D904" s="118" t="s">
        <v>315</v>
      </c>
      <c r="E904" s="118" t="s">
        <v>345</v>
      </c>
      <c r="F904" s="119">
        <v>10</v>
      </c>
      <c r="G904" s="120">
        <v>17</v>
      </c>
      <c r="H904" s="121">
        <f t="shared" si="29"/>
        <v>200</v>
      </c>
      <c r="I904" s="122">
        <f t="shared" si="28"/>
        <v>10</v>
      </c>
    </row>
    <row r="905" spans="1:9" x14ac:dyDescent="0.35">
      <c r="A905" s="117">
        <v>45739</v>
      </c>
      <c r="B905" s="118" t="s">
        <v>327</v>
      </c>
      <c r="C905" s="118" t="s">
        <v>319</v>
      </c>
      <c r="D905" s="118" t="s">
        <v>333</v>
      </c>
      <c r="E905" s="118" t="s">
        <v>394</v>
      </c>
      <c r="F905" s="119">
        <v>12</v>
      </c>
      <c r="G905" s="120">
        <v>6</v>
      </c>
      <c r="H905" s="121">
        <f t="shared" si="29"/>
        <v>84</v>
      </c>
      <c r="I905" s="122">
        <f t="shared" si="28"/>
        <v>4.2</v>
      </c>
    </row>
    <row r="906" spans="1:9" x14ac:dyDescent="0.35">
      <c r="A906" s="117">
        <v>45740</v>
      </c>
      <c r="B906" s="118" t="s">
        <v>318</v>
      </c>
      <c r="C906" s="118" t="s">
        <v>332</v>
      </c>
      <c r="D906" s="118" t="s">
        <v>315</v>
      </c>
      <c r="E906" s="118" t="s">
        <v>455</v>
      </c>
      <c r="F906" s="119">
        <v>25</v>
      </c>
      <c r="G906" s="120">
        <v>4</v>
      </c>
      <c r="H906" s="121">
        <f t="shared" si="29"/>
        <v>200</v>
      </c>
      <c r="I906" s="122">
        <f t="shared" si="28"/>
        <v>10</v>
      </c>
    </row>
    <row r="907" spans="1:9" x14ac:dyDescent="0.35">
      <c r="A907" s="117">
        <v>45740</v>
      </c>
      <c r="B907" s="118" t="s">
        <v>313</v>
      </c>
      <c r="C907" s="118" t="s">
        <v>319</v>
      </c>
      <c r="D907" s="118" t="s">
        <v>315</v>
      </c>
      <c r="E907" s="118" t="s">
        <v>455</v>
      </c>
      <c r="F907" s="119">
        <v>19</v>
      </c>
      <c r="G907" s="120">
        <v>13</v>
      </c>
      <c r="H907" s="121">
        <f t="shared" si="29"/>
        <v>266</v>
      </c>
      <c r="I907" s="122">
        <f t="shared" si="28"/>
        <v>13.3</v>
      </c>
    </row>
    <row r="908" spans="1:9" x14ac:dyDescent="0.35">
      <c r="A908" s="117">
        <v>45740</v>
      </c>
      <c r="B908" s="118" t="s">
        <v>322</v>
      </c>
      <c r="C908" s="118" t="s">
        <v>319</v>
      </c>
      <c r="D908" s="118" t="s">
        <v>324</v>
      </c>
      <c r="E908" s="118" t="s">
        <v>340</v>
      </c>
      <c r="F908" s="119">
        <v>18</v>
      </c>
      <c r="G908" s="120">
        <v>17</v>
      </c>
      <c r="H908" s="121">
        <f t="shared" si="29"/>
        <v>324</v>
      </c>
      <c r="I908" s="122">
        <f t="shared" si="28"/>
        <v>16.2</v>
      </c>
    </row>
    <row r="909" spans="1:9" x14ac:dyDescent="0.35">
      <c r="A909" s="117">
        <v>45740</v>
      </c>
      <c r="B909" s="118" t="s">
        <v>327</v>
      </c>
      <c r="C909" s="118" t="s">
        <v>332</v>
      </c>
      <c r="D909" s="118" t="s">
        <v>423</v>
      </c>
      <c r="E909" s="118" t="s">
        <v>395</v>
      </c>
      <c r="F909" s="119">
        <v>45</v>
      </c>
      <c r="G909" s="120">
        <v>6</v>
      </c>
      <c r="H909" s="121">
        <f t="shared" si="29"/>
        <v>450</v>
      </c>
      <c r="I909" s="122">
        <f t="shared" si="28"/>
        <v>27</v>
      </c>
    </row>
    <row r="910" spans="1:9" x14ac:dyDescent="0.35">
      <c r="A910" s="117">
        <v>45741</v>
      </c>
      <c r="B910" s="118" t="s">
        <v>422</v>
      </c>
      <c r="C910" s="118" t="s">
        <v>332</v>
      </c>
      <c r="D910" s="118" t="s">
        <v>423</v>
      </c>
      <c r="E910" s="118" t="s">
        <v>342</v>
      </c>
      <c r="F910" s="119">
        <v>14</v>
      </c>
      <c r="G910" s="120">
        <v>24</v>
      </c>
      <c r="H910" s="121">
        <f t="shared" si="29"/>
        <v>392</v>
      </c>
      <c r="I910" s="122">
        <f t="shared" si="28"/>
        <v>23.52</v>
      </c>
    </row>
    <row r="911" spans="1:9" x14ac:dyDescent="0.35">
      <c r="A911" s="117">
        <v>45741</v>
      </c>
      <c r="B911" s="118" t="s">
        <v>422</v>
      </c>
      <c r="C911" s="118" t="s">
        <v>314</v>
      </c>
      <c r="D911" s="118" t="s">
        <v>423</v>
      </c>
      <c r="E911" s="118" t="s">
        <v>395</v>
      </c>
      <c r="F911" s="119">
        <v>63</v>
      </c>
      <c r="G911" s="120">
        <v>24</v>
      </c>
      <c r="H911" s="121">
        <f t="shared" si="29"/>
        <v>1701</v>
      </c>
      <c r="I911" s="122">
        <f t="shared" si="28"/>
        <v>102.06</v>
      </c>
    </row>
    <row r="912" spans="1:9" x14ac:dyDescent="0.35">
      <c r="A912" s="117">
        <v>45742</v>
      </c>
      <c r="B912" s="118" t="s">
        <v>327</v>
      </c>
      <c r="C912" s="118" t="s">
        <v>393</v>
      </c>
      <c r="D912" s="118" t="s">
        <v>324</v>
      </c>
      <c r="E912" s="118" t="s">
        <v>344</v>
      </c>
      <c r="F912" s="119">
        <v>51</v>
      </c>
      <c r="G912" s="120">
        <v>6</v>
      </c>
      <c r="H912" s="121">
        <f t="shared" si="29"/>
        <v>408</v>
      </c>
      <c r="I912" s="122">
        <f t="shared" si="28"/>
        <v>20.400000000000002</v>
      </c>
    </row>
    <row r="913" spans="1:9" x14ac:dyDescent="0.35">
      <c r="A913" s="117">
        <v>45742</v>
      </c>
      <c r="B913" s="118" t="s">
        <v>327</v>
      </c>
      <c r="C913" s="118" t="s">
        <v>314</v>
      </c>
      <c r="D913" s="118" t="s">
        <v>315</v>
      </c>
      <c r="E913" s="118" t="s">
        <v>350</v>
      </c>
      <c r="F913" s="119">
        <v>43</v>
      </c>
      <c r="G913" s="120">
        <v>6</v>
      </c>
      <c r="H913" s="121">
        <f t="shared" si="29"/>
        <v>387</v>
      </c>
      <c r="I913" s="122">
        <f t="shared" si="28"/>
        <v>19.350000000000001</v>
      </c>
    </row>
    <row r="914" spans="1:9" x14ac:dyDescent="0.35">
      <c r="A914" s="117">
        <v>45744</v>
      </c>
      <c r="B914" s="118" t="s">
        <v>318</v>
      </c>
      <c r="C914" s="118" t="s">
        <v>393</v>
      </c>
      <c r="D914" s="118" t="s">
        <v>333</v>
      </c>
      <c r="E914" s="118" t="s">
        <v>348</v>
      </c>
      <c r="F914" s="119">
        <v>29</v>
      </c>
      <c r="G914" s="120">
        <v>4</v>
      </c>
      <c r="H914" s="121">
        <f t="shared" si="29"/>
        <v>174</v>
      </c>
      <c r="I914" s="122">
        <f t="shared" si="28"/>
        <v>8.7000000000000011</v>
      </c>
    </row>
    <row r="915" spans="1:9" x14ac:dyDescent="0.35">
      <c r="A915" s="117">
        <v>45744</v>
      </c>
      <c r="B915" s="118" t="s">
        <v>422</v>
      </c>
      <c r="C915" s="118" t="s">
        <v>393</v>
      </c>
      <c r="D915" s="118" t="s">
        <v>320</v>
      </c>
      <c r="E915" s="118" t="s">
        <v>349</v>
      </c>
      <c r="F915" s="119">
        <v>60</v>
      </c>
      <c r="G915" s="120">
        <v>24</v>
      </c>
      <c r="H915" s="121">
        <f t="shared" si="29"/>
        <v>1560</v>
      </c>
      <c r="I915" s="122">
        <f t="shared" si="28"/>
        <v>93.6</v>
      </c>
    </row>
    <row r="916" spans="1:9" x14ac:dyDescent="0.35">
      <c r="A916" s="117">
        <v>45745</v>
      </c>
      <c r="B916" s="118" t="s">
        <v>327</v>
      </c>
      <c r="C916" s="118" t="s">
        <v>319</v>
      </c>
      <c r="D916" s="118" t="s">
        <v>320</v>
      </c>
      <c r="E916" s="118" t="s">
        <v>340</v>
      </c>
      <c r="F916" s="119">
        <v>52</v>
      </c>
      <c r="G916" s="120">
        <v>6</v>
      </c>
      <c r="H916" s="121">
        <f t="shared" si="29"/>
        <v>364</v>
      </c>
      <c r="I916" s="122">
        <f t="shared" si="28"/>
        <v>21.84</v>
      </c>
    </row>
    <row r="917" spans="1:9" x14ac:dyDescent="0.35">
      <c r="A917" s="117">
        <v>45745</v>
      </c>
      <c r="B917" s="118" t="s">
        <v>318</v>
      </c>
      <c r="C917" s="118" t="s">
        <v>332</v>
      </c>
      <c r="D917" s="118" t="s">
        <v>338</v>
      </c>
      <c r="E917" s="118" t="s">
        <v>345</v>
      </c>
      <c r="F917" s="119">
        <v>32</v>
      </c>
      <c r="G917" s="120">
        <v>4</v>
      </c>
      <c r="H917" s="121">
        <f t="shared" si="29"/>
        <v>256</v>
      </c>
      <c r="I917" s="122">
        <f t="shared" si="28"/>
        <v>15.36</v>
      </c>
    </row>
    <row r="918" spans="1:9" x14ac:dyDescent="0.35">
      <c r="A918" s="117">
        <v>45745</v>
      </c>
      <c r="B918" s="118" t="s">
        <v>322</v>
      </c>
      <c r="C918" s="118" t="s">
        <v>332</v>
      </c>
      <c r="D918" s="118" t="s">
        <v>333</v>
      </c>
      <c r="E918" s="118" t="s">
        <v>416</v>
      </c>
      <c r="F918" s="119">
        <v>14</v>
      </c>
      <c r="G918" s="120">
        <v>17</v>
      </c>
      <c r="H918" s="121">
        <f t="shared" si="29"/>
        <v>294</v>
      </c>
      <c r="I918" s="122">
        <f t="shared" si="28"/>
        <v>14.700000000000001</v>
      </c>
    </row>
    <row r="919" spans="1:9" x14ac:dyDescent="0.35">
      <c r="A919" s="117">
        <v>45746</v>
      </c>
      <c r="B919" s="118" t="s">
        <v>422</v>
      </c>
      <c r="C919" s="118" t="s">
        <v>393</v>
      </c>
      <c r="D919" s="118" t="s">
        <v>315</v>
      </c>
      <c r="E919" s="118" t="s">
        <v>344</v>
      </c>
      <c r="F919" s="119">
        <v>21</v>
      </c>
      <c r="G919" s="120">
        <v>24</v>
      </c>
      <c r="H919" s="121">
        <f t="shared" si="29"/>
        <v>546</v>
      </c>
      <c r="I919" s="122">
        <f t="shared" si="28"/>
        <v>27.3</v>
      </c>
    </row>
    <row r="920" spans="1:9" x14ac:dyDescent="0.35">
      <c r="A920" s="117">
        <v>45746</v>
      </c>
      <c r="B920" s="118" t="s">
        <v>322</v>
      </c>
      <c r="C920" s="118" t="s">
        <v>332</v>
      </c>
      <c r="D920" s="118" t="s">
        <v>390</v>
      </c>
      <c r="E920" s="118" t="s">
        <v>343</v>
      </c>
      <c r="F920" s="119">
        <v>43</v>
      </c>
      <c r="G920" s="120">
        <v>17</v>
      </c>
      <c r="H920" s="121">
        <f t="shared" si="29"/>
        <v>903</v>
      </c>
      <c r="I920" s="122">
        <f t="shared" si="28"/>
        <v>45.150000000000006</v>
      </c>
    </row>
    <row r="921" spans="1:9" x14ac:dyDescent="0.35">
      <c r="A921" s="117">
        <v>45746</v>
      </c>
      <c r="B921" s="118" t="s">
        <v>313</v>
      </c>
      <c r="C921" s="118" t="s">
        <v>393</v>
      </c>
      <c r="D921" s="118" t="s">
        <v>324</v>
      </c>
      <c r="E921" s="118" t="s">
        <v>343</v>
      </c>
      <c r="F921" s="119">
        <v>49</v>
      </c>
      <c r="G921" s="120">
        <v>13</v>
      </c>
      <c r="H921" s="121">
        <f t="shared" si="29"/>
        <v>735</v>
      </c>
      <c r="I921" s="122">
        <f t="shared" si="28"/>
        <v>36.75</v>
      </c>
    </row>
    <row r="922" spans="1:9" x14ac:dyDescent="0.35">
      <c r="A922" s="117">
        <v>45747</v>
      </c>
      <c r="B922" s="118" t="s">
        <v>327</v>
      </c>
      <c r="C922" s="118" t="s">
        <v>319</v>
      </c>
      <c r="D922" s="118" t="s">
        <v>423</v>
      </c>
      <c r="E922" s="118" t="s">
        <v>394</v>
      </c>
      <c r="F922" s="119">
        <v>42</v>
      </c>
      <c r="G922" s="120">
        <v>6</v>
      </c>
      <c r="H922" s="121">
        <f t="shared" si="29"/>
        <v>294</v>
      </c>
      <c r="I922" s="122">
        <f t="shared" si="28"/>
        <v>17.64</v>
      </c>
    </row>
    <row r="923" spans="1:9" x14ac:dyDescent="0.35">
      <c r="A923" s="117">
        <v>45747</v>
      </c>
      <c r="B923" s="118" t="s">
        <v>318</v>
      </c>
      <c r="C923" s="118" t="s">
        <v>393</v>
      </c>
      <c r="D923" s="118" t="s">
        <v>324</v>
      </c>
      <c r="E923" s="118" t="s">
        <v>343</v>
      </c>
      <c r="F923" s="119">
        <v>18</v>
      </c>
      <c r="G923" s="120">
        <v>4</v>
      </c>
      <c r="H923" s="121">
        <f t="shared" si="29"/>
        <v>108</v>
      </c>
      <c r="I923" s="122">
        <f t="shared" si="28"/>
        <v>5.4</v>
      </c>
    </row>
    <row r="924" spans="1:9" x14ac:dyDescent="0.35">
      <c r="A924" s="117">
        <v>45748</v>
      </c>
      <c r="B924" s="118" t="s">
        <v>422</v>
      </c>
      <c r="C924" s="118" t="s">
        <v>319</v>
      </c>
      <c r="D924" s="118" t="s">
        <v>315</v>
      </c>
      <c r="E924" s="118" t="s">
        <v>350</v>
      </c>
      <c r="F924" s="119">
        <v>42</v>
      </c>
      <c r="G924" s="120">
        <v>24</v>
      </c>
      <c r="H924" s="121">
        <f t="shared" si="29"/>
        <v>1050</v>
      </c>
      <c r="I924" s="122">
        <f t="shared" si="28"/>
        <v>52.5</v>
      </c>
    </row>
    <row r="925" spans="1:9" x14ac:dyDescent="0.35">
      <c r="A925" s="117">
        <v>45749</v>
      </c>
      <c r="B925" s="118" t="s">
        <v>327</v>
      </c>
      <c r="C925" s="118" t="s">
        <v>393</v>
      </c>
      <c r="D925" s="118" t="s">
        <v>333</v>
      </c>
      <c r="E925" s="118" t="s">
        <v>388</v>
      </c>
      <c r="F925" s="119">
        <v>16</v>
      </c>
      <c r="G925" s="120">
        <v>6</v>
      </c>
      <c r="H925" s="121">
        <f t="shared" si="29"/>
        <v>128</v>
      </c>
      <c r="I925" s="122">
        <f t="shared" si="28"/>
        <v>6.4</v>
      </c>
    </row>
    <row r="926" spans="1:9" x14ac:dyDescent="0.35">
      <c r="A926" s="117">
        <v>45750</v>
      </c>
      <c r="B926" s="118" t="s">
        <v>318</v>
      </c>
      <c r="C926" s="118" t="s">
        <v>393</v>
      </c>
      <c r="D926" s="118" t="s">
        <v>315</v>
      </c>
      <c r="E926" s="118" t="s">
        <v>395</v>
      </c>
      <c r="F926" s="119">
        <v>60</v>
      </c>
      <c r="G926" s="120">
        <v>4</v>
      </c>
      <c r="H926" s="121">
        <f t="shared" si="29"/>
        <v>360</v>
      </c>
      <c r="I926" s="122">
        <f t="shared" si="28"/>
        <v>18</v>
      </c>
    </row>
    <row r="927" spans="1:9" x14ac:dyDescent="0.35">
      <c r="A927" s="117">
        <v>45750</v>
      </c>
      <c r="B927" s="118" t="s">
        <v>313</v>
      </c>
      <c r="C927" s="118" t="s">
        <v>393</v>
      </c>
      <c r="D927" s="118" t="s">
        <v>320</v>
      </c>
      <c r="E927" s="118" t="s">
        <v>349</v>
      </c>
      <c r="F927" s="119">
        <v>20</v>
      </c>
      <c r="G927" s="120">
        <v>13</v>
      </c>
      <c r="H927" s="121">
        <f t="shared" si="29"/>
        <v>300</v>
      </c>
      <c r="I927" s="122">
        <f t="shared" si="28"/>
        <v>18</v>
      </c>
    </row>
    <row r="928" spans="1:9" x14ac:dyDescent="0.35">
      <c r="A928" s="117">
        <v>45753</v>
      </c>
      <c r="B928" s="118" t="s">
        <v>327</v>
      </c>
      <c r="C928" s="118" t="s">
        <v>314</v>
      </c>
      <c r="D928" s="118" t="s">
        <v>338</v>
      </c>
      <c r="E928" s="118" t="s">
        <v>454</v>
      </c>
      <c r="F928" s="119">
        <v>22</v>
      </c>
      <c r="G928" s="120">
        <v>6</v>
      </c>
      <c r="H928" s="121">
        <f t="shared" si="29"/>
        <v>198</v>
      </c>
      <c r="I928" s="122">
        <f t="shared" si="28"/>
        <v>11.879999999999999</v>
      </c>
    </row>
    <row r="929" spans="1:9" x14ac:dyDescent="0.35">
      <c r="A929" s="117">
        <v>45753</v>
      </c>
      <c r="B929" s="118" t="s">
        <v>322</v>
      </c>
      <c r="C929" s="118" t="s">
        <v>314</v>
      </c>
      <c r="D929" s="118" t="s">
        <v>423</v>
      </c>
      <c r="E929" s="118" t="s">
        <v>350</v>
      </c>
      <c r="F929" s="119">
        <v>60</v>
      </c>
      <c r="G929" s="120">
        <v>17</v>
      </c>
      <c r="H929" s="121">
        <f t="shared" si="29"/>
        <v>1200</v>
      </c>
      <c r="I929" s="122">
        <f t="shared" si="28"/>
        <v>72</v>
      </c>
    </row>
    <row r="930" spans="1:9" x14ac:dyDescent="0.35">
      <c r="A930" s="117">
        <v>45754</v>
      </c>
      <c r="B930" s="118" t="s">
        <v>313</v>
      </c>
      <c r="C930" s="118" t="s">
        <v>332</v>
      </c>
      <c r="D930" s="118" t="s">
        <v>315</v>
      </c>
      <c r="E930" s="118" t="s">
        <v>350</v>
      </c>
      <c r="F930" s="119">
        <v>14</v>
      </c>
      <c r="G930" s="120">
        <v>13</v>
      </c>
      <c r="H930" s="121">
        <f t="shared" si="29"/>
        <v>238</v>
      </c>
      <c r="I930" s="122">
        <f t="shared" si="28"/>
        <v>11.9</v>
      </c>
    </row>
    <row r="931" spans="1:9" x14ac:dyDescent="0.35">
      <c r="A931" s="117">
        <v>45755</v>
      </c>
      <c r="B931" s="118" t="s">
        <v>422</v>
      </c>
      <c r="C931" s="118" t="s">
        <v>393</v>
      </c>
      <c r="D931" s="118" t="s">
        <v>390</v>
      </c>
      <c r="E931" s="118" t="s">
        <v>388</v>
      </c>
      <c r="F931" s="119">
        <v>8</v>
      </c>
      <c r="G931" s="120">
        <v>24</v>
      </c>
      <c r="H931" s="121">
        <f t="shared" si="29"/>
        <v>208</v>
      </c>
      <c r="I931" s="122">
        <f t="shared" si="28"/>
        <v>10.4</v>
      </c>
    </row>
    <row r="932" spans="1:9" x14ac:dyDescent="0.35">
      <c r="A932" s="117">
        <v>45755</v>
      </c>
      <c r="B932" s="118" t="s">
        <v>318</v>
      </c>
      <c r="C932" s="118" t="s">
        <v>332</v>
      </c>
      <c r="D932" s="118" t="s">
        <v>333</v>
      </c>
      <c r="E932" s="118" t="s">
        <v>395</v>
      </c>
      <c r="F932" s="119">
        <v>36</v>
      </c>
      <c r="G932" s="120">
        <v>4</v>
      </c>
      <c r="H932" s="121">
        <f t="shared" si="29"/>
        <v>288</v>
      </c>
      <c r="I932" s="122">
        <f t="shared" si="28"/>
        <v>14.4</v>
      </c>
    </row>
    <row r="933" spans="1:9" x14ac:dyDescent="0.35">
      <c r="A933" s="117">
        <v>45755</v>
      </c>
      <c r="B933" s="118" t="s">
        <v>313</v>
      </c>
      <c r="C933" s="118" t="s">
        <v>314</v>
      </c>
      <c r="D933" s="118" t="s">
        <v>315</v>
      </c>
      <c r="E933" s="118" t="s">
        <v>400</v>
      </c>
      <c r="F933" s="119">
        <v>28</v>
      </c>
      <c r="G933" s="120">
        <v>13</v>
      </c>
      <c r="H933" s="121">
        <f t="shared" si="29"/>
        <v>448</v>
      </c>
      <c r="I933" s="122">
        <f t="shared" si="28"/>
        <v>22.400000000000002</v>
      </c>
    </row>
    <row r="934" spans="1:9" x14ac:dyDescent="0.35">
      <c r="A934" s="117">
        <v>45755</v>
      </c>
      <c r="B934" s="118" t="s">
        <v>313</v>
      </c>
      <c r="C934" s="118" t="s">
        <v>332</v>
      </c>
      <c r="D934" s="118" t="s">
        <v>320</v>
      </c>
      <c r="E934" s="118" t="s">
        <v>335</v>
      </c>
      <c r="F934" s="119">
        <v>56</v>
      </c>
      <c r="G934" s="120">
        <v>13</v>
      </c>
      <c r="H934" s="121">
        <f t="shared" si="29"/>
        <v>952</v>
      </c>
      <c r="I934" s="122">
        <f t="shared" si="28"/>
        <v>57.12</v>
      </c>
    </row>
    <row r="935" spans="1:9" x14ac:dyDescent="0.35">
      <c r="A935" s="117">
        <v>45756</v>
      </c>
      <c r="B935" s="118" t="s">
        <v>313</v>
      </c>
      <c r="C935" s="118" t="s">
        <v>319</v>
      </c>
      <c r="D935" s="118" t="s">
        <v>333</v>
      </c>
      <c r="E935" s="118" t="s">
        <v>340</v>
      </c>
      <c r="F935" s="119">
        <v>57</v>
      </c>
      <c r="G935" s="120">
        <v>13</v>
      </c>
      <c r="H935" s="121">
        <f t="shared" si="29"/>
        <v>798</v>
      </c>
      <c r="I935" s="122">
        <f t="shared" si="28"/>
        <v>39.900000000000006</v>
      </c>
    </row>
    <row r="936" spans="1:9" x14ac:dyDescent="0.35">
      <c r="A936" s="117">
        <v>45756</v>
      </c>
      <c r="B936" s="118" t="s">
        <v>318</v>
      </c>
      <c r="C936" s="118" t="s">
        <v>332</v>
      </c>
      <c r="D936" s="118" t="s">
        <v>315</v>
      </c>
      <c r="E936" s="118" t="s">
        <v>394</v>
      </c>
      <c r="F936" s="119">
        <v>45</v>
      </c>
      <c r="G936" s="120">
        <v>4</v>
      </c>
      <c r="H936" s="121">
        <f t="shared" si="29"/>
        <v>360</v>
      </c>
      <c r="I936" s="122">
        <f t="shared" si="28"/>
        <v>18</v>
      </c>
    </row>
    <row r="937" spans="1:9" x14ac:dyDescent="0.35">
      <c r="A937" s="117">
        <v>45757</v>
      </c>
      <c r="B937" s="118" t="s">
        <v>318</v>
      </c>
      <c r="C937" s="118" t="s">
        <v>314</v>
      </c>
      <c r="D937" s="118" t="s">
        <v>315</v>
      </c>
      <c r="E937" s="118" t="s">
        <v>341</v>
      </c>
      <c r="F937" s="119">
        <v>22</v>
      </c>
      <c r="G937" s="120">
        <v>4</v>
      </c>
      <c r="H937" s="121">
        <f t="shared" si="29"/>
        <v>154</v>
      </c>
      <c r="I937" s="122">
        <f t="shared" si="28"/>
        <v>7.7</v>
      </c>
    </row>
    <row r="938" spans="1:9" x14ac:dyDescent="0.35">
      <c r="A938" s="117">
        <v>45757</v>
      </c>
      <c r="B938" s="118" t="s">
        <v>322</v>
      </c>
      <c r="C938" s="118" t="s">
        <v>319</v>
      </c>
      <c r="D938" s="118" t="s">
        <v>320</v>
      </c>
      <c r="E938" s="118" t="s">
        <v>341</v>
      </c>
      <c r="F938" s="119">
        <v>10</v>
      </c>
      <c r="G938" s="120">
        <v>17</v>
      </c>
      <c r="H938" s="121">
        <f t="shared" si="29"/>
        <v>180</v>
      </c>
      <c r="I938" s="122">
        <f t="shared" si="28"/>
        <v>10.799999999999999</v>
      </c>
    </row>
    <row r="939" spans="1:9" x14ac:dyDescent="0.35">
      <c r="A939" s="117">
        <v>45757</v>
      </c>
      <c r="B939" s="118" t="s">
        <v>318</v>
      </c>
      <c r="C939" s="118" t="s">
        <v>314</v>
      </c>
      <c r="D939" s="118" t="s">
        <v>333</v>
      </c>
      <c r="E939" s="118" t="s">
        <v>340</v>
      </c>
      <c r="F939" s="119">
        <v>38</v>
      </c>
      <c r="G939" s="120">
        <v>4</v>
      </c>
      <c r="H939" s="121">
        <f t="shared" si="29"/>
        <v>266</v>
      </c>
      <c r="I939" s="122">
        <f t="shared" si="28"/>
        <v>13.3</v>
      </c>
    </row>
    <row r="940" spans="1:9" x14ac:dyDescent="0.35">
      <c r="A940" s="117">
        <v>45757</v>
      </c>
      <c r="B940" s="118" t="s">
        <v>313</v>
      </c>
      <c r="C940" s="118" t="s">
        <v>314</v>
      </c>
      <c r="D940" s="118" t="s">
        <v>390</v>
      </c>
      <c r="E940" s="118" t="s">
        <v>340</v>
      </c>
      <c r="F940" s="119">
        <v>29</v>
      </c>
      <c r="G940" s="120">
        <v>13</v>
      </c>
      <c r="H940" s="121">
        <f t="shared" si="29"/>
        <v>464</v>
      </c>
      <c r="I940" s="122">
        <f t="shared" si="28"/>
        <v>23.200000000000003</v>
      </c>
    </row>
    <row r="941" spans="1:9" x14ac:dyDescent="0.35">
      <c r="A941" s="117">
        <v>45757</v>
      </c>
      <c r="B941" s="118" t="s">
        <v>318</v>
      </c>
      <c r="C941" s="118" t="s">
        <v>319</v>
      </c>
      <c r="D941" s="118" t="s">
        <v>324</v>
      </c>
      <c r="E941" s="118" t="s">
        <v>347</v>
      </c>
      <c r="F941" s="119">
        <v>60</v>
      </c>
      <c r="G941" s="120">
        <v>4</v>
      </c>
      <c r="H941" s="121">
        <f t="shared" si="29"/>
        <v>300</v>
      </c>
      <c r="I941" s="122">
        <f t="shared" si="28"/>
        <v>15</v>
      </c>
    </row>
    <row r="942" spans="1:9" x14ac:dyDescent="0.35">
      <c r="A942" s="117">
        <v>45757</v>
      </c>
      <c r="B942" s="118" t="s">
        <v>327</v>
      </c>
      <c r="C942" s="118" t="s">
        <v>393</v>
      </c>
      <c r="D942" s="118" t="s">
        <v>338</v>
      </c>
      <c r="E942" s="118" t="s">
        <v>394</v>
      </c>
      <c r="F942" s="119">
        <v>19</v>
      </c>
      <c r="G942" s="120">
        <v>6</v>
      </c>
      <c r="H942" s="121">
        <f t="shared" si="29"/>
        <v>152</v>
      </c>
      <c r="I942" s="122">
        <f t="shared" si="28"/>
        <v>9.1199999999999992</v>
      </c>
    </row>
    <row r="943" spans="1:9" x14ac:dyDescent="0.35">
      <c r="A943" s="117">
        <v>45757</v>
      </c>
      <c r="B943" s="118" t="s">
        <v>422</v>
      </c>
      <c r="C943" s="118" t="s">
        <v>332</v>
      </c>
      <c r="D943" s="118" t="s">
        <v>423</v>
      </c>
      <c r="E943" s="118" t="s">
        <v>405</v>
      </c>
      <c r="F943" s="119">
        <v>27</v>
      </c>
      <c r="G943" s="120">
        <v>24</v>
      </c>
      <c r="H943" s="121">
        <f t="shared" si="29"/>
        <v>756</v>
      </c>
      <c r="I943" s="122">
        <f t="shared" si="28"/>
        <v>45.36</v>
      </c>
    </row>
    <row r="944" spans="1:9" x14ac:dyDescent="0.35">
      <c r="A944" s="117">
        <v>45758</v>
      </c>
      <c r="B944" s="118" t="s">
        <v>318</v>
      </c>
      <c r="C944" s="118" t="s">
        <v>319</v>
      </c>
      <c r="D944" s="118" t="s">
        <v>324</v>
      </c>
      <c r="E944" s="118" t="s">
        <v>346</v>
      </c>
      <c r="F944" s="119">
        <v>23</v>
      </c>
      <c r="G944" s="120">
        <v>4</v>
      </c>
      <c r="H944" s="121">
        <f t="shared" si="29"/>
        <v>115</v>
      </c>
      <c r="I944" s="122">
        <f t="shared" si="28"/>
        <v>5.75</v>
      </c>
    </row>
    <row r="945" spans="1:9" x14ac:dyDescent="0.35">
      <c r="A945" s="117">
        <v>45758</v>
      </c>
      <c r="B945" s="118" t="s">
        <v>327</v>
      </c>
      <c r="C945" s="118" t="s">
        <v>332</v>
      </c>
      <c r="D945" s="118" t="s">
        <v>390</v>
      </c>
      <c r="E945" s="118" t="s">
        <v>394</v>
      </c>
      <c r="F945" s="119">
        <v>33</v>
      </c>
      <c r="G945" s="120">
        <v>6</v>
      </c>
      <c r="H945" s="121">
        <f t="shared" si="29"/>
        <v>330</v>
      </c>
      <c r="I945" s="122">
        <f t="shared" si="28"/>
        <v>16.5</v>
      </c>
    </row>
    <row r="946" spans="1:9" x14ac:dyDescent="0.35">
      <c r="A946" s="117">
        <v>45758</v>
      </c>
      <c r="B946" s="118" t="s">
        <v>327</v>
      </c>
      <c r="C946" s="118" t="s">
        <v>319</v>
      </c>
      <c r="D946" s="118" t="s">
        <v>315</v>
      </c>
      <c r="E946" s="118" t="s">
        <v>344</v>
      </c>
      <c r="F946" s="119">
        <v>55</v>
      </c>
      <c r="G946" s="120">
        <v>6</v>
      </c>
      <c r="H946" s="121">
        <f t="shared" si="29"/>
        <v>385</v>
      </c>
      <c r="I946" s="122">
        <f t="shared" si="28"/>
        <v>19.25</v>
      </c>
    </row>
    <row r="947" spans="1:9" x14ac:dyDescent="0.35">
      <c r="A947" s="117">
        <v>45759</v>
      </c>
      <c r="B947" s="118" t="s">
        <v>322</v>
      </c>
      <c r="C947" s="118" t="s">
        <v>314</v>
      </c>
      <c r="D947" s="118" t="s">
        <v>324</v>
      </c>
      <c r="E947" s="118" t="s">
        <v>341</v>
      </c>
      <c r="F947" s="119">
        <v>43</v>
      </c>
      <c r="G947" s="120">
        <v>17</v>
      </c>
      <c r="H947" s="121">
        <f t="shared" si="29"/>
        <v>860</v>
      </c>
      <c r="I947" s="122">
        <f t="shared" si="28"/>
        <v>43</v>
      </c>
    </row>
    <row r="948" spans="1:9" x14ac:dyDescent="0.35">
      <c r="A948" s="117">
        <v>45759</v>
      </c>
      <c r="B948" s="118" t="s">
        <v>318</v>
      </c>
      <c r="C948" s="118" t="s">
        <v>319</v>
      </c>
      <c r="D948" s="118" t="s">
        <v>315</v>
      </c>
      <c r="E948" s="118" t="s">
        <v>345</v>
      </c>
      <c r="F948" s="119">
        <v>28</v>
      </c>
      <c r="G948" s="120">
        <v>4</v>
      </c>
      <c r="H948" s="121">
        <f t="shared" si="29"/>
        <v>140</v>
      </c>
      <c r="I948" s="122">
        <f t="shared" si="28"/>
        <v>7</v>
      </c>
    </row>
    <row r="949" spans="1:9" x14ac:dyDescent="0.35">
      <c r="A949" s="117">
        <v>45759</v>
      </c>
      <c r="B949" s="118" t="s">
        <v>327</v>
      </c>
      <c r="C949" s="118" t="s">
        <v>319</v>
      </c>
      <c r="D949" s="118" t="s">
        <v>333</v>
      </c>
      <c r="E949" s="118" t="s">
        <v>416</v>
      </c>
      <c r="F949" s="119">
        <v>28</v>
      </c>
      <c r="G949" s="120">
        <v>6</v>
      </c>
      <c r="H949" s="121">
        <f t="shared" si="29"/>
        <v>196</v>
      </c>
      <c r="I949" s="122">
        <f t="shared" si="28"/>
        <v>9.8000000000000007</v>
      </c>
    </row>
    <row r="950" spans="1:9" x14ac:dyDescent="0.35">
      <c r="A950" s="117">
        <v>45760</v>
      </c>
      <c r="B950" s="118" t="s">
        <v>313</v>
      </c>
      <c r="C950" s="118" t="s">
        <v>393</v>
      </c>
      <c r="D950" s="118" t="s">
        <v>390</v>
      </c>
      <c r="E950" s="118" t="s">
        <v>400</v>
      </c>
      <c r="F950" s="119">
        <v>61</v>
      </c>
      <c r="G950" s="120">
        <v>13</v>
      </c>
      <c r="H950" s="121">
        <f t="shared" si="29"/>
        <v>915</v>
      </c>
      <c r="I950" s="122">
        <f t="shared" si="28"/>
        <v>45.75</v>
      </c>
    </row>
    <row r="951" spans="1:9" x14ac:dyDescent="0.35">
      <c r="A951" s="117">
        <v>45760</v>
      </c>
      <c r="B951" s="118" t="s">
        <v>313</v>
      </c>
      <c r="C951" s="118" t="s">
        <v>319</v>
      </c>
      <c r="D951" s="118" t="s">
        <v>320</v>
      </c>
      <c r="E951" s="118" t="s">
        <v>394</v>
      </c>
      <c r="F951" s="119">
        <v>41</v>
      </c>
      <c r="G951" s="120">
        <v>13</v>
      </c>
      <c r="H951" s="121">
        <f t="shared" si="29"/>
        <v>574</v>
      </c>
      <c r="I951" s="122">
        <f t="shared" si="28"/>
        <v>34.44</v>
      </c>
    </row>
    <row r="952" spans="1:9" x14ac:dyDescent="0.35">
      <c r="A952" s="117">
        <v>45760</v>
      </c>
      <c r="B952" s="118" t="s">
        <v>318</v>
      </c>
      <c r="C952" s="118" t="s">
        <v>319</v>
      </c>
      <c r="D952" s="118" t="s">
        <v>423</v>
      </c>
      <c r="E952" s="118" t="s">
        <v>394</v>
      </c>
      <c r="F952" s="119">
        <v>13</v>
      </c>
      <c r="G952" s="120">
        <v>4</v>
      </c>
      <c r="H952" s="121">
        <f t="shared" si="29"/>
        <v>65</v>
      </c>
      <c r="I952" s="122">
        <f t="shared" si="28"/>
        <v>3.9</v>
      </c>
    </row>
    <row r="953" spans="1:9" x14ac:dyDescent="0.35">
      <c r="A953" s="117">
        <v>45760</v>
      </c>
      <c r="B953" s="118" t="s">
        <v>318</v>
      </c>
      <c r="C953" s="118" t="s">
        <v>393</v>
      </c>
      <c r="D953" s="118" t="s">
        <v>338</v>
      </c>
      <c r="E953" s="118" t="s">
        <v>343</v>
      </c>
      <c r="F953" s="119">
        <v>59</v>
      </c>
      <c r="G953" s="120">
        <v>4</v>
      </c>
      <c r="H953" s="121">
        <f t="shared" si="29"/>
        <v>354</v>
      </c>
      <c r="I953" s="122">
        <f t="shared" si="28"/>
        <v>21.24</v>
      </c>
    </row>
    <row r="954" spans="1:9" x14ac:dyDescent="0.35">
      <c r="A954" s="117">
        <v>45761</v>
      </c>
      <c r="B954" s="118" t="s">
        <v>422</v>
      </c>
      <c r="C954" s="118" t="s">
        <v>314</v>
      </c>
      <c r="D954" s="118" t="s">
        <v>423</v>
      </c>
      <c r="E954" s="118" t="s">
        <v>341</v>
      </c>
      <c r="F954" s="119">
        <v>38</v>
      </c>
      <c r="G954" s="120">
        <v>24</v>
      </c>
      <c r="H954" s="121">
        <f t="shared" si="29"/>
        <v>1026</v>
      </c>
      <c r="I954" s="122">
        <f t="shared" si="28"/>
        <v>61.559999999999995</v>
      </c>
    </row>
    <row r="955" spans="1:9" x14ac:dyDescent="0.35">
      <c r="A955" s="117">
        <v>45761</v>
      </c>
      <c r="B955" s="118" t="s">
        <v>322</v>
      </c>
      <c r="C955" s="118" t="s">
        <v>314</v>
      </c>
      <c r="D955" s="118" t="s">
        <v>315</v>
      </c>
      <c r="E955" s="118" t="s">
        <v>342</v>
      </c>
      <c r="F955" s="119">
        <v>45</v>
      </c>
      <c r="G955" s="120">
        <v>17</v>
      </c>
      <c r="H955" s="121">
        <f t="shared" si="29"/>
        <v>900</v>
      </c>
      <c r="I955" s="122">
        <f t="shared" si="28"/>
        <v>45</v>
      </c>
    </row>
    <row r="956" spans="1:9" x14ac:dyDescent="0.35">
      <c r="A956" s="117">
        <v>45761</v>
      </c>
      <c r="B956" s="118" t="s">
        <v>327</v>
      </c>
      <c r="C956" s="118" t="s">
        <v>319</v>
      </c>
      <c r="D956" s="118" t="s">
        <v>315</v>
      </c>
      <c r="E956" s="118" t="s">
        <v>340</v>
      </c>
      <c r="F956" s="119">
        <v>17</v>
      </c>
      <c r="G956" s="120">
        <v>6</v>
      </c>
      <c r="H956" s="121">
        <f t="shared" si="29"/>
        <v>119</v>
      </c>
      <c r="I956" s="122">
        <f t="shared" si="28"/>
        <v>5.95</v>
      </c>
    </row>
    <row r="957" spans="1:9" x14ac:dyDescent="0.35">
      <c r="A957" s="117">
        <v>45761</v>
      </c>
      <c r="B957" s="118" t="s">
        <v>327</v>
      </c>
      <c r="C957" s="118" t="s">
        <v>393</v>
      </c>
      <c r="D957" s="118" t="s">
        <v>320</v>
      </c>
      <c r="E957" s="118" t="s">
        <v>346</v>
      </c>
      <c r="F957" s="119">
        <v>23</v>
      </c>
      <c r="G957" s="120">
        <v>6</v>
      </c>
      <c r="H957" s="121">
        <f t="shared" si="29"/>
        <v>184</v>
      </c>
      <c r="I957" s="122">
        <f t="shared" si="28"/>
        <v>11.04</v>
      </c>
    </row>
    <row r="958" spans="1:9" x14ac:dyDescent="0.35">
      <c r="A958" s="117">
        <v>45761</v>
      </c>
      <c r="B958" s="118" t="s">
        <v>313</v>
      </c>
      <c r="C958" s="118" t="s">
        <v>393</v>
      </c>
      <c r="D958" s="118" t="s">
        <v>423</v>
      </c>
      <c r="E958" s="118" t="s">
        <v>335</v>
      </c>
      <c r="F958" s="119">
        <v>48</v>
      </c>
      <c r="G958" s="120">
        <v>13</v>
      </c>
      <c r="H958" s="121">
        <f t="shared" si="29"/>
        <v>720</v>
      </c>
      <c r="I958" s="122">
        <f t="shared" si="28"/>
        <v>43.199999999999996</v>
      </c>
    </row>
    <row r="959" spans="1:9" x14ac:dyDescent="0.35">
      <c r="A959" s="117">
        <v>45761</v>
      </c>
      <c r="B959" s="118" t="s">
        <v>422</v>
      </c>
      <c r="C959" s="118" t="s">
        <v>314</v>
      </c>
      <c r="D959" s="118" t="s">
        <v>390</v>
      </c>
      <c r="E959" s="118" t="s">
        <v>335</v>
      </c>
      <c r="F959" s="119">
        <v>32</v>
      </c>
      <c r="G959" s="120">
        <v>24</v>
      </c>
      <c r="H959" s="121">
        <f t="shared" si="29"/>
        <v>864</v>
      </c>
      <c r="I959" s="122">
        <f t="shared" si="28"/>
        <v>43.2</v>
      </c>
    </row>
    <row r="960" spans="1:9" x14ac:dyDescent="0.35">
      <c r="A960" s="117">
        <v>45762</v>
      </c>
      <c r="B960" s="118" t="s">
        <v>318</v>
      </c>
      <c r="C960" s="118" t="s">
        <v>314</v>
      </c>
      <c r="D960" s="118" t="s">
        <v>315</v>
      </c>
      <c r="E960" s="118" t="s">
        <v>394</v>
      </c>
      <c r="F960" s="119">
        <v>24</v>
      </c>
      <c r="G960" s="120">
        <v>4</v>
      </c>
      <c r="H960" s="121">
        <f t="shared" si="29"/>
        <v>168</v>
      </c>
      <c r="I960" s="122">
        <f t="shared" si="28"/>
        <v>8.4</v>
      </c>
    </row>
    <row r="961" spans="1:9" x14ac:dyDescent="0.35">
      <c r="A961" s="117">
        <v>45762</v>
      </c>
      <c r="B961" s="118" t="s">
        <v>318</v>
      </c>
      <c r="C961" s="118" t="s">
        <v>332</v>
      </c>
      <c r="D961" s="118" t="s">
        <v>390</v>
      </c>
      <c r="E961" s="118" t="s">
        <v>344</v>
      </c>
      <c r="F961" s="119">
        <v>35</v>
      </c>
      <c r="G961" s="120">
        <v>4</v>
      </c>
      <c r="H961" s="121">
        <f t="shared" si="29"/>
        <v>280</v>
      </c>
      <c r="I961" s="122">
        <f t="shared" si="28"/>
        <v>14</v>
      </c>
    </row>
    <row r="962" spans="1:9" x14ac:dyDescent="0.35">
      <c r="A962" s="117">
        <v>45762</v>
      </c>
      <c r="B962" s="118" t="s">
        <v>313</v>
      </c>
      <c r="C962" s="118" t="s">
        <v>314</v>
      </c>
      <c r="D962" s="118" t="s">
        <v>324</v>
      </c>
      <c r="E962" s="118" t="s">
        <v>344</v>
      </c>
      <c r="F962" s="119">
        <v>23</v>
      </c>
      <c r="G962" s="120">
        <v>13</v>
      </c>
      <c r="H962" s="121">
        <f t="shared" si="29"/>
        <v>368</v>
      </c>
      <c r="I962" s="122">
        <f t="shared" ref="I962:I1025" si="30">H962*VLOOKUP(D962,$O$4:$P$10,2,TRUE)</f>
        <v>18.400000000000002</v>
      </c>
    </row>
    <row r="963" spans="1:9" x14ac:dyDescent="0.35">
      <c r="A963" s="117">
        <v>45762</v>
      </c>
      <c r="B963" s="118" t="s">
        <v>322</v>
      </c>
      <c r="C963" s="118" t="s">
        <v>319</v>
      </c>
      <c r="D963" s="118" t="s">
        <v>315</v>
      </c>
      <c r="E963" s="118" t="s">
        <v>316</v>
      </c>
      <c r="F963" s="119">
        <v>35</v>
      </c>
      <c r="G963" s="120">
        <v>17</v>
      </c>
      <c r="H963" s="121">
        <f t="shared" ref="H963:H1026" si="31">(F963*G963)+VLOOKUP(C963,$K$11:$L$14,2,FALSE)*F963</f>
        <v>630</v>
      </c>
      <c r="I963" s="122">
        <f t="shared" si="30"/>
        <v>31.5</v>
      </c>
    </row>
    <row r="964" spans="1:9" x14ac:dyDescent="0.35">
      <c r="A964" s="117">
        <v>45763</v>
      </c>
      <c r="B964" s="118" t="s">
        <v>422</v>
      </c>
      <c r="C964" s="118" t="s">
        <v>393</v>
      </c>
      <c r="D964" s="118" t="s">
        <v>324</v>
      </c>
      <c r="E964" s="118" t="s">
        <v>455</v>
      </c>
      <c r="F964" s="119">
        <v>48</v>
      </c>
      <c r="G964" s="120">
        <v>24</v>
      </c>
      <c r="H964" s="121">
        <f t="shared" si="31"/>
        <v>1248</v>
      </c>
      <c r="I964" s="122">
        <f t="shared" si="30"/>
        <v>62.400000000000006</v>
      </c>
    </row>
    <row r="965" spans="1:9" x14ac:dyDescent="0.35">
      <c r="A965" s="117">
        <v>45763</v>
      </c>
      <c r="B965" s="118" t="s">
        <v>318</v>
      </c>
      <c r="C965" s="118" t="s">
        <v>314</v>
      </c>
      <c r="D965" s="118" t="s">
        <v>390</v>
      </c>
      <c r="E965" s="118" t="s">
        <v>344</v>
      </c>
      <c r="F965" s="119">
        <v>25</v>
      </c>
      <c r="G965" s="120">
        <v>4</v>
      </c>
      <c r="H965" s="121">
        <f t="shared" si="31"/>
        <v>175</v>
      </c>
      <c r="I965" s="122">
        <f t="shared" si="30"/>
        <v>8.75</v>
      </c>
    </row>
    <row r="966" spans="1:9" x14ac:dyDescent="0.35">
      <c r="A966" s="117">
        <v>45763</v>
      </c>
      <c r="B966" s="118" t="s">
        <v>422</v>
      </c>
      <c r="C966" s="118" t="s">
        <v>332</v>
      </c>
      <c r="D966" s="118" t="s">
        <v>315</v>
      </c>
      <c r="E966" s="118" t="s">
        <v>316</v>
      </c>
      <c r="F966" s="119">
        <v>49</v>
      </c>
      <c r="G966" s="120">
        <v>24</v>
      </c>
      <c r="H966" s="121">
        <f t="shared" si="31"/>
        <v>1372</v>
      </c>
      <c r="I966" s="122">
        <f t="shared" si="30"/>
        <v>68.600000000000009</v>
      </c>
    </row>
    <row r="967" spans="1:9" x14ac:dyDescent="0.35">
      <c r="A967" s="117">
        <v>45764</v>
      </c>
      <c r="B967" s="118" t="s">
        <v>313</v>
      </c>
      <c r="C967" s="118" t="s">
        <v>314</v>
      </c>
      <c r="D967" s="118" t="s">
        <v>320</v>
      </c>
      <c r="E967" s="118" t="s">
        <v>395</v>
      </c>
      <c r="F967" s="119">
        <v>10</v>
      </c>
      <c r="G967" s="120">
        <v>13</v>
      </c>
      <c r="H967" s="121">
        <f t="shared" si="31"/>
        <v>160</v>
      </c>
      <c r="I967" s="122">
        <f t="shared" si="30"/>
        <v>9.6</v>
      </c>
    </row>
    <row r="968" spans="1:9" x14ac:dyDescent="0.35">
      <c r="A968" s="117">
        <v>45764</v>
      </c>
      <c r="B968" s="118" t="s">
        <v>313</v>
      </c>
      <c r="C968" s="118" t="s">
        <v>332</v>
      </c>
      <c r="D968" s="118" t="s">
        <v>324</v>
      </c>
      <c r="E968" s="118" t="s">
        <v>347</v>
      </c>
      <c r="F968" s="119">
        <v>20</v>
      </c>
      <c r="G968" s="120">
        <v>13</v>
      </c>
      <c r="H968" s="121">
        <f t="shared" si="31"/>
        <v>340</v>
      </c>
      <c r="I968" s="122">
        <f t="shared" si="30"/>
        <v>17</v>
      </c>
    </row>
    <row r="969" spans="1:9" x14ac:dyDescent="0.35">
      <c r="A969" s="117">
        <v>45764</v>
      </c>
      <c r="B969" s="118" t="s">
        <v>318</v>
      </c>
      <c r="C969" s="118" t="s">
        <v>393</v>
      </c>
      <c r="D969" s="118" t="s">
        <v>320</v>
      </c>
      <c r="E969" s="118" t="s">
        <v>343</v>
      </c>
      <c r="F969" s="119">
        <v>28</v>
      </c>
      <c r="G969" s="120">
        <v>4</v>
      </c>
      <c r="H969" s="121">
        <f t="shared" si="31"/>
        <v>168</v>
      </c>
      <c r="I969" s="122">
        <f t="shared" si="30"/>
        <v>10.08</v>
      </c>
    </row>
    <row r="970" spans="1:9" x14ac:dyDescent="0.35">
      <c r="A970" s="117">
        <v>45764</v>
      </c>
      <c r="B970" s="118" t="s">
        <v>327</v>
      </c>
      <c r="C970" s="118" t="s">
        <v>332</v>
      </c>
      <c r="D970" s="118" t="s">
        <v>320</v>
      </c>
      <c r="E970" s="118" t="s">
        <v>350</v>
      </c>
      <c r="F970" s="119">
        <v>41</v>
      </c>
      <c r="G970" s="120">
        <v>6</v>
      </c>
      <c r="H970" s="121">
        <f t="shared" si="31"/>
        <v>410</v>
      </c>
      <c r="I970" s="122">
        <f t="shared" si="30"/>
        <v>24.599999999999998</v>
      </c>
    </row>
    <row r="971" spans="1:9" x14ac:dyDescent="0.35">
      <c r="A971" s="117">
        <v>45765</v>
      </c>
      <c r="B971" s="118" t="s">
        <v>327</v>
      </c>
      <c r="C971" s="118" t="s">
        <v>393</v>
      </c>
      <c r="D971" s="118" t="s">
        <v>423</v>
      </c>
      <c r="E971" s="118" t="s">
        <v>341</v>
      </c>
      <c r="F971" s="119">
        <v>34</v>
      </c>
      <c r="G971" s="120">
        <v>6</v>
      </c>
      <c r="H971" s="121">
        <f t="shared" si="31"/>
        <v>272</v>
      </c>
      <c r="I971" s="122">
        <f t="shared" si="30"/>
        <v>16.32</v>
      </c>
    </row>
    <row r="972" spans="1:9" x14ac:dyDescent="0.35">
      <c r="A972" s="117">
        <v>45765</v>
      </c>
      <c r="B972" s="118" t="s">
        <v>422</v>
      </c>
      <c r="C972" s="118" t="s">
        <v>332</v>
      </c>
      <c r="D972" s="118" t="s">
        <v>320</v>
      </c>
      <c r="E972" s="118" t="s">
        <v>342</v>
      </c>
      <c r="F972" s="119">
        <v>16</v>
      </c>
      <c r="G972" s="120">
        <v>24</v>
      </c>
      <c r="H972" s="121">
        <f t="shared" si="31"/>
        <v>448</v>
      </c>
      <c r="I972" s="122">
        <f t="shared" si="30"/>
        <v>26.88</v>
      </c>
    </row>
    <row r="973" spans="1:9" x14ac:dyDescent="0.35">
      <c r="A973" s="117">
        <v>45765</v>
      </c>
      <c r="B973" s="118" t="s">
        <v>422</v>
      </c>
      <c r="C973" s="118" t="s">
        <v>332</v>
      </c>
      <c r="D973" s="118" t="s">
        <v>324</v>
      </c>
      <c r="E973" s="118" t="s">
        <v>340</v>
      </c>
      <c r="F973" s="119">
        <v>14</v>
      </c>
      <c r="G973" s="120">
        <v>24</v>
      </c>
      <c r="H973" s="121">
        <f t="shared" si="31"/>
        <v>392</v>
      </c>
      <c r="I973" s="122">
        <f t="shared" si="30"/>
        <v>19.600000000000001</v>
      </c>
    </row>
    <row r="974" spans="1:9" x14ac:dyDescent="0.35">
      <c r="A974" s="117">
        <v>45765</v>
      </c>
      <c r="B974" s="118" t="s">
        <v>327</v>
      </c>
      <c r="C974" s="118" t="s">
        <v>332</v>
      </c>
      <c r="D974" s="118" t="s">
        <v>324</v>
      </c>
      <c r="E974" s="118" t="s">
        <v>340</v>
      </c>
      <c r="F974" s="119">
        <v>9</v>
      </c>
      <c r="G974" s="120">
        <v>6</v>
      </c>
      <c r="H974" s="121">
        <f t="shared" si="31"/>
        <v>90</v>
      </c>
      <c r="I974" s="122">
        <f t="shared" si="30"/>
        <v>4.5</v>
      </c>
    </row>
    <row r="975" spans="1:9" x14ac:dyDescent="0.35">
      <c r="A975" s="117">
        <v>45765</v>
      </c>
      <c r="B975" s="118" t="s">
        <v>327</v>
      </c>
      <c r="C975" s="118" t="s">
        <v>314</v>
      </c>
      <c r="D975" s="118" t="s">
        <v>324</v>
      </c>
      <c r="E975" s="118" t="s">
        <v>454</v>
      </c>
      <c r="F975" s="119">
        <v>36</v>
      </c>
      <c r="G975" s="120">
        <v>6</v>
      </c>
      <c r="H975" s="121">
        <f t="shared" si="31"/>
        <v>324</v>
      </c>
      <c r="I975" s="122">
        <f t="shared" si="30"/>
        <v>16.2</v>
      </c>
    </row>
    <row r="976" spans="1:9" x14ac:dyDescent="0.35">
      <c r="A976" s="117">
        <v>45766</v>
      </c>
      <c r="B976" s="118" t="s">
        <v>313</v>
      </c>
      <c r="C976" s="118" t="s">
        <v>319</v>
      </c>
      <c r="D976" s="118" t="s">
        <v>423</v>
      </c>
      <c r="E976" s="118" t="s">
        <v>341</v>
      </c>
      <c r="F976" s="119">
        <v>54</v>
      </c>
      <c r="G976" s="120">
        <v>13</v>
      </c>
      <c r="H976" s="121">
        <f t="shared" si="31"/>
        <v>756</v>
      </c>
      <c r="I976" s="122">
        <f t="shared" si="30"/>
        <v>45.36</v>
      </c>
    </row>
    <row r="977" spans="1:9" x14ac:dyDescent="0.35">
      <c r="A977" s="117">
        <v>45766</v>
      </c>
      <c r="B977" s="118" t="s">
        <v>322</v>
      </c>
      <c r="C977" s="118" t="s">
        <v>332</v>
      </c>
      <c r="D977" s="118" t="s">
        <v>333</v>
      </c>
      <c r="E977" s="118" t="s">
        <v>345</v>
      </c>
      <c r="F977" s="119">
        <v>23</v>
      </c>
      <c r="G977" s="120">
        <v>17</v>
      </c>
      <c r="H977" s="121">
        <f t="shared" si="31"/>
        <v>483</v>
      </c>
      <c r="I977" s="122">
        <f t="shared" si="30"/>
        <v>24.150000000000002</v>
      </c>
    </row>
    <row r="978" spans="1:9" x14ac:dyDescent="0.35">
      <c r="A978" s="117">
        <v>45766</v>
      </c>
      <c r="B978" s="118" t="s">
        <v>313</v>
      </c>
      <c r="C978" s="118" t="s">
        <v>393</v>
      </c>
      <c r="D978" s="118" t="s">
        <v>315</v>
      </c>
      <c r="E978" s="118" t="s">
        <v>346</v>
      </c>
      <c r="F978" s="119">
        <v>51</v>
      </c>
      <c r="G978" s="120">
        <v>13</v>
      </c>
      <c r="H978" s="121">
        <f t="shared" si="31"/>
        <v>765</v>
      </c>
      <c r="I978" s="122">
        <f t="shared" si="30"/>
        <v>38.25</v>
      </c>
    </row>
    <row r="979" spans="1:9" x14ac:dyDescent="0.35">
      <c r="A979" s="117">
        <v>45766</v>
      </c>
      <c r="B979" s="118" t="s">
        <v>422</v>
      </c>
      <c r="C979" s="118" t="s">
        <v>314</v>
      </c>
      <c r="D979" s="118" t="s">
        <v>333</v>
      </c>
      <c r="E979" s="118" t="s">
        <v>331</v>
      </c>
      <c r="F979" s="119">
        <v>64</v>
      </c>
      <c r="G979" s="120">
        <v>24</v>
      </c>
      <c r="H979" s="121">
        <f t="shared" si="31"/>
        <v>1728</v>
      </c>
      <c r="I979" s="122">
        <f t="shared" si="30"/>
        <v>86.4</v>
      </c>
    </row>
    <row r="980" spans="1:9" x14ac:dyDescent="0.35">
      <c r="A980" s="117">
        <v>45766</v>
      </c>
      <c r="B980" s="118" t="s">
        <v>322</v>
      </c>
      <c r="C980" s="118" t="s">
        <v>314</v>
      </c>
      <c r="D980" s="118" t="s">
        <v>333</v>
      </c>
      <c r="E980" s="118" t="s">
        <v>394</v>
      </c>
      <c r="F980" s="119">
        <v>14</v>
      </c>
      <c r="G980" s="120">
        <v>17</v>
      </c>
      <c r="H980" s="121">
        <f t="shared" si="31"/>
        <v>280</v>
      </c>
      <c r="I980" s="122">
        <f t="shared" si="30"/>
        <v>14</v>
      </c>
    </row>
    <row r="981" spans="1:9" x14ac:dyDescent="0.35">
      <c r="A981" s="117">
        <v>45767</v>
      </c>
      <c r="B981" s="118" t="s">
        <v>322</v>
      </c>
      <c r="C981" s="118" t="s">
        <v>393</v>
      </c>
      <c r="D981" s="118" t="s">
        <v>320</v>
      </c>
      <c r="E981" s="118" t="s">
        <v>339</v>
      </c>
      <c r="F981" s="119">
        <v>61</v>
      </c>
      <c r="G981" s="120">
        <v>17</v>
      </c>
      <c r="H981" s="121">
        <f t="shared" si="31"/>
        <v>1159</v>
      </c>
      <c r="I981" s="122">
        <f t="shared" si="30"/>
        <v>69.539999999999992</v>
      </c>
    </row>
    <row r="982" spans="1:9" x14ac:dyDescent="0.35">
      <c r="A982" s="117">
        <v>45769</v>
      </c>
      <c r="B982" s="118" t="s">
        <v>322</v>
      </c>
      <c r="C982" s="118" t="s">
        <v>319</v>
      </c>
      <c r="D982" s="118" t="s">
        <v>315</v>
      </c>
      <c r="E982" s="118" t="s">
        <v>342</v>
      </c>
      <c r="F982" s="119">
        <v>49</v>
      </c>
      <c r="G982" s="120">
        <v>17</v>
      </c>
      <c r="H982" s="121">
        <f t="shared" si="31"/>
        <v>882</v>
      </c>
      <c r="I982" s="122">
        <f t="shared" si="30"/>
        <v>44.1</v>
      </c>
    </row>
    <row r="983" spans="1:9" x14ac:dyDescent="0.35">
      <c r="A983" s="117">
        <v>45771</v>
      </c>
      <c r="B983" s="118" t="s">
        <v>322</v>
      </c>
      <c r="C983" s="118" t="s">
        <v>393</v>
      </c>
      <c r="D983" s="118" t="s">
        <v>320</v>
      </c>
      <c r="E983" s="118" t="s">
        <v>455</v>
      </c>
      <c r="F983" s="119">
        <v>64</v>
      </c>
      <c r="G983" s="120">
        <v>17</v>
      </c>
      <c r="H983" s="121">
        <f t="shared" si="31"/>
        <v>1216</v>
      </c>
      <c r="I983" s="122">
        <f t="shared" si="30"/>
        <v>72.959999999999994</v>
      </c>
    </row>
    <row r="984" spans="1:9" x14ac:dyDescent="0.35">
      <c r="A984" s="117">
        <v>45771</v>
      </c>
      <c r="B984" s="118" t="s">
        <v>327</v>
      </c>
      <c r="C984" s="118" t="s">
        <v>319</v>
      </c>
      <c r="D984" s="118" t="s">
        <v>333</v>
      </c>
      <c r="E984" s="118" t="s">
        <v>337</v>
      </c>
      <c r="F984" s="119">
        <v>31</v>
      </c>
      <c r="G984" s="120">
        <v>6</v>
      </c>
      <c r="H984" s="121">
        <f t="shared" si="31"/>
        <v>217</v>
      </c>
      <c r="I984" s="122">
        <f t="shared" si="30"/>
        <v>10.850000000000001</v>
      </c>
    </row>
    <row r="985" spans="1:9" x14ac:dyDescent="0.35">
      <c r="A985" s="117">
        <v>45771</v>
      </c>
      <c r="B985" s="118" t="s">
        <v>322</v>
      </c>
      <c r="C985" s="118" t="s">
        <v>393</v>
      </c>
      <c r="D985" s="118" t="s">
        <v>320</v>
      </c>
      <c r="E985" s="118" t="s">
        <v>394</v>
      </c>
      <c r="F985" s="119">
        <v>24</v>
      </c>
      <c r="G985" s="120">
        <v>17</v>
      </c>
      <c r="H985" s="121">
        <f t="shared" si="31"/>
        <v>456</v>
      </c>
      <c r="I985" s="122">
        <f t="shared" si="30"/>
        <v>27.36</v>
      </c>
    </row>
    <row r="986" spans="1:9" x14ac:dyDescent="0.35">
      <c r="A986" s="117">
        <v>45771</v>
      </c>
      <c r="B986" s="118" t="s">
        <v>327</v>
      </c>
      <c r="C986" s="118" t="s">
        <v>319</v>
      </c>
      <c r="D986" s="118" t="s">
        <v>338</v>
      </c>
      <c r="E986" s="118" t="s">
        <v>405</v>
      </c>
      <c r="F986" s="119">
        <v>18</v>
      </c>
      <c r="G986" s="120">
        <v>6</v>
      </c>
      <c r="H986" s="121">
        <f t="shared" si="31"/>
        <v>126</v>
      </c>
      <c r="I986" s="122">
        <f t="shared" si="30"/>
        <v>7.56</v>
      </c>
    </row>
    <row r="987" spans="1:9" x14ac:dyDescent="0.35">
      <c r="A987" s="117">
        <v>45771</v>
      </c>
      <c r="B987" s="118" t="s">
        <v>327</v>
      </c>
      <c r="C987" s="118" t="s">
        <v>314</v>
      </c>
      <c r="D987" s="118" t="s">
        <v>390</v>
      </c>
      <c r="E987" s="118" t="s">
        <v>405</v>
      </c>
      <c r="F987" s="119">
        <v>59</v>
      </c>
      <c r="G987" s="120">
        <v>6</v>
      </c>
      <c r="H987" s="121">
        <f t="shared" si="31"/>
        <v>531</v>
      </c>
      <c r="I987" s="122">
        <f t="shared" si="30"/>
        <v>26.55</v>
      </c>
    </row>
    <row r="988" spans="1:9" x14ac:dyDescent="0.35">
      <c r="A988" s="117">
        <v>45772</v>
      </c>
      <c r="B988" s="118" t="s">
        <v>327</v>
      </c>
      <c r="C988" s="118" t="s">
        <v>332</v>
      </c>
      <c r="D988" s="118" t="s">
        <v>390</v>
      </c>
      <c r="E988" s="118" t="s">
        <v>345</v>
      </c>
      <c r="F988" s="119">
        <v>62</v>
      </c>
      <c r="G988" s="120">
        <v>6</v>
      </c>
      <c r="H988" s="121">
        <f t="shared" si="31"/>
        <v>620</v>
      </c>
      <c r="I988" s="122">
        <f t="shared" si="30"/>
        <v>31</v>
      </c>
    </row>
    <row r="989" spans="1:9" x14ac:dyDescent="0.35">
      <c r="A989" s="117">
        <v>45773</v>
      </c>
      <c r="B989" s="118" t="s">
        <v>318</v>
      </c>
      <c r="C989" s="118" t="s">
        <v>332</v>
      </c>
      <c r="D989" s="118" t="s">
        <v>320</v>
      </c>
      <c r="E989" s="118" t="s">
        <v>340</v>
      </c>
      <c r="F989" s="119">
        <v>61</v>
      </c>
      <c r="G989" s="120">
        <v>4</v>
      </c>
      <c r="H989" s="121">
        <f t="shared" si="31"/>
        <v>488</v>
      </c>
      <c r="I989" s="122">
        <f t="shared" si="30"/>
        <v>29.279999999999998</v>
      </c>
    </row>
    <row r="990" spans="1:9" x14ac:dyDescent="0.35">
      <c r="A990" s="117">
        <v>45773</v>
      </c>
      <c r="B990" s="118" t="s">
        <v>422</v>
      </c>
      <c r="C990" s="118" t="s">
        <v>332</v>
      </c>
      <c r="D990" s="118" t="s">
        <v>333</v>
      </c>
      <c r="E990" s="118" t="s">
        <v>346</v>
      </c>
      <c r="F990" s="119">
        <v>49</v>
      </c>
      <c r="G990" s="120">
        <v>24</v>
      </c>
      <c r="H990" s="121">
        <f t="shared" si="31"/>
        <v>1372</v>
      </c>
      <c r="I990" s="122">
        <f t="shared" si="30"/>
        <v>68.600000000000009</v>
      </c>
    </row>
    <row r="991" spans="1:9" x14ac:dyDescent="0.35">
      <c r="A991" s="117">
        <v>45773</v>
      </c>
      <c r="B991" s="118" t="s">
        <v>322</v>
      </c>
      <c r="C991" s="118" t="s">
        <v>314</v>
      </c>
      <c r="D991" s="118" t="s">
        <v>423</v>
      </c>
      <c r="E991" s="118" t="s">
        <v>416</v>
      </c>
      <c r="F991" s="119">
        <v>18</v>
      </c>
      <c r="G991" s="120">
        <v>17</v>
      </c>
      <c r="H991" s="121">
        <f t="shared" si="31"/>
        <v>360</v>
      </c>
      <c r="I991" s="122">
        <f t="shared" si="30"/>
        <v>21.599999999999998</v>
      </c>
    </row>
    <row r="992" spans="1:9" x14ac:dyDescent="0.35">
      <c r="A992" s="117">
        <v>45773</v>
      </c>
      <c r="B992" s="118" t="s">
        <v>422</v>
      </c>
      <c r="C992" s="118" t="s">
        <v>393</v>
      </c>
      <c r="D992" s="118" t="s">
        <v>324</v>
      </c>
      <c r="E992" s="118" t="s">
        <v>416</v>
      </c>
      <c r="F992" s="119">
        <v>61</v>
      </c>
      <c r="G992" s="120">
        <v>24</v>
      </c>
      <c r="H992" s="121">
        <f t="shared" si="31"/>
        <v>1586</v>
      </c>
      <c r="I992" s="122">
        <f t="shared" si="30"/>
        <v>79.300000000000011</v>
      </c>
    </row>
    <row r="993" spans="1:9" x14ac:dyDescent="0.35">
      <c r="A993" s="117">
        <v>45773</v>
      </c>
      <c r="B993" s="118" t="s">
        <v>327</v>
      </c>
      <c r="C993" s="118" t="s">
        <v>319</v>
      </c>
      <c r="D993" s="118" t="s">
        <v>324</v>
      </c>
      <c r="E993" s="118" t="s">
        <v>405</v>
      </c>
      <c r="F993" s="119">
        <v>41</v>
      </c>
      <c r="G993" s="120">
        <v>6</v>
      </c>
      <c r="H993" s="121">
        <f t="shared" si="31"/>
        <v>287</v>
      </c>
      <c r="I993" s="122">
        <f t="shared" si="30"/>
        <v>14.350000000000001</v>
      </c>
    </row>
    <row r="994" spans="1:9" x14ac:dyDescent="0.35">
      <c r="A994" s="117">
        <v>45774</v>
      </c>
      <c r="B994" s="118" t="s">
        <v>313</v>
      </c>
      <c r="C994" s="118" t="s">
        <v>332</v>
      </c>
      <c r="D994" s="118" t="s">
        <v>324</v>
      </c>
      <c r="E994" s="118" t="s">
        <v>341</v>
      </c>
      <c r="F994" s="119">
        <v>27</v>
      </c>
      <c r="G994" s="120">
        <v>13</v>
      </c>
      <c r="H994" s="121">
        <f t="shared" si="31"/>
        <v>459</v>
      </c>
      <c r="I994" s="122">
        <f t="shared" si="30"/>
        <v>22.950000000000003</v>
      </c>
    </row>
    <row r="995" spans="1:9" x14ac:dyDescent="0.35">
      <c r="A995" s="117">
        <v>45774</v>
      </c>
      <c r="B995" s="118" t="s">
        <v>422</v>
      </c>
      <c r="C995" s="118" t="s">
        <v>319</v>
      </c>
      <c r="D995" s="118" t="s">
        <v>423</v>
      </c>
      <c r="E995" s="118" t="s">
        <v>400</v>
      </c>
      <c r="F995" s="119">
        <v>36</v>
      </c>
      <c r="G995" s="120">
        <v>24</v>
      </c>
      <c r="H995" s="121">
        <f t="shared" si="31"/>
        <v>900</v>
      </c>
      <c r="I995" s="122">
        <f t="shared" si="30"/>
        <v>54</v>
      </c>
    </row>
    <row r="996" spans="1:9" x14ac:dyDescent="0.35">
      <c r="A996" s="117">
        <v>45774</v>
      </c>
      <c r="B996" s="118" t="s">
        <v>318</v>
      </c>
      <c r="C996" s="118" t="s">
        <v>393</v>
      </c>
      <c r="D996" s="118" t="s">
        <v>324</v>
      </c>
      <c r="E996" s="118" t="s">
        <v>344</v>
      </c>
      <c r="F996" s="119">
        <v>23</v>
      </c>
      <c r="G996" s="120">
        <v>4</v>
      </c>
      <c r="H996" s="121">
        <f t="shared" si="31"/>
        <v>138</v>
      </c>
      <c r="I996" s="122">
        <f t="shared" si="30"/>
        <v>6.9</v>
      </c>
    </row>
    <row r="997" spans="1:9" x14ac:dyDescent="0.35">
      <c r="A997" s="117">
        <v>45774</v>
      </c>
      <c r="B997" s="118" t="s">
        <v>313</v>
      </c>
      <c r="C997" s="118" t="s">
        <v>393</v>
      </c>
      <c r="D997" s="118" t="s">
        <v>333</v>
      </c>
      <c r="E997" s="118" t="s">
        <v>316</v>
      </c>
      <c r="F997" s="119">
        <v>27</v>
      </c>
      <c r="G997" s="120">
        <v>13</v>
      </c>
      <c r="H997" s="121">
        <f t="shared" si="31"/>
        <v>405</v>
      </c>
      <c r="I997" s="122">
        <f t="shared" si="30"/>
        <v>20.25</v>
      </c>
    </row>
    <row r="998" spans="1:9" x14ac:dyDescent="0.35">
      <c r="A998" s="117">
        <v>45775</v>
      </c>
      <c r="B998" s="118" t="s">
        <v>313</v>
      </c>
      <c r="C998" s="118" t="s">
        <v>314</v>
      </c>
      <c r="D998" s="118" t="s">
        <v>320</v>
      </c>
      <c r="E998" s="118" t="s">
        <v>349</v>
      </c>
      <c r="F998" s="119">
        <v>15</v>
      </c>
      <c r="G998" s="120">
        <v>13</v>
      </c>
      <c r="H998" s="121">
        <f t="shared" si="31"/>
        <v>240</v>
      </c>
      <c r="I998" s="122">
        <f t="shared" si="30"/>
        <v>14.399999999999999</v>
      </c>
    </row>
    <row r="999" spans="1:9" x14ac:dyDescent="0.35">
      <c r="A999" s="117">
        <v>45775</v>
      </c>
      <c r="B999" s="118" t="s">
        <v>422</v>
      </c>
      <c r="C999" s="118" t="s">
        <v>332</v>
      </c>
      <c r="D999" s="118" t="s">
        <v>423</v>
      </c>
      <c r="E999" s="118" t="s">
        <v>346</v>
      </c>
      <c r="F999" s="119">
        <v>48</v>
      </c>
      <c r="G999" s="120">
        <v>24</v>
      </c>
      <c r="H999" s="121">
        <f t="shared" si="31"/>
        <v>1344</v>
      </c>
      <c r="I999" s="122">
        <f t="shared" si="30"/>
        <v>80.64</v>
      </c>
    </row>
    <row r="1000" spans="1:9" x14ac:dyDescent="0.35">
      <c r="A1000" s="117">
        <v>45775</v>
      </c>
      <c r="B1000" s="118" t="s">
        <v>327</v>
      </c>
      <c r="C1000" s="118" t="s">
        <v>314</v>
      </c>
      <c r="D1000" s="118" t="s">
        <v>390</v>
      </c>
      <c r="E1000" s="118" t="s">
        <v>416</v>
      </c>
      <c r="F1000" s="119">
        <v>49</v>
      </c>
      <c r="G1000" s="120">
        <v>6</v>
      </c>
      <c r="H1000" s="121">
        <f t="shared" si="31"/>
        <v>441</v>
      </c>
      <c r="I1000" s="122">
        <f t="shared" si="30"/>
        <v>22.05</v>
      </c>
    </row>
    <row r="1001" spans="1:9" x14ac:dyDescent="0.35">
      <c r="A1001" s="117">
        <v>45775</v>
      </c>
      <c r="B1001" s="118" t="s">
        <v>322</v>
      </c>
      <c r="C1001" s="118" t="s">
        <v>314</v>
      </c>
      <c r="D1001" s="118" t="s">
        <v>324</v>
      </c>
      <c r="E1001" s="118" t="s">
        <v>335</v>
      </c>
      <c r="F1001" s="119">
        <v>23</v>
      </c>
      <c r="G1001" s="120">
        <v>17</v>
      </c>
      <c r="H1001" s="121">
        <f t="shared" si="31"/>
        <v>460</v>
      </c>
      <c r="I1001" s="122">
        <f t="shared" si="30"/>
        <v>23</v>
      </c>
    </row>
    <row r="1002" spans="1:9" x14ac:dyDescent="0.35">
      <c r="A1002" s="117">
        <v>45776</v>
      </c>
      <c r="B1002" s="118" t="s">
        <v>322</v>
      </c>
      <c r="C1002" s="118" t="s">
        <v>332</v>
      </c>
      <c r="D1002" s="118" t="s">
        <v>423</v>
      </c>
      <c r="E1002" s="118" t="s">
        <v>388</v>
      </c>
      <c r="F1002" s="119">
        <v>15</v>
      </c>
      <c r="G1002" s="120">
        <v>17</v>
      </c>
      <c r="H1002" s="121">
        <f t="shared" si="31"/>
        <v>315</v>
      </c>
      <c r="I1002" s="122">
        <f t="shared" si="30"/>
        <v>18.899999999999999</v>
      </c>
    </row>
    <row r="1003" spans="1:9" x14ac:dyDescent="0.35">
      <c r="A1003" s="117">
        <v>45777</v>
      </c>
      <c r="B1003" s="118" t="s">
        <v>422</v>
      </c>
      <c r="C1003" s="118" t="s">
        <v>314</v>
      </c>
      <c r="D1003" s="118" t="s">
        <v>315</v>
      </c>
      <c r="E1003" s="118" t="s">
        <v>405</v>
      </c>
      <c r="F1003" s="119">
        <v>60</v>
      </c>
      <c r="G1003" s="120">
        <v>24</v>
      </c>
      <c r="H1003" s="121">
        <f t="shared" si="31"/>
        <v>1620</v>
      </c>
      <c r="I1003" s="122">
        <f t="shared" si="30"/>
        <v>81</v>
      </c>
    </row>
    <row r="1004" spans="1:9" x14ac:dyDescent="0.35">
      <c r="A1004" s="117">
        <v>45778</v>
      </c>
      <c r="B1004" s="118" t="s">
        <v>322</v>
      </c>
      <c r="C1004" s="118" t="s">
        <v>393</v>
      </c>
      <c r="D1004" s="118" t="s">
        <v>324</v>
      </c>
      <c r="E1004" s="118" t="s">
        <v>348</v>
      </c>
      <c r="F1004" s="119">
        <v>58</v>
      </c>
      <c r="G1004" s="120">
        <v>17</v>
      </c>
      <c r="H1004" s="121">
        <f t="shared" si="31"/>
        <v>1102</v>
      </c>
      <c r="I1004" s="122">
        <f t="shared" si="30"/>
        <v>55.1</v>
      </c>
    </row>
    <row r="1005" spans="1:9" x14ac:dyDescent="0.35">
      <c r="A1005" s="117">
        <v>45778</v>
      </c>
      <c r="B1005" s="118" t="s">
        <v>318</v>
      </c>
      <c r="C1005" s="118" t="s">
        <v>319</v>
      </c>
      <c r="D1005" s="118" t="s">
        <v>324</v>
      </c>
      <c r="E1005" s="118" t="s">
        <v>349</v>
      </c>
      <c r="F1005" s="119">
        <v>32</v>
      </c>
      <c r="G1005" s="120">
        <v>4</v>
      </c>
      <c r="H1005" s="121">
        <f t="shared" si="31"/>
        <v>160</v>
      </c>
      <c r="I1005" s="122">
        <f t="shared" si="30"/>
        <v>8</v>
      </c>
    </row>
    <row r="1006" spans="1:9" x14ac:dyDescent="0.35">
      <c r="A1006" s="117">
        <v>45778</v>
      </c>
      <c r="B1006" s="118" t="s">
        <v>322</v>
      </c>
      <c r="C1006" s="118" t="s">
        <v>319</v>
      </c>
      <c r="D1006" s="118" t="s">
        <v>315</v>
      </c>
      <c r="E1006" s="118" t="s">
        <v>329</v>
      </c>
      <c r="F1006" s="119">
        <v>18</v>
      </c>
      <c r="G1006" s="120">
        <v>17</v>
      </c>
      <c r="H1006" s="121">
        <f t="shared" si="31"/>
        <v>324</v>
      </c>
      <c r="I1006" s="122">
        <f t="shared" si="30"/>
        <v>16.2</v>
      </c>
    </row>
    <row r="1007" spans="1:9" x14ac:dyDescent="0.35">
      <c r="A1007" s="117">
        <v>45779</v>
      </c>
      <c r="B1007" s="118" t="s">
        <v>322</v>
      </c>
      <c r="C1007" s="118" t="s">
        <v>393</v>
      </c>
      <c r="D1007" s="118" t="s">
        <v>333</v>
      </c>
      <c r="E1007" s="118" t="s">
        <v>455</v>
      </c>
      <c r="F1007" s="119">
        <v>47</v>
      </c>
      <c r="G1007" s="120">
        <v>17</v>
      </c>
      <c r="H1007" s="121">
        <f t="shared" si="31"/>
        <v>893</v>
      </c>
      <c r="I1007" s="122">
        <f t="shared" si="30"/>
        <v>44.650000000000006</v>
      </c>
    </row>
    <row r="1008" spans="1:9" x14ac:dyDescent="0.35">
      <c r="A1008" s="117">
        <v>45779</v>
      </c>
      <c r="B1008" s="118" t="s">
        <v>327</v>
      </c>
      <c r="C1008" s="118" t="s">
        <v>393</v>
      </c>
      <c r="D1008" s="118" t="s">
        <v>315</v>
      </c>
      <c r="E1008" s="118" t="s">
        <v>340</v>
      </c>
      <c r="F1008" s="119">
        <v>37</v>
      </c>
      <c r="G1008" s="120">
        <v>6</v>
      </c>
      <c r="H1008" s="121">
        <f t="shared" si="31"/>
        <v>296</v>
      </c>
      <c r="I1008" s="122">
        <f t="shared" si="30"/>
        <v>14.8</v>
      </c>
    </row>
    <row r="1009" spans="1:9" x14ac:dyDescent="0.35">
      <c r="A1009" s="117">
        <v>45779</v>
      </c>
      <c r="B1009" s="118" t="s">
        <v>327</v>
      </c>
      <c r="C1009" s="118" t="s">
        <v>393</v>
      </c>
      <c r="D1009" s="118" t="s">
        <v>423</v>
      </c>
      <c r="E1009" s="118" t="s">
        <v>343</v>
      </c>
      <c r="F1009" s="119">
        <v>29</v>
      </c>
      <c r="G1009" s="120">
        <v>6</v>
      </c>
      <c r="H1009" s="121">
        <f t="shared" si="31"/>
        <v>232</v>
      </c>
      <c r="I1009" s="122">
        <f t="shared" si="30"/>
        <v>13.92</v>
      </c>
    </row>
    <row r="1010" spans="1:9" x14ac:dyDescent="0.35">
      <c r="A1010" s="117">
        <v>45780</v>
      </c>
      <c r="B1010" s="118" t="s">
        <v>322</v>
      </c>
      <c r="C1010" s="118" t="s">
        <v>332</v>
      </c>
      <c r="D1010" s="118" t="s">
        <v>333</v>
      </c>
      <c r="E1010" s="118" t="s">
        <v>329</v>
      </c>
      <c r="F1010" s="119">
        <v>52</v>
      </c>
      <c r="G1010" s="120">
        <v>17</v>
      </c>
      <c r="H1010" s="121">
        <f t="shared" si="31"/>
        <v>1092</v>
      </c>
      <c r="I1010" s="122">
        <f t="shared" si="30"/>
        <v>54.6</v>
      </c>
    </row>
    <row r="1011" spans="1:9" x14ac:dyDescent="0.35">
      <c r="A1011" s="117">
        <v>45780</v>
      </c>
      <c r="B1011" s="118" t="s">
        <v>313</v>
      </c>
      <c r="C1011" s="118" t="s">
        <v>393</v>
      </c>
      <c r="D1011" s="118" t="s">
        <v>423</v>
      </c>
      <c r="E1011" s="118" t="s">
        <v>394</v>
      </c>
      <c r="F1011" s="119">
        <v>18</v>
      </c>
      <c r="G1011" s="120">
        <v>13</v>
      </c>
      <c r="H1011" s="121">
        <f t="shared" si="31"/>
        <v>270</v>
      </c>
      <c r="I1011" s="122">
        <f t="shared" si="30"/>
        <v>16.2</v>
      </c>
    </row>
    <row r="1012" spans="1:9" x14ac:dyDescent="0.35">
      <c r="A1012" s="117">
        <v>45780</v>
      </c>
      <c r="B1012" s="118" t="s">
        <v>318</v>
      </c>
      <c r="C1012" s="118" t="s">
        <v>319</v>
      </c>
      <c r="D1012" s="118" t="s">
        <v>423</v>
      </c>
      <c r="E1012" s="118" t="s">
        <v>316</v>
      </c>
      <c r="F1012" s="119">
        <v>56</v>
      </c>
      <c r="G1012" s="120">
        <v>4</v>
      </c>
      <c r="H1012" s="121">
        <f t="shared" si="31"/>
        <v>280</v>
      </c>
      <c r="I1012" s="122">
        <f t="shared" si="30"/>
        <v>16.8</v>
      </c>
    </row>
    <row r="1013" spans="1:9" x14ac:dyDescent="0.35">
      <c r="A1013" s="117">
        <v>45781</v>
      </c>
      <c r="B1013" s="118" t="s">
        <v>313</v>
      </c>
      <c r="C1013" s="118" t="s">
        <v>393</v>
      </c>
      <c r="D1013" s="118" t="s">
        <v>320</v>
      </c>
      <c r="E1013" s="118" t="s">
        <v>342</v>
      </c>
      <c r="F1013" s="119">
        <v>25</v>
      </c>
      <c r="G1013" s="120">
        <v>13</v>
      </c>
      <c r="H1013" s="121">
        <f t="shared" si="31"/>
        <v>375</v>
      </c>
      <c r="I1013" s="122">
        <f t="shared" si="30"/>
        <v>22.5</v>
      </c>
    </row>
    <row r="1014" spans="1:9" x14ac:dyDescent="0.35">
      <c r="A1014" s="117">
        <v>45781</v>
      </c>
      <c r="B1014" s="118" t="s">
        <v>327</v>
      </c>
      <c r="C1014" s="118" t="s">
        <v>314</v>
      </c>
      <c r="D1014" s="118" t="s">
        <v>315</v>
      </c>
      <c r="E1014" s="118" t="s">
        <v>454</v>
      </c>
      <c r="F1014" s="119">
        <v>29</v>
      </c>
      <c r="G1014" s="120">
        <v>6</v>
      </c>
      <c r="H1014" s="121">
        <f t="shared" si="31"/>
        <v>261</v>
      </c>
      <c r="I1014" s="122">
        <f t="shared" si="30"/>
        <v>13.05</v>
      </c>
    </row>
    <row r="1015" spans="1:9" x14ac:dyDescent="0.35">
      <c r="A1015" s="117">
        <v>45781</v>
      </c>
      <c r="B1015" s="118" t="s">
        <v>313</v>
      </c>
      <c r="C1015" s="118" t="s">
        <v>319</v>
      </c>
      <c r="D1015" s="118" t="s">
        <v>324</v>
      </c>
      <c r="E1015" s="118" t="s">
        <v>346</v>
      </c>
      <c r="F1015" s="119">
        <v>45</v>
      </c>
      <c r="G1015" s="120">
        <v>13</v>
      </c>
      <c r="H1015" s="121">
        <f t="shared" si="31"/>
        <v>630</v>
      </c>
      <c r="I1015" s="122">
        <f t="shared" si="30"/>
        <v>31.5</v>
      </c>
    </row>
    <row r="1016" spans="1:9" x14ac:dyDescent="0.35">
      <c r="A1016" s="117">
        <v>45782</v>
      </c>
      <c r="B1016" s="118" t="s">
        <v>422</v>
      </c>
      <c r="C1016" s="118" t="s">
        <v>393</v>
      </c>
      <c r="D1016" s="118" t="s">
        <v>423</v>
      </c>
      <c r="E1016" s="118" t="s">
        <v>341</v>
      </c>
      <c r="F1016" s="119">
        <v>58</v>
      </c>
      <c r="G1016" s="120">
        <v>24</v>
      </c>
      <c r="H1016" s="121">
        <f t="shared" si="31"/>
        <v>1508</v>
      </c>
      <c r="I1016" s="122">
        <f t="shared" si="30"/>
        <v>90.47999999999999</v>
      </c>
    </row>
    <row r="1017" spans="1:9" x14ac:dyDescent="0.35">
      <c r="A1017" s="117">
        <v>45782</v>
      </c>
      <c r="B1017" s="118" t="s">
        <v>327</v>
      </c>
      <c r="C1017" s="118" t="s">
        <v>332</v>
      </c>
      <c r="D1017" s="118" t="s">
        <v>324</v>
      </c>
      <c r="E1017" s="118" t="s">
        <v>340</v>
      </c>
      <c r="F1017" s="119">
        <v>52</v>
      </c>
      <c r="G1017" s="120">
        <v>6</v>
      </c>
      <c r="H1017" s="121">
        <f t="shared" si="31"/>
        <v>520</v>
      </c>
      <c r="I1017" s="122">
        <f t="shared" si="30"/>
        <v>26</v>
      </c>
    </row>
    <row r="1018" spans="1:9" x14ac:dyDescent="0.35">
      <c r="A1018" s="117">
        <v>45782</v>
      </c>
      <c r="B1018" s="118" t="s">
        <v>318</v>
      </c>
      <c r="C1018" s="118" t="s">
        <v>393</v>
      </c>
      <c r="D1018" s="118" t="s">
        <v>333</v>
      </c>
      <c r="E1018" s="118" t="s">
        <v>395</v>
      </c>
      <c r="F1018" s="119">
        <v>65</v>
      </c>
      <c r="G1018" s="120">
        <v>4</v>
      </c>
      <c r="H1018" s="121">
        <f t="shared" si="31"/>
        <v>390</v>
      </c>
      <c r="I1018" s="122">
        <f t="shared" si="30"/>
        <v>19.5</v>
      </c>
    </row>
    <row r="1019" spans="1:9" x14ac:dyDescent="0.35">
      <c r="A1019" s="117">
        <v>45782</v>
      </c>
      <c r="B1019" s="118" t="s">
        <v>422</v>
      </c>
      <c r="C1019" s="118" t="s">
        <v>332</v>
      </c>
      <c r="D1019" s="118" t="s">
        <v>324</v>
      </c>
      <c r="E1019" s="118" t="s">
        <v>339</v>
      </c>
      <c r="F1019" s="119">
        <v>39</v>
      </c>
      <c r="G1019" s="120">
        <v>24</v>
      </c>
      <c r="H1019" s="121">
        <f t="shared" si="31"/>
        <v>1092</v>
      </c>
      <c r="I1019" s="122">
        <f t="shared" si="30"/>
        <v>54.6</v>
      </c>
    </row>
    <row r="1020" spans="1:9" x14ac:dyDescent="0.35">
      <c r="A1020" s="117">
        <v>45782</v>
      </c>
      <c r="B1020" s="118" t="s">
        <v>422</v>
      </c>
      <c r="C1020" s="118" t="s">
        <v>314</v>
      </c>
      <c r="D1020" s="118" t="s">
        <v>315</v>
      </c>
      <c r="E1020" s="118" t="s">
        <v>454</v>
      </c>
      <c r="F1020" s="119">
        <v>31</v>
      </c>
      <c r="G1020" s="120">
        <v>24</v>
      </c>
      <c r="H1020" s="121">
        <f t="shared" si="31"/>
        <v>837</v>
      </c>
      <c r="I1020" s="122">
        <f t="shared" si="30"/>
        <v>41.85</v>
      </c>
    </row>
    <row r="1021" spans="1:9" x14ac:dyDescent="0.35">
      <c r="A1021" s="117">
        <v>45782</v>
      </c>
      <c r="B1021" s="118" t="s">
        <v>322</v>
      </c>
      <c r="C1021" s="118" t="s">
        <v>314</v>
      </c>
      <c r="D1021" s="118" t="s">
        <v>324</v>
      </c>
      <c r="E1021" s="118" t="s">
        <v>346</v>
      </c>
      <c r="F1021" s="119">
        <v>15</v>
      </c>
      <c r="G1021" s="120">
        <v>17</v>
      </c>
      <c r="H1021" s="121">
        <f t="shared" si="31"/>
        <v>300</v>
      </c>
      <c r="I1021" s="122">
        <f t="shared" si="30"/>
        <v>15</v>
      </c>
    </row>
    <row r="1022" spans="1:9" x14ac:dyDescent="0.35">
      <c r="A1022" s="117">
        <v>45782</v>
      </c>
      <c r="B1022" s="118" t="s">
        <v>313</v>
      </c>
      <c r="C1022" s="118" t="s">
        <v>314</v>
      </c>
      <c r="D1022" s="118" t="s">
        <v>390</v>
      </c>
      <c r="E1022" s="118" t="s">
        <v>346</v>
      </c>
      <c r="F1022" s="119">
        <v>45</v>
      </c>
      <c r="G1022" s="120">
        <v>13</v>
      </c>
      <c r="H1022" s="121">
        <f t="shared" si="31"/>
        <v>720</v>
      </c>
      <c r="I1022" s="122">
        <f t="shared" si="30"/>
        <v>36</v>
      </c>
    </row>
    <row r="1023" spans="1:9" x14ac:dyDescent="0.35">
      <c r="A1023" s="117">
        <v>45783</v>
      </c>
      <c r="B1023" s="118" t="s">
        <v>313</v>
      </c>
      <c r="C1023" s="118" t="s">
        <v>393</v>
      </c>
      <c r="D1023" s="118" t="s">
        <v>390</v>
      </c>
      <c r="E1023" s="118" t="s">
        <v>342</v>
      </c>
      <c r="F1023" s="119">
        <v>51</v>
      </c>
      <c r="G1023" s="120">
        <v>13</v>
      </c>
      <c r="H1023" s="121">
        <f t="shared" si="31"/>
        <v>765</v>
      </c>
      <c r="I1023" s="122">
        <f t="shared" si="30"/>
        <v>38.25</v>
      </c>
    </row>
    <row r="1024" spans="1:9" x14ac:dyDescent="0.35">
      <c r="A1024" s="117">
        <v>45783</v>
      </c>
      <c r="B1024" s="118" t="s">
        <v>322</v>
      </c>
      <c r="C1024" s="118" t="s">
        <v>319</v>
      </c>
      <c r="D1024" s="118" t="s">
        <v>320</v>
      </c>
      <c r="E1024" s="118" t="s">
        <v>335</v>
      </c>
      <c r="F1024" s="119">
        <v>60</v>
      </c>
      <c r="G1024" s="120">
        <v>17</v>
      </c>
      <c r="H1024" s="121">
        <f t="shared" si="31"/>
        <v>1080</v>
      </c>
      <c r="I1024" s="122">
        <f t="shared" si="30"/>
        <v>64.8</v>
      </c>
    </row>
    <row r="1025" spans="1:9" x14ac:dyDescent="0.35">
      <c r="A1025" s="117">
        <v>45784</v>
      </c>
      <c r="B1025" s="118" t="s">
        <v>327</v>
      </c>
      <c r="C1025" s="118" t="s">
        <v>393</v>
      </c>
      <c r="D1025" s="118" t="s">
        <v>338</v>
      </c>
      <c r="E1025" s="118" t="s">
        <v>394</v>
      </c>
      <c r="F1025" s="119">
        <v>11</v>
      </c>
      <c r="G1025" s="120">
        <v>6</v>
      </c>
      <c r="H1025" s="121">
        <f t="shared" si="31"/>
        <v>88</v>
      </c>
      <c r="I1025" s="122">
        <f t="shared" si="30"/>
        <v>5.2799999999999994</v>
      </c>
    </row>
    <row r="1026" spans="1:9" x14ac:dyDescent="0.35">
      <c r="A1026" s="117">
        <v>45784</v>
      </c>
      <c r="B1026" s="118" t="s">
        <v>327</v>
      </c>
      <c r="C1026" s="118" t="s">
        <v>393</v>
      </c>
      <c r="D1026" s="118" t="s">
        <v>324</v>
      </c>
      <c r="E1026" s="118" t="s">
        <v>394</v>
      </c>
      <c r="F1026" s="119">
        <v>9</v>
      </c>
      <c r="G1026" s="120">
        <v>6</v>
      </c>
      <c r="H1026" s="121">
        <f t="shared" si="31"/>
        <v>72</v>
      </c>
      <c r="I1026" s="122">
        <f t="shared" ref="I1026:I1089" si="32">H1026*VLOOKUP(D1026,$O$4:$P$10,2,TRUE)</f>
        <v>3.6</v>
      </c>
    </row>
    <row r="1027" spans="1:9" x14ac:dyDescent="0.35">
      <c r="A1027" s="117">
        <v>45784</v>
      </c>
      <c r="B1027" s="118" t="s">
        <v>327</v>
      </c>
      <c r="C1027" s="118" t="s">
        <v>332</v>
      </c>
      <c r="D1027" s="118" t="s">
        <v>320</v>
      </c>
      <c r="E1027" s="118" t="s">
        <v>316</v>
      </c>
      <c r="F1027" s="119">
        <v>47</v>
      </c>
      <c r="G1027" s="120">
        <v>6</v>
      </c>
      <c r="H1027" s="121">
        <f t="shared" ref="H1027:H1090" si="33">(F1027*G1027)+VLOOKUP(C1027,$K$11:$L$14,2,FALSE)*F1027</f>
        <v>470</v>
      </c>
      <c r="I1027" s="122">
        <f t="shared" si="32"/>
        <v>28.2</v>
      </c>
    </row>
    <row r="1028" spans="1:9" x14ac:dyDescent="0.35">
      <c r="A1028" s="117">
        <v>45785</v>
      </c>
      <c r="B1028" s="118" t="s">
        <v>422</v>
      </c>
      <c r="C1028" s="118" t="s">
        <v>332</v>
      </c>
      <c r="D1028" s="118" t="s">
        <v>315</v>
      </c>
      <c r="E1028" s="118" t="s">
        <v>341</v>
      </c>
      <c r="F1028" s="119">
        <v>36</v>
      </c>
      <c r="G1028" s="120">
        <v>24</v>
      </c>
      <c r="H1028" s="121">
        <f t="shared" si="33"/>
        <v>1008</v>
      </c>
      <c r="I1028" s="122">
        <f t="shared" si="32"/>
        <v>50.400000000000006</v>
      </c>
    </row>
    <row r="1029" spans="1:9" x14ac:dyDescent="0.35">
      <c r="A1029" s="117">
        <v>45785</v>
      </c>
      <c r="B1029" s="118" t="s">
        <v>327</v>
      </c>
      <c r="C1029" s="118" t="s">
        <v>319</v>
      </c>
      <c r="D1029" s="118" t="s">
        <v>338</v>
      </c>
      <c r="E1029" s="118" t="s">
        <v>394</v>
      </c>
      <c r="F1029" s="119">
        <v>39</v>
      </c>
      <c r="G1029" s="120">
        <v>6</v>
      </c>
      <c r="H1029" s="121">
        <f t="shared" si="33"/>
        <v>273</v>
      </c>
      <c r="I1029" s="122">
        <f t="shared" si="32"/>
        <v>16.38</v>
      </c>
    </row>
    <row r="1030" spans="1:9" x14ac:dyDescent="0.35">
      <c r="A1030" s="117">
        <v>45786</v>
      </c>
      <c r="B1030" s="118" t="s">
        <v>422</v>
      </c>
      <c r="C1030" s="118" t="s">
        <v>319</v>
      </c>
      <c r="D1030" s="118" t="s">
        <v>333</v>
      </c>
      <c r="E1030" s="118" t="s">
        <v>406</v>
      </c>
      <c r="F1030" s="119">
        <v>41</v>
      </c>
      <c r="G1030" s="120">
        <v>24</v>
      </c>
      <c r="H1030" s="121">
        <f t="shared" si="33"/>
        <v>1025</v>
      </c>
      <c r="I1030" s="122">
        <f t="shared" si="32"/>
        <v>51.25</v>
      </c>
    </row>
    <row r="1031" spans="1:9" x14ac:dyDescent="0.35">
      <c r="A1031" s="117">
        <v>45786</v>
      </c>
      <c r="B1031" s="118" t="s">
        <v>422</v>
      </c>
      <c r="C1031" s="118" t="s">
        <v>393</v>
      </c>
      <c r="D1031" s="118" t="s">
        <v>338</v>
      </c>
      <c r="E1031" s="118" t="s">
        <v>348</v>
      </c>
      <c r="F1031" s="119">
        <v>49</v>
      </c>
      <c r="G1031" s="120">
        <v>24</v>
      </c>
      <c r="H1031" s="121">
        <f t="shared" si="33"/>
        <v>1274</v>
      </c>
      <c r="I1031" s="122">
        <f t="shared" si="32"/>
        <v>76.44</v>
      </c>
    </row>
    <row r="1032" spans="1:9" x14ac:dyDescent="0.35">
      <c r="A1032" s="117">
        <v>45786</v>
      </c>
      <c r="B1032" s="118" t="s">
        <v>318</v>
      </c>
      <c r="C1032" s="118" t="s">
        <v>332</v>
      </c>
      <c r="D1032" s="118" t="s">
        <v>423</v>
      </c>
      <c r="E1032" s="118" t="s">
        <v>388</v>
      </c>
      <c r="F1032" s="119">
        <v>14</v>
      </c>
      <c r="G1032" s="120">
        <v>4</v>
      </c>
      <c r="H1032" s="121">
        <f t="shared" si="33"/>
        <v>112</v>
      </c>
      <c r="I1032" s="122">
        <f t="shared" si="32"/>
        <v>6.72</v>
      </c>
    </row>
    <row r="1033" spans="1:9" x14ac:dyDescent="0.35">
      <c r="A1033" s="117">
        <v>45786</v>
      </c>
      <c r="B1033" s="118" t="s">
        <v>322</v>
      </c>
      <c r="C1033" s="118" t="s">
        <v>332</v>
      </c>
      <c r="D1033" s="118" t="s">
        <v>315</v>
      </c>
      <c r="E1033" s="118" t="s">
        <v>340</v>
      </c>
      <c r="F1033" s="119">
        <v>33</v>
      </c>
      <c r="G1033" s="120">
        <v>17</v>
      </c>
      <c r="H1033" s="121">
        <f t="shared" si="33"/>
        <v>693</v>
      </c>
      <c r="I1033" s="122">
        <f t="shared" si="32"/>
        <v>34.65</v>
      </c>
    </row>
    <row r="1034" spans="1:9" x14ac:dyDescent="0.35">
      <c r="A1034" s="117">
        <v>45786</v>
      </c>
      <c r="B1034" s="118" t="s">
        <v>322</v>
      </c>
      <c r="C1034" s="118" t="s">
        <v>319</v>
      </c>
      <c r="D1034" s="118" t="s">
        <v>315</v>
      </c>
      <c r="E1034" s="118" t="s">
        <v>350</v>
      </c>
      <c r="F1034" s="119">
        <v>48</v>
      </c>
      <c r="G1034" s="120">
        <v>17</v>
      </c>
      <c r="H1034" s="121">
        <f t="shared" si="33"/>
        <v>864</v>
      </c>
      <c r="I1034" s="122">
        <f t="shared" si="32"/>
        <v>43.2</v>
      </c>
    </row>
    <row r="1035" spans="1:9" x14ac:dyDescent="0.35">
      <c r="A1035" s="117">
        <v>45787</v>
      </c>
      <c r="B1035" s="118" t="s">
        <v>318</v>
      </c>
      <c r="C1035" s="118" t="s">
        <v>314</v>
      </c>
      <c r="D1035" s="118" t="s">
        <v>320</v>
      </c>
      <c r="E1035" s="118" t="s">
        <v>406</v>
      </c>
      <c r="F1035" s="119">
        <v>20</v>
      </c>
      <c r="G1035" s="120">
        <v>4</v>
      </c>
      <c r="H1035" s="121">
        <f t="shared" si="33"/>
        <v>140</v>
      </c>
      <c r="I1035" s="122">
        <f t="shared" si="32"/>
        <v>8.4</v>
      </c>
    </row>
    <row r="1036" spans="1:9" x14ac:dyDescent="0.35">
      <c r="A1036" s="117">
        <v>45787</v>
      </c>
      <c r="B1036" s="118" t="s">
        <v>318</v>
      </c>
      <c r="C1036" s="118" t="s">
        <v>319</v>
      </c>
      <c r="D1036" s="118" t="s">
        <v>315</v>
      </c>
      <c r="E1036" s="118" t="s">
        <v>349</v>
      </c>
      <c r="F1036" s="119">
        <v>30</v>
      </c>
      <c r="G1036" s="120">
        <v>4</v>
      </c>
      <c r="H1036" s="121">
        <f t="shared" si="33"/>
        <v>150</v>
      </c>
      <c r="I1036" s="122">
        <f t="shared" si="32"/>
        <v>7.5</v>
      </c>
    </row>
    <row r="1037" spans="1:9" x14ac:dyDescent="0.35">
      <c r="A1037" s="117">
        <v>45787</v>
      </c>
      <c r="B1037" s="118" t="s">
        <v>327</v>
      </c>
      <c r="C1037" s="118" t="s">
        <v>332</v>
      </c>
      <c r="D1037" s="118" t="s">
        <v>423</v>
      </c>
      <c r="E1037" s="118" t="s">
        <v>394</v>
      </c>
      <c r="F1037" s="119">
        <v>46</v>
      </c>
      <c r="G1037" s="120">
        <v>6</v>
      </c>
      <c r="H1037" s="121">
        <f t="shared" si="33"/>
        <v>460</v>
      </c>
      <c r="I1037" s="122">
        <f t="shared" si="32"/>
        <v>27.599999999999998</v>
      </c>
    </row>
    <row r="1038" spans="1:9" x14ac:dyDescent="0.35">
      <c r="A1038" s="117">
        <v>45787</v>
      </c>
      <c r="B1038" s="118" t="s">
        <v>322</v>
      </c>
      <c r="C1038" s="118" t="s">
        <v>393</v>
      </c>
      <c r="D1038" s="118" t="s">
        <v>333</v>
      </c>
      <c r="E1038" s="118" t="s">
        <v>350</v>
      </c>
      <c r="F1038" s="119">
        <v>46</v>
      </c>
      <c r="G1038" s="120">
        <v>17</v>
      </c>
      <c r="H1038" s="121">
        <f t="shared" si="33"/>
        <v>874</v>
      </c>
      <c r="I1038" s="122">
        <f t="shared" si="32"/>
        <v>43.7</v>
      </c>
    </row>
    <row r="1039" spans="1:9" x14ac:dyDescent="0.35">
      <c r="A1039" s="117">
        <v>45787</v>
      </c>
      <c r="B1039" s="118" t="s">
        <v>322</v>
      </c>
      <c r="C1039" s="118" t="s">
        <v>319</v>
      </c>
      <c r="D1039" s="118" t="s">
        <v>324</v>
      </c>
      <c r="E1039" s="118" t="s">
        <v>350</v>
      </c>
      <c r="F1039" s="119">
        <v>37</v>
      </c>
      <c r="G1039" s="120">
        <v>17</v>
      </c>
      <c r="H1039" s="121">
        <f t="shared" si="33"/>
        <v>666</v>
      </c>
      <c r="I1039" s="122">
        <f t="shared" si="32"/>
        <v>33.300000000000004</v>
      </c>
    </row>
    <row r="1040" spans="1:9" x14ac:dyDescent="0.35">
      <c r="A1040" s="117">
        <v>45788</v>
      </c>
      <c r="B1040" s="118" t="s">
        <v>313</v>
      </c>
      <c r="C1040" s="118" t="s">
        <v>314</v>
      </c>
      <c r="D1040" s="118" t="s">
        <v>333</v>
      </c>
      <c r="E1040" s="118" t="s">
        <v>349</v>
      </c>
      <c r="F1040" s="119">
        <v>65</v>
      </c>
      <c r="G1040" s="120">
        <v>13</v>
      </c>
      <c r="H1040" s="121">
        <f t="shared" si="33"/>
        <v>1040</v>
      </c>
      <c r="I1040" s="122">
        <f t="shared" si="32"/>
        <v>52</v>
      </c>
    </row>
    <row r="1041" spans="1:9" x14ac:dyDescent="0.35">
      <c r="A1041" s="117">
        <v>45788</v>
      </c>
      <c r="B1041" s="118" t="s">
        <v>318</v>
      </c>
      <c r="C1041" s="118" t="s">
        <v>332</v>
      </c>
      <c r="D1041" s="118" t="s">
        <v>338</v>
      </c>
      <c r="E1041" s="118" t="s">
        <v>346</v>
      </c>
      <c r="F1041" s="119">
        <v>13</v>
      </c>
      <c r="G1041" s="120">
        <v>4</v>
      </c>
      <c r="H1041" s="121">
        <f t="shared" si="33"/>
        <v>104</v>
      </c>
      <c r="I1041" s="122">
        <f t="shared" si="32"/>
        <v>6.24</v>
      </c>
    </row>
    <row r="1042" spans="1:9" x14ac:dyDescent="0.35">
      <c r="A1042" s="117">
        <v>45788</v>
      </c>
      <c r="B1042" s="118" t="s">
        <v>327</v>
      </c>
      <c r="C1042" s="118" t="s">
        <v>393</v>
      </c>
      <c r="D1042" s="118" t="s">
        <v>423</v>
      </c>
      <c r="E1042" s="118" t="s">
        <v>343</v>
      </c>
      <c r="F1042" s="119">
        <v>22</v>
      </c>
      <c r="G1042" s="120">
        <v>6</v>
      </c>
      <c r="H1042" s="121">
        <f t="shared" si="33"/>
        <v>176</v>
      </c>
      <c r="I1042" s="122">
        <f t="shared" si="32"/>
        <v>10.559999999999999</v>
      </c>
    </row>
    <row r="1043" spans="1:9" x14ac:dyDescent="0.35">
      <c r="A1043" s="117">
        <v>45789</v>
      </c>
      <c r="B1043" s="118" t="s">
        <v>327</v>
      </c>
      <c r="C1043" s="118" t="s">
        <v>393</v>
      </c>
      <c r="D1043" s="118" t="s">
        <v>423</v>
      </c>
      <c r="E1043" s="118" t="s">
        <v>341</v>
      </c>
      <c r="F1043" s="119">
        <v>64</v>
      </c>
      <c r="G1043" s="120">
        <v>6</v>
      </c>
      <c r="H1043" s="121">
        <f t="shared" si="33"/>
        <v>512</v>
      </c>
      <c r="I1043" s="122">
        <f t="shared" si="32"/>
        <v>30.72</v>
      </c>
    </row>
    <row r="1044" spans="1:9" x14ac:dyDescent="0.35">
      <c r="A1044" s="117">
        <v>45789</v>
      </c>
      <c r="B1044" s="118" t="s">
        <v>422</v>
      </c>
      <c r="C1044" s="118" t="s">
        <v>314</v>
      </c>
      <c r="D1044" s="118" t="s">
        <v>423</v>
      </c>
      <c r="E1044" s="118" t="s">
        <v>348</v>
      </c>
      <c r="F1044" s="119">
        <v>11</v>
      </c>
      <c r="G1044" s="120">
        <v>24</v>
      </c>
      <c r="H1044" s="121">
        <f t="shared" si="33"/>
        <v>297</v>
      </c>
      <c r="I1044" s="122">
        <f t="shared" si="32"/>
        <v>17.82</v>
      </c>
    </row>
    <row r="1045" spans="1:9" x14ac:dyDescent="0.35">
      <c r="A1045" s="117">
        <v>45789</v>
      </c>
      <c r="B1045" s="118" t="s">
        <v>313</v>
      </c>
      <c r="C1045" s="118" t="s">
        <v>319</v>
      </c>
      <c r="D1045" s="118" t="s">
        <v>315</v>
      </c>
      <c r="E1045" s="118" t="s">
        <v>349</v>
      </c>
      <c r="F1045" s="119">
        <v>48</v>
      </c>
      <c r="G1045" s="120">
        <v>13</v>
      </c>
      <c r="H1045" s="121">
        <f t="shared" si="33"/>
        <v>672</v>
      </c>
      <c r="I1045" s="122">
        <f t="shared" si="32"/>
        <v>33.6</v>
      </c>
    </row>
    <row r="1046" spans="1:9" x14ac:dyDescent="0.35">
      <c r="A1046" s="117">
        <v>45789</v>
      </c>
      <c r="B1046" s="118" t="s">
        <v>313</v>
      </c>
      <c r="C1046" s="118" t="s">
        <v>332</v>
      </c>
      <c r="D1046" s="118" t="s">
        <v>315</v>
      </c>
      <c r="E1046" s="118" t="s">
        <v>343</v>
      </c>
      <c r="F1046" s="119">
        <v>25</v>
      </c>
      <c r="G1046" s="120">
        <v>13</v>
      </c>
      <c r="H1046" s="121">
        <f t="shared" si="33"/>
        <v>425</v>
      </c>
      <c r="I1046" s="122">
        <f t="shared" si="32"/>
        <v>21.25</v>
      </c>
    </row>
    <row r="1047" spans="1:9" x14ac:dyDescent="0.35">
      <c r="A1047" s="117">
        <v>45789</v>
      </c>
      <c r="B1047" s="118" t="s">
        <v>318</v>
      </c>
      <c r="C1047" s="118" t="s">
        <v>332</v>
      </c>
      <c r="D1047" s="118" t="s">
        <v>333</v>
      </c>
      <c r="E1047" s="118" t="s">
        <v>350</v>
      </c>
      <c r="F1047" s="119">
        <v>52</v>
      </c>
      <c r="G1047" s="120">
        <v>4</v>
      </c>
      <c r="H1047" s="121">
        <f t="shared" si="33"/>
        <v>416</v>
      </c>
      <c r="I1047" s="122">
        <f t="shared" si="32"/>
        <v>20.8</v>
      </c>
    </row>
    <row r="1048" spans="1:9" x14ac:dyDescent="0.35">
      <c r="A1048" s="117">
        <v>45790</v>
      </c>
      <c r="B1048" s="118" t="s">
        <v>318</v>
      </c>
      <c r="C1048" s="118" t="s">
        <v>393</v>
      </c>
      <c r="D1048" s="118" t="s">
        <v>390</v>
      </c>
      <c r="E1048" s="118" t="s">
        <v>400</v>
      </c>
      <c r="F1048" s="119">
        <v>41</v>
      </c>
      <c r="G1048" s="120">
        <v>4</v>
      </c>
      <c r="H1048" s="121">
        <f t="shared" si="33"/>
        <v>246</v>
      </c>
      <c r="I1048" s="122">
        <f t="shared" si="32"/>
        <v>12.3</v>
      </c>
    </row>
    <row r="1049" spans="1:9" x14ac:dyDescent="0.35">
      <c r="A1049" s="117">
        <v>45790</v>
      </c>
      <c r="B1049" s="118" t="s">
        <v>327</v>
      </c>
      <c r="C1049" s="118" t="s">
        <v>314</v>
      </c>
      <c r="D1049" s="118" t="s">
        <v>320</v>
      </c>
      <c r="E1049" s="118" t="s">
        <v>346</v>
      </c>
      <c r="F1049" s="119">
        <v>18</v>
      </c>
      <c r="G1049" s="120">
        <v>6</v>
      </c>
      <c r="H1049" s="121">
        <f t="shared" si="33"/>
        <v>162</v>
      </c>
      <c r="I1049" s="122">
        <f t="shared" si="32"/>
        <v>9.7199999999999989</v>
      </c>
    </row>
    <row r="1050" spans="1:9" x14ac:dyDescent="0.35">
      <c r="A1050" s="117">
        <v>45790</v>
      </c>
      <c r="B1050" s="118" t="s">
        <v>318</v>
      </c>
      <c r="C1050" s="118" t="s">
        <v>319</v>
      </c>
      <c r="D1050" s="118" t="s">
        <v>333</v>
      </c>
      <c r="E1050" s="118" t="s">
        <v>331</v>
      </c>
      <c r="F1050" s="119">
        <v>22</v>
      </c>
      <c r="G1050" s="120">
        <v>4</v>
      </c>
      <c r="H1050" s="121">
        <f t="shared" si="33"/>
        <v>110</v>
      </c>
      <c r="I1050" s="122">
        <f t="shared" si="32"/>
        <v>5.5</v>
      </c>
    </row>
    <row r="1051" spans="1:9" x14ac:dyDescent="0.35">
      <c r="A1051" s="117">
        <v>45790</v>
      </c>
      <c r="B1051" s="118" t="s">
        <v>318</v>
      </c>
      <c r="C1051" s="118" t="s">
        <v>393</v>
      </c>
      <c r="D1051" s="118" t="s">
        <v>320</v>
      </c>
      <c r="E1051" s="118" t="s">
        <v>394</v>
      </c>
      <c r="F1051" s="119">
        <v>19</v>
      </c>
      <c r="G1051" s="120">
        <v>4</v>
      </c>
      <c r="H1051" s="121">
        <f t="shared" si="33"/>
        <v>114</v>
      </c>
      <c r="I1051" s="122">
        <f t="shared" si="32"/>
        <v>6.84</v>
      </c>
    </row>
    <row r="1052" spans="1:9" x14ac:dyDescent="0.35">
      <c r="A1052" s="117">
        <v>45790</v>
      </c>
      <c r="B1052" s="118" t="s">
        <v>318</v>
      </c>
      <c r="C1052" s="118" t="s">
        <v>314</v>
      </c>
      <c r="D1052" s="118" t="s">
        <v>423</v>
      </c>
      <c r="E1052" s="118" t="s">
        <v>350</v>
      </c>
      <c r="F1052" s="119">
        <v>55</v>
      </c>
      <c r="G1052" s="120">
        <v>4</v>
      </c>
      <c r="H1052" s="121">
        <f t="shared" si="33"/>
        <v>385</v>
      </c>
      <c r="I1052" s="122">
        <f t="shared" si="32"/>
        <v>23.099999999999998</v>
      </c>
    </row>
    <row r="1053" spans="1:9" x14ac:dyDescent="0.35">
      <c r="A1053" s="117">
        <v>45791</v>
      </c>
      <c r="B1053" s="118" t="s">
        <v>422</v>
      </c>
      <c r="C1053" s="118" t="s">
        <v>332</v>
      </c>
      <c r="D1053" s="118" t="s">
        <v>338</v>
      </c>
      <c r="E1053" s="118" t="s">
        <v>348</v>
      </c>
      <c r="F1053" s="119">
        <v>52</v>
      </c>
      <c r="G1053" s="120">
        <v>24</v>
      </c>
      <c r="H1053" s="121">
        <f t="shared" si="33"/>
        <v>1456</v>
      </c>
      <c r="I1053" s="122">
        <f t="shared" si="32"/>
        <v>87.36</v>
      </c>
    </row>
    <row r="1054" spans="1:9" x14ac:dyDescent="0.35">
      <c r="A1054" s="117">
        <v>45791</v>
      </c>
      <c r="B1054" s="118" t="s">
        <v>313</v>
      </c>
      <c r="C1054" s="118" t="s">
        <v>332</v>
      </c>
      <c r="D1054" s="118" t="s">
        <v>333</v>
      </c>
      <c r="E1054" s="118" t="s">
        <v>340</v>
      </c>
      <c r="F1054" s="119">
        <v>16</v>
      </c>
      <c r="G1054" s="120">
        <v>13</v>
      </c>
      <c r="H1054" s="121">
        <f t="shared" si="33"/>
        <v>272</v>
      </c>
      <c r="I1054" s="122">
        <f t="shared" si="32"/>
        <v>13.600000000000001</v>
      </c>
    </row>
    <row r="1055" spans="1:9" x14ac:dyDescent="0.35">
      <c r="A1055" s="117">
        <v>45791</v>
      </c>
      <c r="B1055" s="118" t="s">
        <v>422</v>
      </c>
      <c r="C1055" s="118" t="s">
        <v>314</v>
      </c>
      <c r="D1055" s="118" t="s">
        <v>390</v>
      </c>
      <c r="E1055" s="118" t="s">
        <v>337</v>
      </c>
      <c r="F1055" s="119">
        <v>31</v>
      </c>
      <c r="G1055" s="120">
        <v>24</v>
      </c>
      <c r="H1055" s="121">
        <f t="shared" si="33"/>
        <v>837</v>
      </c>
      <c r="I1055" s="122">
        <f t="shared" si="32"/>
        <v>41.85</v>
      </c>
    </row>
    <row r="1056" spans="1:9" x14ac:dyDescent="0.35">
      <c r="A1056" s="117">
        <v>45791</v>
      </c>
      <c r="B1056" s="118" t="s">
        <v>322</v>
      </c>
      <c r="C1056" s="118" t="s">
        <v>314</v>
      </c>
      <c r="D1056" s="118" t="s">
        <v>390</v>
      </c>
      <c r="E1056" s="118" t="s">
        <v>400</v>
      </c>
      <c r="F1056" s="119">
        <v>45</v>
      </c>
      <c r="G1056" s="120">
        <v>17</v>
      </c>
      <c r="H1056" s="121">
        <f t="shared" si="33"/>
        <v>900</v>
      </c>
      <c r="I1056" s="122">
        <f t="shared" si="32"/>
        <v>45</v>
      </c>
    </row>
    <row r="1057" spans="1:9" x14ac:dyDescent="0.35">
      <c r="A1057" s="117">
        <v>45791</v>
      </c>
      <c r="B1057" s="118" t="s">
        <v>313</v>
      </c>
      <c r="C1057" s="118" t="s">
        <v>393</v>
      </c>
      <c r="D1057" s="118" t="s">
        <v>315</v>
      </c>
      <c r="E1057" s="118" t="s">
        <v>346</v>
      </c>
      <c r="F1057" s="119">
        <v>42</v>
      </c>
      <c r="G1057" s="120">
        <v>13</v>
      </c>
      <c r="H1057" s="121">
        <f t="shared" si="33"/>
        <v>630</v>
      </c>
      <c r="I1057" s="122">
        <f t="shared" si="32"/>
        <v>31.5</v>
      </c>
    </row>
    <row r="1058" spans="1:9" x14ac:dyDescent="0.35">
      <c r="A1058" s="117">
        <v>45791</v>
      </c>
      <c r="B1058" s="118" t="s">
        <v>322</v>
      </c>
      <c r="C1058" s="118" t="s">
        <v>393</v>
      </c>
      <c r="D1058" s="118" t="s">
        <v>333</v>
      </c>
      <c r="E1058" s="118" t="s">
        <v>344</v>
      </c>
      <c r="F1058" s="119">
        <v>61</v>
      </c>
      <c r="G1058" s="120">
        <v>17</v>
      </c>
      <c r="H1058" s="121">
        <f t="shared" si="33"/>
        <v>1159</v>
      </c>
      <c r="I1058" s="122">
        <f t="shared" si="32"/>
        <v>57.95</v>
      </c>
    </row>
    <row r="1059" spans="1:9" x14ac:dyDescent="0.35">
      <c r="A1059" s="117">
        <v>45792</v>
      </c>
      <c r="B1059" s="118" t="s">
        <v>422</v>
      </c>
      <c r="C1059" s="118" t="s">
        <v>319</v>
      </c>
      <c r="D1059" s="118" t="s">
        <v>390</v>
      </c>
      <c r="E1059" s="118" t="s">
        <v>340</v>
      </c>
      <c r="F1059" s="119">
        <v>14</v>
      </c>
      <c r="G1059" s="120">
        <v>24</v>
      </c>
      <c r="H1059" s="121">
        <f t="shared" si="33"/>
        <v>350</v>
      </c>
      <c r="I1059" s="122">
        <f t="shared" si="32"/>
        <v>17.5</v>
      </c>
    </row>
    <row r="1060" spans="1:9" x14ac:dyDescent="0.35">
      <c r="A1060" s="117">
        <v>45792</v>
      </c>
      <c r="B1060" s="118" t="s">
        <v>318</v>
      </c>
      <c r="C1060" s="118" t="s">
        <v>314</v>
      </c>
      <c r="D1060" s="118" t="s">
        <v>333</v>
      </c>
      <c r="E1060" s="118" t="s">
        <v>340</v>
      </c>
      <c r="F1060" s="119">
        <v>36</v>
      </c>
      <c r="G1060" s="120">
        <v>4</v>
      </c>
      <c r="H1060" s="121">
        <f t="shared" si="33"/>
        <v>252</v>
      </c>
      <c r="I1060" s="122">
        <f t="shared" si="32"/>
        <v>12.600000000000001</v>
      </c>
    </row>
    <row r="1061" spans="1:9" x14ac:dyDescent="0.35">
      <c r="A1061" s="117">
        <v>45792</v>
      </c>
      <c r="B1061" s="118" t="s">
        <v>422</v>
      </c>
      <c r="C1061" s="118" t="s">
        <v>332</v>
      </c>
      <c r="D1061" s="118" t="s">
        <v>315</v>
      </c>
      <c r="E1061" s="118" t="s">
        <v>339</v>
      </c>
      <c r="F1061" s="119">
        <v>35</v>
      </c>
      <c r="G1061" s="120">
        <v>24</v>
      </c>
      <c r="H1061" s="121">
        <f t="shared" si="33"/>
        <v>980</v>
      </c>
      <c r="I1061" s="122">
        <f t="shared" si="32"/>
        <v>49</v>
      </c>
    </row>
    <row r="1062" spans="1:9" x14ac:dyDescent="0.35">
      <c r="A1062" s="117">
        <v>45792</v>
      </c>
      <c r="B1062" s="118" t="s">
        <v>422</v>
      </c>
      <c r="C1062" s="118" t="s">
        <v>393</v>
      </c>
      <c r="D1062" s="118" t="s">
        <v>324</v>
      </c>
      <c r="E1062" s="118" t="s">
        <v>343</v>
      </c>
      <c r="F1062" s="119">
        <v>37</v>
      </c>
      <c r="G1062" s="120">
        <v>24</v>
      </c>
      <c r="H1062" s="121">
        <f t="shared" si="33"/>
        <v>962</v>
      </c>
      <c r="I1062" s="122">
        <f t="shared" si="32"/>
        <v>48.1</v>
      </c>
    </row>
    <row r="1063" spans="1:9" x14ac:dyDescent="0.35">
      <c r="A1063" s="117">
        <v>45793</v>
      </c>
      <c r="B1063" s="118" t="s">
        <v>327</v>
      </c>
      <c r="C1063" s="118" t="s">
        <v>319</v>
      </c>
      <c r="D1063" s="118" t="s">
        <v>423</v>
      </c>
      <c r="E1063" s="118" t="s">
        <v>329</v>
      </c>
      <c r="F1063" s="119">
        <v>28</v>
      </c>
      <c r="G1063" s="120">
        <v>6</v>
      </c>
      <c r="H1063" s="121">
        <f t="shared" si="33"/>
        <v>196</v>
      </c>
      <c r="I1063" s="122">
        <f t="shared" si="32"/>
        <v>11.76</v>
      </c>
    </row>
    <row r="1064" spans="1:9" x14ac:dyDescent="0.35">
      <c r="A1064" s="117">
        <v>45793</v>
      </c>
      <c r="B1064" s="118" t="s">
        <v>313</v>
      </c>
      <c r="C1064" s="118" t="s">
        <v>314</v>
      </c>
      <c r="D1064" s="118" t="s">
        <v>315</v>
      </c>
      <c r="E1064" s="118" t="s">
        <v>344</v>
      </c>
      <c r="F1064" s="119">
        <v>30</v>
      </c>
      <c r="G1064" s="120">
        <v>13</v>
      </c>
      <c r="H1064" s="121">
        <f t="shared" si="33"/>
        <v>480</v>
      </c>
      <c r="I1064" s="122">
        <f t="shared" si="32"/>
        <v>24</v>
      </c>
    </row>
    <row r="1065" spans="1:9" x14ac:dyDescent="0.35">
      <c r="A1065" s="117">
        <v>45794</v>
      </c>
      <c r="B1065" s="118" t="s">
        <v>322</v>
      </c>
      <c r="C1065" s="118" t="s">
        <v>393</v>
      </c>
      <c r="D1065" s="118" t="s">
        <v>333</v>
      </c>
      <c r="E1065" s="118" t="s">
        <v>388</v>
      </c>
      <c r="F1065" s="119">
        <v>8</v>
      </c>
      <c r="G1065" s="120">
        <v>17</v>
      </c>
      <c r="H1065" s="121">
        <f t="shared" si="33"/>
        <v>152</v>
      </c>
      <c r="I1065" s="122">
        <f t="shared" si="32"/>
        <v>7.6000000000000005</v>
      </c>
    </row>
    <row r="1066" spans="1:9" x14ac:dyDescent="0.35">
      <c r="A1066" s="117">
        <v>45794</v>
      </c>
      <c r="B1066" s="118" t="s">
        <v>318</v>
      </c>
      <c r="C1066" s="118" t="s">
        <v>314</v>
      </c>
      <c r="D1066" s="118" t="s">
        <v>390</v>
      </c>
      <c r="E1066" s="118" t="s">
        <v>347</v>
      </c>
      <c r="F1066" s="119">
        <v>19</v>
      </c>
      <c r="G1066" s="120">
        <v>4</v>
      </c>
      <c r="H1066" s="121">
        <f t="shared" si="33"/>
        <v>133</v>
      </c>
      <c r="I1066" s="122">
        <f t="shared" si="32"/>
        <v>6.65</v>
      </c>
    </row>
    <row r="1067" spans="1:9" x14ac:dyDescent="0.35">
      <c r="A1067" s="117">
        <v>45794</v>
      </c>
      <c r="B1067" s="118" t="s">
        <v>422</v>
      </c>
      <c r="C1067" s="118" t="s">
        <v>393</v>
      </c>
      <c r="D1067" s="118" t="s">
        <v>324</v>
      </c>
      <c r="E1067" s="118" t="s">
        <v>350</v>
      </c>
      <c r="F1067" s="119">
        <v>24</v>
      </c>
      <c r="G1067" s="120">
        <v>24</v>
      </c>
      <c r="H1067" s="121">
        <f t="shared" si="33"/>
        <v>624</v>
      </c>
      <c r="I1067" s="122">
        <f t="shared" si="32"/>
        <v>31.200000000000003</v>
      </c>
    </row>
    <row r="1068" spans="1:9" x14ac:dyDescent="0.35">
      <c r="A1068" s="117">
        <v>45795</v>
      </c>
      <c r="B1068" s="118" t="s">
        <v>422</v>
      </c>
      <c r="C1068" s="118" t="s">
        <v>393</v>
      </c>
      <c r="D1068" s="118" t="s">
        <v>423</v>
      </c>
      <c r="E1068" s="118" t="s">
        <v>454</v>
      </c>
      <c r="F1068" s="119">
        <v>21</v>
      </c>
      <c r="G1068" s="120">
        <v>24</v>
      </c>
      <c r="H1068" s="121">
        <f t="shared" si="33"/>
        <v>546</v>
      </c>
      <c r="I1068" s="122">
        <f t="shared" si="32"/>
        <v>32.76</v>
      </c>
    </row>
    <row r="1069" spans="1:9" x14ac:dyDescent="0.35">
      <c r="A1069" s="117">
        <v>45795</v>
      </c>
      <c r="B1069" s="118" t="s">
        <v>313</v>
      </c>
      <c r="C1069" s="118" t="s">
        <v>393</v>
      </c>
      <c r="D1069" s="118" t="s">
        <v>324</v>
      </c>
      <c r="E1069" s="118" t="s">
        <v>405</v>
      </c>
      <c r="F1069" s="119">
        <v>10</v>
      </c>
      <c r="G1069" s="120">
        <v>13</v>
      </c>
      <c r="H1069" s="121">
        <f t="shared" si="33"/>
        <v>150</v>
      </c>
      <c r="I1069" s="122">
        <f t="shared" si="32"/>
        <v>7.5</v>
      </c>
    </row>
    <row r="1070" spans="1:9" x14ac:dyDescent="0.35">
      <c r="A1070" s="117">
        <v>45796</v>
      </c>
      <c r="B1070" s="118" t="s">
        <v>322</v>
      </c>
      <c r="C1070" s="118" t="s">
        <v>393</v>
      </c>
      <c r="D1070" s="118" t="s">
        <v>315</v>
      </c>
      <c r="E1070" s="118" t="s">
        <v>340</v>
      </c>
      <c r="F1070" s="119">
        <v>61</v>
      </c>
      <c r="G1070" s="120">
        <v>17</v>
      </c>
      <c r="H1070" s="121">
        <f t="shared" si="33"/>
        <v>1159</v>
      </c>
      <c r="I1070" s="122">
        <f t="shared" si="32"/>
        <v>57.95</v>
      </c>
    </row>
    <row r="1071" spans="1:9" x14ac:dyDescent="0.35">
      <c r="A1071" s="117">
        <v>45796</v>
      </c>
      <c r="B1071" s="118" t="s">
        <v>318</v>
      </c>
      <c r="C1071" s="118" t="s">
        <v>319</v>
      </c>
      <c r="D1071" s="118" t="s">
        <v>423</v>
      </c>
      <c r="E1071" s="118" t="s">
        <v>394</v>
      </c>
      <c r="F1071" s="119">
        <v>63</v>
      </c>
      <c r="G1071" s="120">
        <v>4</v>
      </c>
      <c r="H1071" s="121">
        <f t="shared" si="33"/>
        <v>315</v>
      </c>
      <c r="I1071" s="122">
        <f t="shared" si="32"/>
        <v>18.899999999999999</v>
      </c>
    </row>
    <row r="1072" spans="1:9" x14ac:dyDescent="0.35">
      <c r="A1072" s="117">
        <v>45796</v>
      </c>
      <c r="B1072" s="118" t="s">
        <v>327</v>
      </c>
      <c r="C1072" s="118" t="s">
        <v>319</v>
      </c>
      <c r="D1072" s="118" t="s">
        <v>324</v>
      </c>
      <c r="E1072" s="118" t="s">
        <v>416</v>
      </c>
      <c r="F1072" s="119">
        <v>10</v>
      </c>
      <c r="G1072" s="120">
        <v>6</v>
      </c>
      <c r="H1072" s="121">
        <f t="shared" si="33"/>
        <v>70</v>
      </c>
      <c r="I1072" s="122">
        <f t="shared" si="32"/>
        <v>3.5</v>
      </c>
    </row>
    <row r="1073" spans="1:9" x14ac:dyDescent="0.35">
      <c r="A1073" s="117">
        <v>45796</v>
      </c>
      <c r="B1073" s="118" t="s">
        <v>327</v>
      </c>
      <c r="C1073" s="118" t="s">
        <v>314</v>
      </c>
      <c r="D1073" s="118" t="s">
        <v>320</v>
      </c>
      <c r="E1073" s="118" t="s">
        <v>316</v>
      </c>
      <c r="F1073" s="119">
        <v>28</v>
      </c>
      <c r="G1073" s="120">
        <v>6</v>
      </c>
      <c r="H1073" s="121">
        <f t="shared" si="33"/>
        <v>252</v>
      </c>
      <c r="I1073" s="122">
        <f t="shared" si="32"/>
        <v>15.12</v>
      </c>
    </row>
    <row r="1074" spans="1:9" x14ac:dyDescent="0.35">
      <c r="A1074" s="117">
        <v>45797</v>
      </c>
      <c r="B1074" s="118" t="s">
        <v>422</v>
      </c>
      <c r="C1074" s="118" t="s">
        <v>319</v>
      </c>
      <c r="D1074" s="118" t="s">
        <v>338</v>
      </c>
      <c r="E1074" s="118" t="s">
        <v>406</v>
      </c>
      <c r="F1074" s="119">
        <v>56</v>
      </c>
      <c r="G1074" s="120">
        <v>24</v>
      </c>
      <c r="H1074" s="121">
        <f t="shared" si="33"/>
        <v>1400</v>
      </c>
      <c r="I1074" s="122">
        <f t="shared" si="32"/>
        <v>84</v>
      </c>
    </row>
    <row r="1075" spans="1:9" x14ac:dyDescent="0.35">
      <c r="A1075" s="117">
        <v>45797</v>
      </c>
      <c r="B1075" s="118" t="s">
        <v>327</v>
      </c>
      <c r="C1075" s="118" t="s">
        <v>314</v>
      </c>
      <c r="D1075" s="118" t="s">
        <v>390</v>
      </c>
      <c r="E1075" s="118" t="s">
        <v>388</v>
      </c>
      <c r="F1075" s="119">
        <v>40</v>
      </c>
      <c r="G1075" s="120">
        <v>6</v>
      </c>
      <c r="H1075" s="121">
        <f t="shared" si="33"/>
        <v>360</v>
      </c>
      <c r="I1075" s="122">
        <f t="shared" si="32"/>
        <v>18</v>
      </c>
    </row>
    <row r="1076" spans="1:9" x14ac:dyDescent="0.35">
      <c r="A1076" s="117">
        <v>45797</v>
      </c>
      <c r="B1076" s="118" t="s">
        <v>422</v>
      </c>
      <c r="C1076" s="118" t="s">
        <v>314</v>
      </c>
      <c r="D1076" s="118" t="s">
        <v>320</v>
      </c>
      <c r="E1076" s="118" t="s">
        <v>388</v>
      </c>
      <c r="F1076" s="119">
        <v>26</v>
      </c>
      <c r="G1076" s="120">
        <v>24</v>
      </c>
      <c r="H1076" s="121">
        <f t="shared" si="33"/>
        <v>702</v>
      </c>
      <c r="I1076" s="122">
        <f t="shared" si="32"/>
        <v>42.12</v>
      </c>
    </row>
    <row r="1077" spans="1:9" x14ac:dyDescent="0.35">
      <c r="A1077" s="117">
        <v>45798</v>
      </c>
      <c r="B1077" s="118" t="s">
        <v>322</v>
      </c>
      <c r="C1077" s="118" t="s">
        <v>314</v>
      </c>
      <c r="D1077" s="118" t="s">
        <v>423</v>
      </c>
      <c r="E1077" s="118" t="s">
        <v>346</v>
      </c>
      <c r="F1077" s="119">
        <v>33</v>
      </c>
      <c r="G1077" s="120">
        <v>17</v>
      </c>
      <c r="H1077" s="121">
        <f t="shared" si="33"/>
        <v>660</v>
      </c>
      <c r="I1077" s="122">
        <f t="shared" si="32"/>
        <v>39.6</v>
      </c>
    </row>
    <row r="1078" spans="1:9" x14ac:dyDescent="0.35">
      <c r="A1078" s="117">
        <v>45799</v>
      </c>
      <c r="B1078" s="118" t="s">
        <v>322</v>
      </c>
      <c r="C1078" s="118" t="s">
        <v>332</v>
      </c>
      <c r="D1078" s="118" t="s">
        <v>338</v>
      </c>
      <c r="E1078" s="118" t="s">
        <v>455</v>
      </c>
      <c r="F1078" s="119">
        <v>59</v>
      </c>
      <c r="G1078" s="120">
        <v>17</v>
      </c>
      <c r="H1078" s="121">
        <f t="shared" si="33"/>
        <v>1239</v>
      </c>
      <c r="I1078" s="122">
        <f t="shared" si="32"/>
        <v>74.34</v>
      </c>
    </row>
    <row r="1079" spans="1:9" x14ac:dyDescent="0.35">
      <c r="A1079" s="117">
        <v>45799</v>
      </c>
      <c r="B1079" s="118" t="s">
        <v>422</v>
      </c>
      <c r="C1079" s="118" t="s">
        <v>393</v>
      </c>
      <c r="D1079" s="118" t="s">
        <v>333</v>
      </c>
      <c r="E1079" s="118" t="s">
        <v>345</v>
      </c>
      <c r="F1079" s="119">
        <v>15</v>
      </c>
      <c r="G1079" s="120">
        <v>24</v>
      </c>
      <c r="H1079" s="121">
        <f t="shared" si="33"/>
        <v>390</v>
      </c>
      <c r="I1079" s="122">
        <f t="shared" si="32"/>
        <v>19.5</v>
      </c>
    </row>
    <row r="1080" spans="1:9" x14ac:dyDescent="0.35">
      <c r="A1080" s="117">
        <v>45799</v>
      </c>
      <c r="B1080" s="118" t="s">
        <v>322</v>
      </c>
      <c r="C1080" s="118" t="s">
        <v>319</v>
      </c>
      <c r="D1080" s="118" t="s">
        <v>324</v>
      </c>
      <c r="E1080" s="118" t="s">
        <v>316</v>
      </c>
      <c r="F1080" s="119">
        <v>26</v>
      </c>
      <c r="G1080" s="120">
        <v>17</v>
      </c>
      <c r="H1080" s="121">
        <f t="shared" si="33"/>
        <v>468</v>
      </c>
      <c r="I1080" s="122">
        <f t="shared" si="32"/>
        <v>23.400000000000002</v>
      </c>
    </row>
    <row r="1081" spans="1:9" x14ac:dyDescent="0.35">
      <c r="A1081" s="117">
        <v>45800</v>
      </c>
      <c r="B1081" s="118" t="s">
        <v>327</v>
      </c>
      <c r="C1081" s="118" t="s">
        <v>393</v>
      </c>
      <c r="D1081" s="118" t="s">
        <v>423</v>
      </c>
      <c r="E1081" s="118" t="s">
        <v>348</v>
      </c>
      <c r="F1081" s="119">
        <v>65</v>
      </c>
      <c r="G1081" s="120">
        <v>6</v>
      </c>
      <c r="H1081" s="121">
        <f t="shared" si="33"/>
        <v>520</v>
      </c>
      <c r="I1081" s="122">
        <f t="shared" si="32"/>
        <v>31.2</v>
      </c>
    </row>
    <row r="1082" spans="1:9" x14ac:dyDescent="0.35">
      <c r="A1082" s="117">
        <v>45800</v>
      </c>
      <c r="B1082" s="118" t="s">
        <v>322</v>
      </c>
      <c r="C1082" s="118" t="s">
        <v>314</v>
      </c>
      <c r="D1082" s="118" t="s">
        <v>324</v>
      </c>
      <c r="E1082" s="118" t="s">
        <v>335</v>
      </c>
      <c r="F1082" s="119">
        <v>65</v>
      </c>
      <c r="G1082" s="120">
        <v>17</v>
      </c>
      <c r="H1082" s="121">
        <f t="shared" si="33"/>
        <v>1300</v>
      </c>
      <c r="I1082" s="122">
        <f t="shared" si="32"/>
        <v>65</v>
      </c>
    </row>
    <row r="1083" spans="1:9" x14ac:dyDescent="0.35">
      <c r="A1083" s="117">
        <v>45800</v>
      </c>
      <c r="B1083" s="118" t="s">
        <v>422</v>
      </c>
      <c r="C1083" s="118" t="s">
        <v>319</v>
      </c>
      <c r="D1083" s="118" t="s">
        <v>390</v>
      </c>
      <c r="E1083" s="118" t="s">
        <v>316</v>
      </c>
      <c r="F1083" s="119">
        <v>46</v>
      </c>
      <c r="G1083" s="120">
        <v>24</v>
      </c>
      <c r="H1083" s="121">
        <f t="shared" si="33"/>
        <v>1150</v>
      </c>
      <c r="I1083" s="122">
        <f t="shared" si="32"/>
        <v>57.5</v>
      </c>
    </row>
    <row r="1084" spans="1:9" x14ac:dyDescent="0.35">
      <c r="A1084" s="117">
        <v>45801</v>
      </c>
      <c r="B1084" s="118" t="s">
        <v>318</v>
      </c>
      <c r="C1084" s="118" t="s">
        <v>314</v>
      </c>
      <c r="D1084" s="118" t="s">
        <v>324</v>
      </c>
      <c r="E1084" s="118" t="s">
        <v>347</v>
      </c>
      <c r="F1084" s="119">
        <v>52</v>
      </c>
      <c r="G1084" s="120">
        <v>4</v>
      </c>
      <c r="H1084" s="121">
        <f t="shared" si="33"/>
        <v>364</v>
      </c>
      <c r="I1084" s="122">
        <f t="shared" si="32"/>
        <v>18.2</v>
      </c>
    </row>
    <row r="1085" spans="1:9" x14ac:dyDescent="0.35">
      <c r="A1085" s="117">
        <v>45801</v>
      </c>
      <c r="B1085" s="118" t="s">
        <v>327</v>
      </c>
      <c r="C1085" s="118" t="s">
        <v>319</v>
      </c>
      <c r="D1085" s="118" t="s">
        <v>390</v>
      </c>
      <c r="E1085" s="118" t="s">
        <v>346</v>
      </c>
      <c r="F1085" s="119">
        <v>20</v>
      </c>
      <c r="G1085" s="120">
        <v>6</v>
      </c>
      <c r="H1085" s="121">
        <f t="shared" si="33"/>
        <v>140</v>
      </c>
      <c r="I1085" s="122">
        <f t="shared" si="32"/>
        <v>7</v>
      </c>
    </row>
    <row r="1086" spans="1:9" x14ac:dyDescent="0.35">
      <c r="A1086" s="117">
        <v>45801</v>
      </c>
      <c r="B1086" s="118" t="s">
        <v>422</v>
      </c>
      <c r="C1086" s="118" t="s">
        <v>319</v>
      </c>
      <c r="D1086" s="118" t="s">
        <v>333</v>
      </c>
      <c r="E1086" s="118" t="s">
        <v>329</v>
      </c>
      <c r="F1086" s="119">
        <v>9</v>
      </c>
      <c r="G1086" s="120">
        <v>24</v>
      </c>
      <c r="H1086" s="121">
        <f t="shared" si="33"/>
        <v>225</v>
      </c>
      <c r="I1086" s="122">
        <f t="shared" si="32"/>
        <v>11.25</v>
      </c>
    </row>
    <row r="1087" spans="1:9" x14ac:dyDescent="0.35">
      <c r="A1087" s="117">
        <v>45801</v>
      </c>
      <c r="B1087" s="118" t="s">
        <v>322</v>
      </c>
      <c r="C1087" s="118" t="s">
        <v>314</v>
      </c>
      <c r="D1087" s="118" t="s">
        <v>423</v>
      </c>
      <c r="E1087" s="118" t="s">
        <v>329</v>
      </c>
      <c r="F1087" s="119">
        <v>40</v>
      </c>
      <c r="G1087" s="120">
        <v>17</v>
      </c>
      <c r="H1087" s="121">
        <f t="shared" si="33"/>
        <v>800</v>
      </c>
      <c r="I1087" s="122">
        <f t="shared" si="32"/>
        <v>48</v>
      </c>
    </row>
    <row r="1088" spans="1:9" x14ac:dyDescent="0.35">
      <c r="A1088" s="117">
        <v>45801</v>
      </c>
      <c r="B1088" s="118" t="s">
        <v>313</v>
      </c>
      <c r="C1088" s="118" t="s">
        <v>314</v>
      </c>
      <c r="D1088" s="118" t="s">
        <v>333</v>
      </c>
      <c r="E1088" s="118" t="s">
        <v>416</v>
      </c>
      <c r="F1088" s="119">
        <v>56</v>
      </c>
      <c r="G1088" s="120">
        <v>13</v>
      </c>
      <c r="H1088" s="121">
        <f t="shared" si="33"/>
        <v>896</v>
      </c>
      <c r="I1088" s="122">
        <f t="shared" si="32"/>
        <v>44.800000000000004</v>
      </c>
    </row>
    <row r="1089" spans="1:9" x14ac:dyDescent="0.35">
      <c r="A1089" s="117">
        <v>45802</v>
      </c>
      <c r="B1089" s="118" t="s">
        <v>313</v>
      </c>
      <c r="C1089" s="118" t="s">
        <v>314</v>
      </c>
      <c r="D1089" s="118" t="s">
        <v>320</v>
      </c>
      <c r="E1089" s="118" t="s">
        <v>455</v>
      </c>
      <c r="F1089" s="119">
        <v>51</v>
      </c>
      <c r="G1089" s="120">
        <v>13</v>
      </c>
      <c r="H1089" s="121">
        <f t="shared" si="33"/>
        <v>816</v>
      </c>
      <c r="I1089" s="122">
        <f t="shared" si="32"/>
        <v>48.96</v>
      </c>
    </row>
    <row r="1090" spans="1:9" x14ac:dyDescent="0.35">
      <c r="A1090" s="117">
        <v>45802</v>
      </c>
      <c r="B1090" s="118" t="s">
        <v>313</v>
      </c>
      <c r="C1090" s="118" t="s">
        <v>319</v>
      </c>
      <c r="D1090" s="118" t="s">
        <v>320</v>
      </c>
      <c r="E1090" s="118" t="s">
        <v>335</v>
      </c>
      <c r="F1090" s="119">
        <v>44</v>
      </c>
      <c r="G1090" s="120">
        <v>13</v>
      </c>
      <c r="H1090" s="121">
        <f t="shared" si="33"/>
        <v>616</v>
      </c>
      <c r="I1090" s="122">
        <f t="shared" ref="I1090:I1153" si="34">H1090*VLOOKUP(D1090,$O$4:$P$10,2,TRUE)</f>
        <v>36.96</v>
      </c>
    </row>
    <row r="1091" spans="1:9" x14ac:dyDescent="0.35">
      <c r="A1091" s="117">
        <v>45802</v>
      </c>
      <c r="B1091" s="118" t="s">
        <v>422</v>
      </c>
      <c r="C1091" s="118" t="s">
        <v>332</v>
      </c>
      <c r="D1091" s="118" t="s">
        <v>423</v>
      </c>
      <c r="E1091" s="118" t="s">
        <v>335</v>
      </c>
      <c r="F1091" s="119">
        <v>49</v>
      </c>
      <c r="G1091" s="120">
        <v>24</v>
      </c>
      <c r="H1091" s="121">
        <f t="shared" ref="H1091:H1154" si="35">(F1091*G1091)+VLOOKUP(C1091,$K$11:$L$14,2,FALSE)*F1091</f>
        <v>1372</v>
      </c>
      <c r="I1091" s="122">
        <f t="shared" si="34"/>
        <v>82.32</v>
      </c>
    </row>
    <row r="1092" spans="1:9" x14ac:dyDescent="0.35">
      <c r="A1092" s="117">
        <v>45803</v>
      </c>
      <c r="B1092" s="118" t="s">
        <v>318</v>
      </c>
      <c r="C1092" s="118" t="s">
        <v>393</v>
      </c>
      <c r="D1092" s="118" t="s">
        <v>315</v>
      </c>
      <c r="E1092" s="118" t="s">
        <v>388</v>
      </c>
      <c r="F1092" s="119">
        <v>56</v>
      </c>
      <c r="G1092" s="120">
        <v>4</v>
      </c>
      <c r="H1092" s="121">
        <f t="shared" si="35"/>
        <v>336</v>
      </c>
      <c r="I1092" s="122">
        <f t="shared" si="34"/>
        <v>16.8</v>
      </c>
    </row>
    <row r="1093" spans="1:9" x14ac:dyDescent="0.35">
      <c r="A1093" s="117">
        <v>45803</v>
      </c>
      <c r="B1093" s="118" t="s">
        <v>322</v>
      </c>
      <c r="C1093" s="118" t="s">
        <v>393</v>
      </c>
      <c r="D1093" s="118" t="s">
        <v>324</v>
      </c>
      <c r="E1093" s="118" t="s">
        <v>346</v>
      </c>
      <c r="F1093" s="119">
        <v>40</v>
      </c>
      <c r="G1093" s="120">
        <v>17</v>
      </c>
      <c r="H1093" s="121">
        <f t="shared" si="35"/>
        <v>760</v>
      </c>
      <c r="I1093" s="122">
        <f t="shared" si="34"/>
        <v>38</v>
      </c>
    </row>
    <row r="1094" spans="1:9" x14ac:dyDescent="0.35">
      <c r="A1094" s="117">
        <v>45804</v>
      </c>
      <c r="B1094" s="118" t="s">
        <v>318</v>
      </c>
      <c r="C1094" s="118" t="s">
        <v>332</v>
      </c>
      <c r="D1094" s="118" t="s">
        <v>315</v>
      </c>
      <c r="E1094" s="118" t="s">
        <v>340</v>
      </c>
      <c r="F1094" s="119">
        <v>13</v>
      </c>
      <c r="G1094" s="120">
        <v>4</v>
      </c>
      <c r="H1094" s="121">
        <f t="shared" si="35"/>
        <v>104</v>
      </c>
      <c r="I1094" s="122">
        <f t="shared" si="34"/>
        <v>5.2</v>
      </c>
    </row>
    <row r="1095" spans="1:9" x14ac:dyDescent="0.35">
      <c r="A1095" s="117">
        <v>45804</v>
      </c>
      <c r="B1095" s="118" t="s">
        <v>322</v>
      </c>
      <c r="C1095" s="118" t="s">
        <v>319</v>
      </c>
      <c r="D1095" s="118" t="s">
        <v>423</v>
      </c>
      <c r="E1095" s="118" t="s">
        <v>349</v>
      </c>
      <c r="F1095" s="119">
        <v>46</v>
      </c>
      <c r="G1095" s="120">
        <v>17</v>
      </c>
      <c r="H1095" s="121">
        <f t="shared" si="35"/>
        <v>828</v>
      </c>
      <c r="I1095" s="122">
        <f t="shared" si="34"/>
        <v>49.68</v>
      </c>
    </row>
    <row r="1096" spans="1:9" x14ac:dyDescent="0.35">
      <c r="A1096" s="117">
        <v>45804</v>
      </c>
      <c r="B1096" s="118" t="s">
        <v>313</v>
      </c>
      <c r="C1096" s="118" t="s">
        <v>319</v>
      </c>
      <c r="D1096" s="118" t="s">
        <v>324</v>
      </c>
      <c r="E1096" s="118" t="s">
        <v>339</v>
      </c>
      <c r="F1096" s="119">
        <v>34</v>
      </c>
      <c r="G1096" s="120">
        <v>13</v>
      </c>
      <c r="H1096" s="121">
        <f t="shared" si="35"/>
        <v>476</v>
      </c>
      <c r="I1096" s="122">
        <f t="shared" si="34"/>
        <v>23.8</v>
      </c>
    </row>
    <row r="1097" spans="1:9" x14ac:dyDescent="0.35">
      <c r="A1097" s="117">
        <v>45804</v>
      </c>
      <c r="B1097" s="118" t="s">
        <v>327</v>
      </c>
      <c r="C1097" s="118" t="s">
        <v>319</v>
      </c>
      <c r="D1097" s="118" t="s">
        <v>320</v>
      </c>
      <c r="E1097" s="118" t="s">
        <v>346</v>
      </c>
      <c r="F1097" s="119">
        <v>11</v>
      </c>
      <c r="G1097" s="120">
        <v>6</v>
      </c>
      <c r="H1097" s="121">
        <f t="shared" si="35"/>
        <v>77</v>
      </c>
      <c r="I1097" s="122">
        <f t="shared" si="34"/>
        <v>4.62</v>
      </c>
    </row>
    <row r="1098" spans="1:9" x14ac:dyDescent="0.35">
      <c r="A1098" s="117">
        <v>45804</v>
      </c>
      <c r="B1098" s="118" t="s">
        <v>322</v>
      </c>
      <c r="C1098" s="118" t="s">
        <v>319</v>
      </c>
      <c r="D1098" s="118" t="s">
        <v>338</v>
      </c>
      <c r="E1098" s="118" t="s">
        <v>346</v>
      </c>
      <c r="F1098" s="119">
        <v>23</v>
      </c>
      <c r="G1098" s="120">
        <v>17</v>
      </c>
      <c r="H1098" s="121">
        <f t="shared" si="35"/>
        <v>414</v>
      </c>
      <c r="I1098" s="122">
        <f t="shared" si="34"/>
        <v>24.84</v>
      </c>
    </row>
    <row r="1099" spans="1:9" x14ac:dyDescent="0.35">
      <c r="A1099" s="117">
        <v>45804</v>
      </c>
      <c r="B1099" s="118" t="s">
        <v>422</v>
      </c>
      <c r="C1099" s="118" t="s">
        <v>332</v>
      </c>
      <c r="D1099" s="118" t="s">
        <v>338</v>
      </c>
      <c r="E1099" s="118" t="s">
        <v>416</v>
      </c>
      <c r="F1099" s="119">
        <v>50</v>
      </c>
      <c r="G1099" s="120">
        <v>24</v>
      </c>
      <c r="H1099" s="121">
        <f t="shared" si="35"/>
        <v>1400</v>
      </c>
      <c r="I1099" s="122">
        <f t="shared" si="34"/>
        <v>84</v>
      </c>
    </row>
    <row r="1100" spans="1:9" x14ac:dyDescent="0.35">
      <c r="A1100" s="117">
        <v>45805</v>
      </c>
      <c r="B1100" s="118" t="s">
        <v>313</v>
      </c>
      <c r="C1100" s="118" t="s">
        <v>393</v>
      </c>
      <c r="D1100" s="118" t="s">
        <v>333</v>
      </c>
      <c r="E1100" s="118" t="s">
        <v>348</v>
      </c>
      <c r="F1100" s="119">
        <v>13</v>
      </c>
      <c r="G1100" s="120">
        <v>13</v>
      </c>
      <c r="H1100" s="121">
        <f t="shared" si="35"/>
        <v>195</v>
      </c>
      <c r="I1100" s="122">
        <f t="shared" si="34"/>
        <v>9.75</v>
      </c>
    </row>
    <row r="1101" spans="1:9" x14ac:dyDescent="0.35">
      <c r="A1101" s="117">
        <v>45805</v>
      </c>
      <c r="B1101" s="118" t="s">
        <v>313</v>
      </c>
      <c r="C1101" s="118" t="s">
        <v>393</v>
      </c>
      <c r="D1101" s="118" t="s">
        <v>320</v>
      </c>
      <c r="E1101" s="118" t="s">
        <v>339</v>
      </c>
      <c r="F1101" s="119">
        <v>47</v>
      </c>
      <c r="G1101" s="120">
        <v>13</v>
      </c>
      <c r="H1101" s="121">
        <f t="shared" si="35"/>
        <v>705</v>
      </c>
      <c r="I1101" s="122">
        <f t="shared" si="34"/>
        <v>42.3</v>
      </c>
    </row>
    <row r="1102" spans="1:9" x14ac:dyDescent="0.35">
      <c r="A1102" s="117">
        <v>45805</v>
      </c>
      <c r="B1102" s="118" t="s">
        <v>318</v>
      </c>
      <c r="C1102" s="118" t="s">
        <v>319</v>
      </c>
      <c r="D1102" s="118" t="s">
        <v>324</v>
      </c>
      <c r="E1102" s="118" t="s">
        <v>454</v>
      </c>
      <c r="F1102" s="119">
        <v>14</v>
      </c>
      <c r="G1102" s="120">
        <v>4</v>
      </c>
      <c r="H1102" s="121">
        <f t="shared" si="35"/>
        <v>70</v>
      </c>
      <c r="I1102" s="122">
        <f t="shared" si="34"/>
        <v>3.5</v>
      </c>
    </row>
    <row r="1103" spans="1:9" x14ac:dyDescent="0.35">
      <c r="A1103" s="117">
        <v>45805</v>
      </c>
      <c r="B1103" s="118" t="s">
        <v>318</v>
      </c>
      <c r="C1103" s="118" t="s">
        <v>332</v>
      </c>
      <c r="D1103" s="118" t="s">
        <v>320</v>
      </c>
      <c r="E1103" s="118" t="s">
        <v>346</v>
      </c>
      <c r="F1103" s="119">
        <v>51</v>
      </c>
      <c r="G1103" s="120">
        <v>4</v>
      </c>
      <c r="H1103" s="121">
        <f t="shared" si="35"/>
        <v>408</v>
      </c>
      <c r="I1103" s="122">
        <f t="shared" si="34"/>
        <v>24.48</v>
      </c>
    </row>
    <row r="1104" spans="1:9" x14ac:dyDescent="0.35">
      <c r="A1104" s="117">
        <v>45806</v>
      </c>
      <c r="B1104" s="118" t="s">
        <v>313</v>
      </c>
      <c r="C1104" s="118" t="s">
        <v>332</v>
      </c>
      <c r="D1104" s="118" t="s">
        <v>320</v>
      </c>
      <c r="E1104" s="118" t="s">
        <v>400</v>
      </c>
      <c r="F1104" s="119">
        <v>13</v>
      </c>
      <c r="G1104" s="120">
        <v>13</v>
      </c>
      <c r="H1104" s="121">
        <f t="shared" si="35"/>
        <v>221</v>
      </c>
      <c r="I1104" s="122">
        <f t="shared" si="34"/>
        <v>13.26</v>
      </c>
    </row>
    <row r="1105" spans="1:9" x14ac:dyDescent="0.35">
      <c r="A1105" s="117">
        <v>45806</v>
      </c>
      <c r="B1105" s="118" t="s">
        <v>322</v>
      </c>
      <c r="C1105" s="118" t="s">
        <v>393</v>
      </c>
      <c r="D1105" s="118" t="s">
        <v>423</v>
      </c>
      <c r="E1105" s="118" t="s">
        <v>350</v>
      </c>
      <c r="F1105" s="119">
        <v>29</v>
      </c>
      <c r="G1105" s="120">
        <v>17</v>
      </c>
      <c r="H1105" s="121">
        <f t="shared" si="35"/>
        <v>551</v>
      </c>
      <c r="I1105" s="122">
        <f t="shared" si="34"/>
        <v>33.06</v>
      </c>
    </row>
    <row r="1106" spans="1:9" x14ac:dyDescent="0.35">
      <c r="A1106" s="117">
        <v>45807</v>
      </c>
      <c r="B1106" s="118" t="s">
        <v>313</v>
      </c>
      <c r="C1106" s="118" t="s">
        <v>314</v>
      </c>
      <c r="D1106" s="118" t="s">
        <v>333</v>
      </c>
      <c r="E1106" s="118" t="s">
        <v>341</v>
      </c>
      <c r="F1106" s="119">
        <v>15</v>
      </c>
      <c r="G1106" s="120">
        <v>13</v>
      </c>
      <c r="H1106" s="121">
        <f t="shared" si="35"/>
        <v>240</v>
      </c>
      <c r="I1106" s="122">
        <f t="shared" si="34"/>
        <v>12</v>
      </c>
    </row>
    <row r="1107" spans="1:9" x14ac:dyDescent="0.35">
      <c r="A1107" s="117">
        <v>45807</v>
      </c>
      <c r="B1107" s="118" t="s">
        <v>422</v>
      </c>
      <c r="C1107" s="118" t="s">
        <v>393</v>
      </c>
      <c r="D1107" s="118" t="s">
        <v>390</v>
      </c>
      <c r="E1107" s="118" t="s">
        <v>329</v>
      </c>
      <c r="F1107" s="119">
        <v>29</v>
      </c>
      <c r="G1107" s="120">
        <v>24</v>
      </c>
      <c r="H1107" s="121">
        <f t="shared" si="35"/>
        <v>754</v>
      </c>
      <c r="I1107" s="122">
        <f t="shared" si="34"/>
        <v>37.700000000000003</v>
      </c>
    </row>
    <row r="1108" spans="1:9" x14ac:dyDescent="0.35">
      <c r="A1108" s="117">
        <v>45808</v>
      </c>
      <c r="B1108" s="118" t="s">
        <v>327</v>
      </c>
      <c r="C1108" s="118" t="s">
        <v>332</v>
      </c>
      <c r="D1108" s="118" t="s">
        <v>315</v>
      </c>
      <c r="E1108" s="118" t="s">
        <v>341</v>
      </c>
      <c r="F1108" s="119">
        <v>55</v>
      </c>
      <c r="G1108" s="120">
        <v>6</v>
      </c>
      <c r="H1108" s="121">
        <f t="shared" si="35"/>
        <v>550</v>
      </c>
      <c r="I1108" s="122">
        <f t="shared" si="34"/>
        <v>27.5</v>
      </c>
    </row>
    <row r="1109" spans="1:9" x14ac:dyDescent="0.35">
      <c r="A1109" s="117">
        <v>45808</v>
      </c>
      <c r="B1109" s="118" t="s">
        <v>422</v>
      </c>
      <c r="C1109" s="118" t="s">
        <v>393</v>
      </c>
      <c r="D1109" s="118" t="s">
        <v>423</v>
      </c>
      <c r="E1109" s="118" t="s">
        <v>416</v>
      </c>
      <c r="F1109" s="119">
        <v>44</v>
      </c>
      <c r="G1109" s="120">
        <v>24</v>
      </c>
      <c r="H1109" s="121">
        <f t="shared" si="35"/>
        <v>1144</v>
      </c>
      <c r="I1109" s="122">
        <f t="shared" si="34"/>
        <v>68.64</v>
      </c>
    </row>
    <row r="1110" spans="1:9" x14ac:dyDescent="0.35">
      <c r="A1110" s="117">
        <v>45808</v>
      </c>
      <c r="B1110" s="118" t="s">
        <v>313</v>
      </c>
      <c r="C1110" s="118" t="s">
        <v>332</v>
      </c>
      <c r="D1110" s="118" t="s">
        <v>320</v>
      </c>
      <c r="E1110" s="118" t="s">
        <v>343</v>
      </c>
      <c r="F1110" s="119">
        <v>28</v>
      </c>
      <c r="G1110" s="120">
        <v>13</v>
      </c>
      <c r="H1110" s="121">
        <f t="shared" si="35"/>
        <v>476</v>
      </c>
      <c r="I1110" s="122">
        <f t="shared" si="34"/>
        <v>28.56</v>
      </c>
    </row>
    <row r="1111" spans="1:9" x14ac:dyDescent="0.35">
      <c r="A1111" s="117">
        <v>45809</v>
      </c>
      <c r="B1111" s="118" t="s">
        <v>422</v>
      </c>
      <c r="C1111" s="118" t="s">
        <v>393</v>
      </c>
      <c r="D1111" s="118" t="s">
        <v>320</v>
      </c>
      <c r="E1111" s="118" t="s">
        <v>388</v>
      </c>
      <c r="F1111" s="119">
        <v>12</v>
      </c>
      <c r="G1111" s="120">
        <v>24</v>
      </c>
      <c r="H1111" s="121">
        <f t="shared" si="35"/>
        <v>312</v>
      </c>
      <c r="I1111" s="122">
        <f t="shared" si="34"/>
        <v>18.72</v>
      </c>
    </row>
    <row r="1112" spans="1:9" x14ac:dyDescent="0.35">
      <c r="A1112" s="117">
        <v>45809</v>
      </c>
      <c r="B1112" s="118" t="s">
        <v>327</v>
      </c>
      <c r="C1112" s="118" t="s">
        <v>314</v>
      </c>
      <c r="D1112" s="118" t="s">
        <v>315</v>
      </c>
      <c r="E1112" s="118" t="s">
        <v>340</v>
      </c>
      <c r="F1112" s="119">
        <v>41</v>
      </c>
      <c r="G1112" s="120">
        <v>6</v>
      </c>
      <c r="H1112" s="121">
        <f t="shared" si="35"/>
        <v>369</v>
      </c>
      <c r="I1112" s="122">
        <f t="shared" si="34"/>
        <v>18.45</v>
      </c>
    </row>
    <row r="1113" spans="1:9" x14ac:dyDescent="0.35">
      <c r="A1113" s="117">
        <v>45809</v>
      </c>
      <c r="B1113" s="118" t="s">
        <v>313</v>
      </c>
      <c r="C1113" s="118" t="s">
        <v>332</v>
      </c>
      <c r="D1113" s="118" t="s">
        <v>324</v>
      </c>
      <c r="E1113" s="118" t="s">
        <v>339</v>
      </c>
      <c r="F1113" s="119">
        <v>40</v>
      </c>
      <c r="G1113" s="120">
        <v>13</v>
      </c>
      <c r="H1113" s="121">
        <f t="shared" si="35"/>
        <v>680</v>
      </c>
      <c r="I1113" s="122">
        <f t="shared" si="34"/>
        <v>34</v>
      </c>
    </row>
    <row r="1114" spans="1:9" x14ac:dyDescent="0.35">
      <c r="A1114" s="117">
        <v>45811</v>
      </c>
      <c r="B1114" s="118" t="s">
        <v>422</v>
      </c>
      <c r="C1114" s="118" t="s">
        <v>314</v>
      </c>
      <c r="D1114" s="118" t="s">
        <v>324</v>
      </c>
      <c r="E1114" s="118" t="s">
        <v>337</v>
      </c>
      <c r="F1114" s="119">
        <v>17</v>
      </c>
      <c r="G1114" s="120">
        <v>24</v>
      </c>
      <c r="H1114" s="121">
        <f t="shared" si="35"/>
        <v>459</v>
      </c>
      <c r="I1114" s="122">
        <f t="shared" si="34"/>
        <v>22.950000000000003</v>
      </c>
    </row>
    <row r="1115" spans="1:9" x14ac:dyDescent="0.35">
      <c r="A1115" s="117">
        <v>45811</v>
      </c>
      <c r="B1115" s="118" t="s">
        <v>327</v>
      </c>
      <c r="C1115" s="118" t="s">
        <v>393</v>
      </c>
      <c r="D1115" s="118" t="s">
        <v>315</v>
      </c>
      <c r="E1115" s="118" t="s">
        <v>344</v>
      </c>
      <c r="F1115" s="119">
        <v>30</v>
      </c>
      <c r="G1115" s="120">
        <v>6</v>
      </c>
      <c r="H1115" s="121">
        <f t="shared" si="35"/>
        <v>240</v>
      </c>
      <c r="I1115" s="122">
        <f t="shared" si="34"/>
        <v>12</v>
      </c>
    </row>
    <row r="1116" spans="1:9" x14ac:dyDescent="0.35">
      <c r="A1116" s="117">
        <v>45812</v>
      </c>
      <c r="B1116" s="118" t="s">
        <v>313</v>
      </c>
      <c r="C1116" s="118" t="s">
        <v>314</v>
      </c>
      <c r="D1116" s="118" t="s">
        <v>423</v>
      </c>
      <c r="E1116" s="118" t="s">
        <v>340</v>
      </c>
      <c r="F1116" s="119">
        <v>22</v>
      </c>
      <c r="G1116" s="120">
        <v>13</v>
      </c>
      <c r="H1116" s="121">
        <f t="shared" si="35"/>
        <v>352</v>
      </c>
      <c r="I1116" s="122">
        <f t="shared" si="34"/>
        <v>21.119999999999997</v>
      </c>
    </row>
    <row r="1117" spans="1:9" x14ac:dyDescent="0.35">
      <c r="A1117" s="117">
        <v>45812</v>
      </c>
      <c r="B1117" s="118" t="s">
        <v>327</v>
      </c>
      <c r="C1117" s="118" t="s">
        <v>314</v>
      </c>
      <c r="D1117" s="118" t="s">
        <v>320</v>
      </c>
      <c r="E1117" s="118" t="s">
        <v>347</v>
      </c>
      <c r="F1117" s="119">
        <v>20</v>
      </c>
      <c r="G1117" s="120">
        <v>6</v>
      </c>
      <c r="H1117" s="121">
        <f t="shared" si="35"/>
        <v>180</v>
      </c>
      <c r="I1117" s="122">
        <f t="shared" si="34"/>
        <v>10.799999999999999</v>
      </c>
    </row>
    <row r="1118" spans="1:9" x14ac:dyDescent="0.35">
      <c r="A1118" s="117">
        <v>45813</v>
      </c>
      <c r="B1118" s="118" t="s">
        <v>327</v>
      </c>
      <c r="C1118" s="118" t="s">
        <v>314</v>
      </c>
      <c r="D1118" s="118" t="s">
        <v>324</v>
      </c>
      <c r="E1118" s="118" t="s">
        <v>340</v>
      </c>
      <c r="F1118" s="119">
        <v>26</v>
      </c>
      <c r="G1118" s="120">
        <v>6</v>
      </c>
      <c r="H1118" s="121">
        <f t="shared" si="35"/>
        <v>234</v>
      </c>
      <c r="I1118" s="122">
        <f t="shared" si="34"/>
        <v>11.700000000000001</v>
      </c>
    </row>
    <row r="1119" spans="1:9" x14ac:dyDescent="0.35">
      <c r="A1119" s="117">
        <v>45813</v>
      </c>
      <c r="B1119" s="118" t="s">
        <v>327</v>
      </c>
      <c r="C1119" s="118" t="s">
        <v>314</v>
      </c>
      <c r="D1119" s="118" t="s">
        <v>423</v>
      </c>
      <c r="E1119" s="118" t="s">
        <v>340</v>
      </c>
      <c r="F1119" s="119">
        <v>39</v>
      </c>
      <c r="G1119" s="120">
        <v>6</v>
      </c>
      <c r="H1119" s="121">
        <f t="shared" si="35"/>
        <v>351</v>
      </c>
      <c r="I1119" s="122">
        <f t="shared" si="34"/>
        <v>21.06</v>
      </c>
    </row>
    <row r="1120" spans="1:9" x14ac:dyDescent="0.35">
      <c r="A1120" s="117">
        <v>45813</v>
      </c>
      <c r="B1120" s="118" t="s">
        <v>313</v>
      </c>
      <c r="C1120" s="118" t="s">
        <v>332</v>
      </c>
      <c r="D1120" s="118" t="s">
        <v>324</v>
      </c>
      <c r="E1120" s="118" t="s">
        <v>344</v>
      </c>
      <c r="F1120" s="119">
        <v>48</v>
      </c>
      <c r="G1120" s="120">
        <v>13</v>
      </c>
      <c r="H1120" s="121">
        <f t="shared" si="35"/>
        <v>816</v>
      </c>
      <c r="I1120" s="122">
        <f t="shared" si="34"/>
        <v>40.800000000000004</v>
      </c>
    </row>
    <row r="1121" spans="1:9" x14ac:dyDescent="0.35">
      <c r="A1121" s="117">
        <v>45813</v>
      </c>
      <c r="B1121" s="118" t="s">
        <v>322</v>
      </c>
      <c r="C1121" s="118" t="s">
        <v>332</v>
      </c>
      <c r="D1121" s="118" t="s">
        <v>333</v>
      </c>
      <c r="E1121" s="118" t="s">
        <v>335</v>
      </c>
      <c r="F1121" s="119">
        <v>58</v>
      </c>
      <c r="G1121" s="120">
        <v>17</v>
      </c>
      <c r="H1121" s="121">
        <f t="shared" si="35"/>
        <v>1218</v>
      </c>
      <c r="I1121" s="122">
        <f t="shared" si="34"/>
        <v>60.900000000000006</v>
      </c>
    </row>
    <row r="1122" spans="1:9" x14ac:dyDescent="0.35">
      <c r="A1122" s="117">
        <v>45814</v>
      </c>
      <c r="B1122" s="118" t="s">
        <v>422</v>
      </c>
      <c r="C1122" s="118" t="s">
        <v>314</v>
      </c>
      <c r="D1122" s="118" t="s">
        <v>324</v>
      </c>
      <c r="E1122" s="118" t="s">
        <v>346</v>
      </c>
      <c r="F1122" s="119">
        <v>61</v>
      </c>
      <c r="G1122" s="120">
        <v>24</v>
      </c>
      <c r="H1122" s="121">
        <f t="shared" si="35"/>
        <v>1647</v>
      </c>
      <c r="I1122" s="122">
        <f t="shared" si="34"/>
        <v>82.350000000000009</v>
      </c>
    </row>
    <row r="1123" spans="1:9" x14ac:dyDescent="0.35">
      <c r="A1123" s="117">
        <v>45814</v>
      </c>
      <c r="B1123" s="118" t="s">
        <v>322</v>
      </c>
      <c r="C1123" s="118" t="s">
        <v>314</v>
      </c>
      <c r="D1123" s="118" t="s">
        <v>315</v>
      </c>
      <c r="E1123" s="118" t="s">
        <v>343</v>
      </c>
      <c r="F1123" s="119">
        <v>20</v>
      </c>
      <c r="G1123" s="120">
        <v>17</v>
      </c>
      <c r="H1123" s="121">
        <f t="shared" si="35"/>
        <v>400</v>
      </c>
      <c r="I1123" s="122">
        <f t="shared" si="34"/>
        <v>20</v>
      </c>
    </row>
    <row r="1124" spans="1:9" x14ac:dyDescent="0.35">
      <c r="A1124" s="117">
        <v>45814</v>
      </c>
      <c r="B1124" s="118" t="s">
        <v>313</v>
      </c>
      <c r="C1124" s="118" t="s">
        <v>393</v>
      </c>
      <c r="D1124" s="118" t="s">
        <v>315</v>
      </c>
      <c r="E1124" s="118" t="s">
        <v>405</v>
      </c>
      <c r="F1124" s="119">
        <v>30</v>
      </c>
      <c r="G1124" s="120">
        <v>13</v>
      </c>
      <c r="H1124" s="121">
        <f t="shared" si="35"/>
        <v>450</v>
      </c>
      <c r="I1124" s="122">
        <f t="shared" si="34"/>
        <v>22.5</v>
      </c>
    </row>
    <row r="1125" spans="1:9" x14ac:dyDescent="0.35">
      <c r="A1125" s="117">
        <v>45815</v>
      </c>
      <c r="B1125" s="118" t="s">
        <v>322</v>
      </c>
      <c r="C1125" s="118" t="s">
        <v>314</v>
      </c>
      <c r="D1125" s="118" t="s">
        <v>333</v>
      </c>
      <c r="E1125" s="118" t="s">
        <v>348</v>
      </c>
      <c r="F1125" s="119">
        <v>64</v>
      </c>
      <c r="G1125" s="120">
        <v>17</v>
      </c>
      <c r="H1125" s="121">
        <f t="shared" si="35"/>
        <v>1280</v>
      </c>
      <c r="I1125" s="122">
        <f t="shared" si="34"/>
        <v>64</v>
      </c>
    </row>
    <row r="1126" spans="1:9" x14ac:dyDescent="0.35">
      <c r="A1126" s="117">
        <v>45815</v>
      </c>
      <c r="B1126" s="118" t="s">
        <v>322</v>
      </c>
      <c r="C1126" s="118" t="s">
        <v>319</v>
      </c>
      <c r="D1126" s="118" t="s">
        <v>333</v>
      </c>
      <c r="E1126" s="118" t="s">
        <v>339</v>
      </c>
      <c r="F1126" s="119">
        <v>26</v>
      </c>
      <c r="G1126" s="120">
        <v>17</v>
      </c>
      <c r="H1126" s="121">
        <f t="shared" si="35"/>
        <v>468</v>
      </c>
      <c r="I1126" s="122">
        <f t="shared" si="34"/>
        <v>23.400000000000002</v>
      </c>
    </row>
    <row r="1127" spans="1:9" x14ac:dyDescent="0.35">
      <c r="A1127" s="117">
        <v>45815</v>
      </c>
      <c r="B1127" s="118" t="s">
        <v>322</v>
      </c>
      <c r="C1127" s="118" t="s">
        <v>393</v>
      </c>
      <c r="D1127" s="118" t="s">
        <v>423</v>
      </c>
      <c r="E1127" s="118" t="s">
        <v>416</v>
      </c>
      <c r="F1127" s="119">
        <v>48</v>
      </c>
      <c r="G1127" s="120">
        <v>17</v>
      </c>
      <c r="H1127" s="121">
        <f t="shared" si="35"/>
        <v>912</v>
      </c>
      <c r="I1127" s="122">
        <f t="shared" si="34"/>
        <v>54.72</v>
      </c>
    </row>
    <row r="1128" spans="1:9" x14ac:dyDescent="0.35">
      <c r="A1128" s="117">
        <v>45815</v>
      </c>
      <c r="B1128" s="118" t="s">
        <v>327</v>
      </c>
      <c r="C1128" s="118" t="s">
        <v>314</v>
      </c>
      <c r="D1128" s="118" t="s">
        <v>324</v>
      </c>
      <c r="E1128" s="118" t="s">
        <v>344</v>
      </c>
      <c r="F1128" s="119">
        <v>29</v>
      </c>
      <c r="G1128" s="120">
        <v>6</v>
      </c>
      <c r="H1128" s="121">
        <f t="shared" si="35"/>
        <v>261</v>
      </c>
      <c r="I1128" s="122">
        <f t="shared" si="34"/>
        <v>13.05</v>
      </c>
    </row>
    <row r="1129" spans="1:9" x14ac:dyDescent="0.35">
      <c r="A1129" s="117">
        <v>45816</v>
      </c>
      <c r="B1129" s="118" t="s">
        <v>322</v>
      </c>
      <c r="C1129" s="118" t="s">
        <v>393</v>
      </c>
      <c r="D1129" s="118" t="s">
        <v>315</v>
      </c>
      <c r="E1129" s="118" t="s">
        <v>455</v>
      </c>
      <c r="F1129" s="119">
        <v>37</v>
      </c>
      <c r="G1129" s="120">
        <v>17</v>
      </c>
      <c r="H1129" s="121">
        <f t="shared" si="35"/>
        <v>703</v>
      </c>
      <c r="I1129" s="122">
        <f t="shared" si="34"/>
        <v>35.15</v>
      </c>
    </row>
    <row r="1130" spans="1:9" x14ac:dyDescent="0.35">
      <c r="A1130" s="117">
        <v>45816</v>
      </c>
      <c r="B1130" s="118" t="s">
        <v>318</v>
      </c>
      <c r="C1130" s="118" t="s">
        <v>332</v>
      </c>
      <c r="D1130" s="118" t="s">
        <v>333</v>
      </c>
      <c r="E1130" s="118" t="s">
        <v>341</v>
      </c>
      <c r="F1130" s="119">
        <v>65</v>
      </c>
      <c r="G1130" s="120">
        <v>4</v>
      </c>
      <c r="H1130" s="121">
        <f t="shared" si="35"/>
        <v>520</v>
      </c>
      <c r="I1130" s="122">
        <f t="shared" si="34"/>
        <v>26</v>
      </c>
    </row>
    <row r="1131" spans="1:9" x14ac:dyDescent="0.35">
      <c r="A1131" s="117">
        <v>45816</v>
      </c>
      <c r="B1131" s="118" t="s">
        <v>422</v>
      </c>
      <c r="C1131" s="118" t="s">
        <v>332</v>
      </c>
      <c r="D1131" s="118" t="s">
        <v>423</v>
      </c>
      <c r="E1131" s="118" t="s">
        <v>348</v>
      </c>
      <c r="F1131" s="119">
        <v>10</v>
      </c>
      <c r="G1131" s="120">
        <v>24</v>
      </c>
      <c r="H1131" s="121">
        <f t="shared" si="35"/>
        <v>280</v>
      </c>
      <c r="I1131" s="122">
        <f t="shared" si="34"/>
        <v>16.8</v>
      </c>
    </row>
    <row r="1132" spans="1:9" x14ac:dyDescent="0.35">
      <c r="A1132" s="117">
        <v>45816</v>
      </c>
      <c r="B1132" s="118" t="s">
        <v>422</v>
      </c>
      <c r="C1132" s="118" t="s">
        <v>319</v>
      </c>
      <c r="D1132" s="118" t="s">
        <v>423</v>
      </c>
      <c r="E1132" s="118" t="s">
        <v>454</v>
      </c>
      <c r="F1132" s="119">
        <v>63</v>
      </c>
      <c r="G1132" s="120">
        <v>24</v>
      </c>
      <c r="H1132" s="121">
        <f t="shared" si="35"/>
        <v>1575</v>
      </c>
      <c r="I1132" s="122">
        <f t="shared" si="34"/>
        <v>94.5</v>
      </c>
    </row>
    <row r="1133" spans="1:9" x14ac:dyDescent="0.35">
      <c r="A1133" s="117">
        <v>45817</v>
      </c>
      <c r="B1133" s="118" t="s">
        <v>318</v>
      </c>
      <c r="C1133" s="118" t="s">
        <v>314</v>
      </c>
      <c r="D1133" s="118" t="s">
        <v>320</v>
      </c>
      <c r="E1133" s="118" t="s">
        <v>348</v>
      </c>
      <c r="F1133" s="119">
        <v>50</v>
      </c>
      <c r="G1133" s="120">
        <v>4</v>
      </c>
      <c r="H1133" s="121">
        <f t="shared" si="35"/>
        <v>350</v>
      </c>
      <c r="I1133" s="122">
        <f t="shared" si="34"/>
        <v>21</v>
      </c>
    </row>
    <row r="1134" spans="1:9" x14ac:dyDescent="0.35">
      <c r="A1134" s="117">
        <v>45817</v>
      </c>
      <c r="B1134" s="118" t="s">
        <v>313</v>
      </c>
      <c r="C1134" s="118" t="s">
        <v>319</v>
      </c>
      <c r="D1134" s="118" t="s">
        <v>315</v>
      </c>
      <c r="E1134" s="118" t="s">
        <v>340</v>
      </c>
      <c r="F1134" s="119">
        <v>54</v>
      </c>
      <c r="G1134" s="120">
        <v>13</v>
      </c>
      <c r="H1134" s="121">
        <f t="shared" si="35"/>
        <v>756</v>
      </c>
      <c r="I1134" s="122">
        <f t="shared" si="34"/>
        <v>37.800000000000004</v>
      </c>
    </row>
    <row r="1135" spans="1:9" x14ac:dyDescent="0.35">
      <c r="A1135" s="117">
        <v>45817</v>
      </c>
      <c r="B1135" s="118" t="s">
        <v>318</v>
      </c>
      <c r="C1135" s="118" t="s">
        <v>332</v>
      </c>
      <c r="D1135" s="118" t="s">
        <v>423</v>
      </c>
      <c r="E1135" s="118" t="s">
        <v>316</v>
      </c>
      <c r="F1135" s="119">
        <v>44</v>
      </c>
      <c r="G1135" s="120">
        <v>4</v>
      </c>
      <c r="H1135" s="121">
        <f t="shared" si="35"/>
        <v>352</v>
      </c>
      <c r="I1135" s="122">
        <f t="shared" si="34"/>
        <v>21.119999999999997</v>
      </c>
    </row>
    <row r="1136" spans="1:9" x14ac:dyDescent="0.35">
      <c r="A1136" s="117">
        <v>45818</v>
      </c>
      <c r="B1136" s="118" t="s">
        <v>322</v>
      </c>
      <c r="C1136" s="118" t="s">
        <v>393</v>
      </c>
      <c r="D1136" s="118" t="s">
        <v>333</v>
      </c>
      <c r="E1136" s="118" t="s">
        <v>346</v>
      </c>
      <c r="F1136" s="119">
        <v>28</v>
      </c>
      <c r="G1136" s="120">
        <v>17</v>
      </c>
      <c r="H1136" s="121">
        <f t="shared" si="35"/>
        <v>532</v>
      </c>
      <c r="I1136" s="122">
        <f t="shared" si="34"/>
        <v>26.6</v>
      </c>
    </row>
    <row r="1137" spans="1:9" x14ac:dyDescent="0.35">
      <c r="A1137" s="117">
        <v>45818</v>
      </c>
      <c r="B1137" s="118" t="s">
        <v>318</v>
      </c>
      <c r="C1137" s="118" t="s">
        <v>332</v>
      </c>
      <c r="D1137" s="118" t="s">
        <v>423</v>
      </c>
      <c r="E1137" s="118" t="s">
        <v>394</v>
      </c>
      <c r="F1137" s="119">
        <v>46</v>
      </c>
      <c r="G1137" s="120">
        <v>4</v>
      </c>
      <c r="H1137" s="121">
        <f t="shared" si="35"/>
        <v>368</v>
      </c>
      <c r="I1137" s="122">
        <f t="shared" si="34"/>
        <v>22.08</v>
      </c>
    </row>
    <row r="1138" spans="1:9" x14ac:dyDescent="0.35">
      <c r="A1138" s="117">
        <v>45818</v>
      </c>
      <c r="B1138" s="118" t="s">
        <v>318</v>
      </c>
      <c r="C1138" s="118" t="s">
        <v>319</v>
      </c>
      <c r="D1138" s="118" t="s">
        <v>315</v>
      </c>
      <c r="E1138" s="118" t="s">
        <v>344</v>
      </c>
      <c r="F1138" s="119">
        <v>48</v>
      </c>
      <c r="G1138" s="120">
        <v>4</v>
      </c>
      <c r="H1138" s="121">
        <f t="shared" si="35"/>
        <v>240</v>
      </c>
      <c r="I1138" s="122">
        <f t="shared" si="34"/>
        <v>12</v>
      </c>
    </row>
    <row r="1139" spans="1:9" x14ac:dyDescent="0.35">
      <c r="A1139" s="117">
        <v>45820</v>
      </c>
      <c r="B1139" s="118" t="s">
        <v>327</v>
      </c>
      <c r="C1139" s="118" t="s">
        <v>332</v>
      </c>
      <c r="D1139" s="118" t="s">
        <v>324</v>
      </c>
      <c r="E1139" s="118" t="s">
        <v>329</v>
      </c>
      <c r="F1139" s="119">
        <v>8</v>
      </c>
      <c r="G1139" s="120">
        <v>6</v>
      </c>
      <c r="H1139" s="121">
        <f t="shared" si="35"/>
        <v>80</v>
      </c>
      <c r="I1139" s="122">
        <f t="shared" si="34"/>
        <v>4</v>
      </c>
    </row>
    <row r="1140" spans="1:9" x14ac:dyDescent="0.35">
      <c r="A1140" s="117">
        <v>45820</v>
      </c>
      <c r="B1140" s="118" t="s">
        <v>318</v>
      </c>
      <c r="C1140" s="118" t="s">
        <v>314</v>
      </c>
      <c r="D1140" s="118" t="s">
        <v>338</v>
      </c>
      <c r="E1140" s="118" t="s">
        <v>394</v>
      </c>
      <c r="F1140" s="119">
        <v>14</v>
      </c>
      <c r="G1140" s="120">
        <v>4</v>
      </c>
      <c r="H1140" s="121">
        <f t="shared" si="35"/>
        <v>98</v>
      </c>
      <c r="I1140" s="122">
        <f t="shared" si="34"/>
        <v>5.88</v>
      </c>
    </row>
    <row r="1141" spans="1:9" x14ac:dyDescent="0.35">
      <c r="A1141" s="117">
        <v>45821</v>
      </c>
      <c r="B1141" s="118" t="s">
        <v>422</v>
      </c>
      <c r="C1141" s="118" t="s">
        <v>332</v>
      </c>
      <c r="D1141" s="118" t="s">
        <v>423</v>
      </c>
      <c r="E1141" s="118" t="s">
        <v>455</v>
      </c>
      <c r="F1141" s="119">
        <v>65</v>
      </c>
      <c r="G1141" s="120">
        <v>24</v>
      </c>
      <c r="H1141" s="121">
        <f t="shared" si="35"/>
        <v>1820</v>
      </c>
      <c r="I1141" s="122">
        <f t="shared" si="34"/>
        <v>109.2</v>
      </c>
    </row>
    <row r="1142" spans="1:9" x14ac:dyDescent="0.35">
      <c r="A1142" s="117">
        <v>45821</v>
      </c>
      <c r="B1142" s="118" t="s">
        <v>422</v>
      </c>
      <c r="C1142" s="118" t="s">
        <v>319</v>
      </c>
      <c r="D1142" s="118" t="s">
        <v>324</v>
      </c>
      <c r="E1142" s="118" t="s">
        <v>341</v>
      </c>
      <c r="F1142" s="119">
        <v>51</v>
      </c>
      <c r="G1142" s="120">
        <v>24</v>
      </c>
      <c r="H1142" s="121">
        <f t="shared" si="35"/>
        <v>1275</v>
      </c>
      <c r="I1142" s="122">
        <f t="shared" si="34"/>
        <v>63.75</v>
      </c>
    </row>
    <row r="1143" spans="1:9" x14ac:dyDescent="0.35">
      <c r="A1143" s="117">
        <v>45821</v>
      </c>
      <c r="B1143" s="118" t="s">
        <v>322</v>
      </c>
      <c r="C1143" s="118" t="s">
        <v>393</v>
      </c>
      <c r="D1143" s="118" t="s">
        <v>338</v>
      </c>
      <c r="E1143" s="118" t="s">
        <v>345</v>
      </c>
      <c r="F1143" s="119">
        <v>48</v>
      </c>
      <c r="G1143" s="120">
        <v>17</v>
      </c>
      <c r="H1143" s="121">
        <f t="shared" si="35"/>
        <v>912</v>
      </c>
      <c r="I1143" s="122">
        <f t="shared" si="34"/>
        <v>54.72</v>
      </c>
    </row>
    <row r="1144" spans="1:9" x14ac:dyDescent="0.35">
      <c r="A1144" s="117">
        <v>45822</v>
      </c>
      <c r="B1144" s="118" t="s">
        <v>327</v>
      </c>
      <c r="C1144" s="118" t="s">
        <v>393</v>
      </c>
      <c r="D1144" s="118" t="s">
        <v>315</v>
      </c>
      <c r="E1144" s="118" t="s">
        <v>345</v>
      </c>
      <c r="F1144" s="119">
        <v>62</v>
      </c>
      <c r="G1144" s="120">
        <v>6</v>
      </c>
      <c r="H1144" s="121">
        <f t="shared" si="35"/>
        <v>496</v>
      </c>
      <c r="I1144" s="122">
        <f t="shared" si="34"/>
        <v>24.8</v>
      </c>
    </row>
    <row r="1145" spans="1:9" x14ac:dyDescent="0.35">
      <c r="A1145" s="117">
        <v>45822</v>
      </c>
      <c r="B1145" s="118" t="s">
        <v>318</v>
      </c>
      <c r="C1145" s="118" t="s">
        <v>393</v>
      </c>
      <c r="D1145" s="118" t="s">
        <v>333</v>
      </c>
      <c r="E1145" s="118" t="s">
        <v>343</v>
      </c>
      <c r="F1145" s="119">
        <v>21</v>
      </c>
      <c r="G1145" s="120">
        <v>4</v>
      </c>
      <c r="H1145" s="121">
        <f t="shared" si="35"/>
        <v>126</v>
      </c>
      <c r="I1145" s="122">
        <f t="shared" si="34"/>
        <v>6.3000000000000007</v>
      </c>
    </row>
    <row r="1146" spans="1:9" x14ac:dyDescent="0.35">
      <c r="A1146" s="117">
        <v>45822</v>
      </c>
      <c r="B1146" s="118" t="s">
        <v>322</v>
      </c>
      <c r="C1146" s="118" t="s">
        <v>314</v>
      </c>
      <c r="D1146" s="118" t="s">
        <v>423</v>
      </c>
      <c r="E1146" s="118" t="s">
        <v>343</v>
      </c>
      <c r="F1146" s="119">
        <v>6</v>
      </c>
      <c r="G1146" s="120">
        <v>17</v>
      </c>
      <c r="H1146" s="121">
        <f t="shared" si="35"/>
        <v>120</v>
      </c>
      <c r="I1146" s="122">
        <f t="shared" si="34"/>
        <v>7.1999999999999993</v>
      </c>
    </row>
    <row r="1147" spans="1:9" x14ac:dyDescent="0.35">
      <c r="A1147" s="117">
        <v>45823</v>
      </c>
      <c r="B1147" s="118" t="s">
        <v>422</v>
      </c>
      <c r="C1147" s="118" t="s">
        <v>319</v>
      </c>
      <c r="D1147" s="118" t="s">
        <v>423</v>
      </c>
      <c r="E1147" s="118" t="s">
        <v>346</v>
      </c>
      <c r="F1147" s="119">
        <v>39</v>
      </c>
      <c r="G1147" s="120">
        <v>24</v>
      </c>
      <c r="H1147" s="121">
        <f t="shared" si="35"/>
        <v>975</v>
      </c>
      <c r="I1147" s="122">
        <f t="shared" si="34"/>
        <v>58.5</v>
      </c>
    </row>
    <row r="1148" spans="1:9" x14ac:dyDescent="0.35">
      <c r="A1148" s="117">
        <v>45823</v>
      </c>
      <c r="B1148" s="118" t="s">
        <v>313</v>
      </c>
      <c r="C1148" s="118" t="s">
        <v>393</v>
      </c>
      <c r="D1148" s="118" t="s">
        <v>320</v>
      </c>
      <c r="E1148" s="118" t="s">
        <v>343</v>
      </c>
      <c r="F1148" s="119">
        <v>11</v>
      </c>
      <c r="G1148" s="120">
        <v>13</v>
      </c>
      <c r="H1148" s="121">
        <f t="shared" si="35"/>
        <v>165</v>
      </c>
      <c r="I1148" s="122">
        <f t="shared" si="34"/>
        <v>9.9</v>
      </c>
    </row>
    <row r="1149" spans="1:9" x14ac:dyDescent="0.35">
      <c r="A1149" s="117">
        <v>45824</v>
      </c>
      <c r="B1149" s="118" t="s">
        <v>327</v>
      </c>
      <c r="C1149" s="118" t="s">
        <v>393</v>
      </c>
      <c r="D1149" s="118" t="s">
        <v>423</v>
      </c>
      <c r="E1149" s="118" t="s">
        <v>342</v>
      </c>
      <c r="F1149" s="119">
        <v>30</v>
      </c>
      <c r="G1149" s="120">
        <v>6</v>
      </c>
      <c r="H1149" s="121">
        <f t="shared" si="35"/>
        <v>240</v>
      </c>
      <c r="I1149" s="122">
        <f t="shared" si="34"/>
        <v>14.399999999999999</v>
      </c>
    </row>
    <row r="1150" spans="1:9" x14ac:dyDescent="0.35">
      <c r="A1150" s="117">
        <v>45824</v>
      </c>
      <c r="B1150" s="118" t="s">
        <v>327</v>
      </c>
      <c r="C1150" s="118" t="s">
        <v>314</v>
      </c>
      <c r="D1150" s="118" t="s">
        <v>333</v>
      </c>
      <c r="E1150" s="118" t="s">
        <v>400</v>
      </c>
      <c r="F1150" s="119">
        <v>51</v>
      </c>
      <c r="G1150" s="120">
        <v>6</v>
      </c>
      <c r="H1150" s="121">
        <f t="shared" si="35"/>
        <v>459</v>
      </c>
      <c r="I1150" s="122">
        <f t="shared" si="34"/>
        <v>22.950000000000003</v>
      </c>
    </row>
    <row r="1151" spans="1:9" x14ac:dyDescent="0.35">
      <c r="A1151" s="117">
        <v>45824</v>
      </c>
      <c r="B1151" s="118" t="s">
        <v>322</v>
      </c>
      <c r="C1151" s="118" t="s">
        <v>393</v>
      </c>
      <c r="D1151" s="118" t="s">
        <v>320</v>
      </c>
      <c r="E1151" s="118" t="s">
        <v>331</v>
      </c>
      <c r="F1151" s="119">
        <v>40</v>
      </c>
      <c r="G1151" s="120">
        <v>17</v>
      </c>
      <c r="H1151" s="121">
        <f t="shared" si="35"/>
        <v>760</v>
      </c>
      <c r="I1151" s="122">
        <f t="shared" si="34"/>
        <v>45.6</v>
      </c>
    </row>
    <row r="1152" spans="1:9" x14ac:dyDescent="0.35">
      <c r="A1152" s="117">
        <v>45825</v>
      </c>
      <c r="B1152" s="118" t="s">
        <v>313</v>
      </c>
      <c r="C1152" s="118" t="s">
        <v>314</v>
      </c>
      <c r="D1152" s="118" t="s">
        <v>315</v>
      </c>
      <c r="E1152" s="118" t="s">
        <v>348</v>
      </c>
      <c r="F1152" s="119">
        <v>45</v>
      </c>
      <c r="G1152" s="120">
        <v>13</v>
      </c>
      <c r="H1152" s="121">
        <f t="shared" si="35"/>
        <v>720</v>
      </c>
      <c r="I1152" s="122">
        <f t="shared" si="34"/>
        <v>36</v>
      </c>
    </row>
    <row r="1153" spans="1:9" x14ac:dyDescent="0.35">
      <c r="A1153" s="117">
        <v>45825</v>
      </c>
      <c r="B1153" s="118" t="s">
        <v>422</v>
      </c>
      <c r="C1153" s="118" t="s">
        <v>393</v>
      </c>
      <c r="D1153" s="118" t="s">
        <v>320</v>
      </c>
      <c r="E1153" s="118" t="s">
        <v>346</v>
      </c>
      <c r="F1153" s="119">
        <v>51</v>
      </c>
      <c r="G1153" s="120">
        <v>24</v>
      </c>
      <c r="H1153" s="121">
        <f t="shared" si="35"/>
        <v>1326</v>
      </c>
      <c r="I1153" s="122">
        <f t="shared" si="34"/>
        <v>79.56</v>
      </c>
    </row>
    <row r="1154" spans="1:9" x14ac:dyDescent="0.35">
      <c r="A1154" s="117">
        <v>45825</v>
      </c>
      <c r="B1154" s="118" t="s">
        <v>422</v>
      </c>
      <c r="C1154" s="118" t="s">
        <v>393</v>
      </c>
      <c r="D1154" s="118" t="s">
        <v>423</v>
      </c>
      <c r="E1154" s="118" t="s">
        <v>350</v>
      </c>
      <c r="F1154" s="119">
        <v>23</v>
      </c>
      <c r="G1154" s="120">
        <v>24</v>
      </c>
      <c r="H1154" s="121">
        <f t="shared" si="35"/>
        <v>598</v>
      </c>
      <c r="I1154" s="122">
        <f t="shared" ref="I1154:I1217" si="36">H1154*VLOOKUP(D1154,$O$4:$P$10,2,TRUE)</f>
        <v>35.879999999999995</v>
      </c>
    </row>
    <row r="1155" spans="1:9" x14ac:dyDescent="0.35">
      <c r="A1155" s="117">
        <v>45825</v>
      </c>
      <c r="B1155" s="118" t="s">
        <v>318</v>
      </c>
      <c r="C1155" s="118" t="s">
        <v>393</v>
      </c>
      <c r="D1155" s="118" t="s">
        <v>423</v>
      </c>
      <c r="E1155" s="118" t="s">
        <v>316</v>
      </c>
      <c r="F1155" s="119">
        <v>27</v>
      </c>
      <c r="G1155" s="120">
        <v>4</v>
      </c>
      <c r="H1155" s="121">
        <f t="shared" ref="H1155:H1218" si="37">(F1155*G1155)+VLOOKUP(C1155,$K$11:$L$14,2,FALSE)*F1155</f>
        <v>162</v>
      </c>
      <c r="I1155" s="122">
        <f t="shared" si="36"/>
        <v>9.7199999999999989</v>
      </c>
    </row>
    <row r="1156" spans="1:9" x14ac:dyDescent="0.35">
      <c r="A1156" s="117">
        <v>45826</v>
      </c>
      <c r="B1156" s="118" t="s">
        <v>327</v>
      </c>
      <c r="C1156" s="118" t="s">
        <v>332</v>
      </c>
      <c r="D1156" s="118" t="s">
        <v>333</v>
      </c>
      <c r="E1156" s="118" t="s">
        <v>455</v>
      </c>
      <c r="F1156" s="119">
        <v>22</v>
      </c>
      <c r="G1156" s="120">
        <v>6</v>
      </c>
      <c r="H1156" s="121">
        <f t="shared" si="37"/>
        <v>220</v>
      </c>
      <c r="I1156" s="122">
        <f t="shared" si="36"/>
        <v>11</v>
      </c>
    </row>
    <row r="1157" spans="1:9" x14ac:dyDescent="0.35">
      <c r="A1157" s="117">
        <v>45826</v>
      </c>
      <c r="B1157" s="118" t="s">
        <v>327</v>
      </c>
      <c r="C1157" s="118" t="s">
        <v>332</v>
      </c>
      <c r="D1157" s="118" t="s">
        <v>423</v>
      </c>
      <c r="E1157" s="118" t="s">
        <v>341</v>
      </c>
      <c r="F1157" s="119">
        <v>23</v>
      </c>
      <c r="G1157" s="120">
        <v>6</v>
      </c>
      <c r="H1157" s="121">
        <f t="shared" si="37"/>
        <v>230</v>
      </c>
      <c r="I1157" s="122">
        <f t="shared" si="36"/>
        <v>13.799999999999999</v>
      </c>
    </row>
    <row r="1158" spans="1:9" x14ac:dyDescent="0.35">
      <c r="A1158" s="117">
        <v>45826</v>
      </c>
      <c r="B1158" s="118" t="s">
        <v>327</v>
      </c>
      <c r="C1158" s="118" t="s">
        <v>332</v>
      </c>
      <c r="D1158" s="118" t="s">
        <v>315</v>
      </c>
      <c r="E1158" s="118" t="s">
        <v>339</v>
      </c>
      <c r="F1158" s="119">
        <v>50</v>
      </c>
      <c r="G1158" s="120">
        <v>6</v>
      </c>
      <c r="H1158" s="121">
        <f t="shared" si="37"/>
        <v>500</v>
      </c>
      <c r="I1158" s="122">
        <f t="shared" si="36"/>
        <v>25</v>
      </c>
    </row>
    <row r="1159" spans="1:9" x14ac:dyDescent="0.35">
      <c r="A1159" s="117">
        <v>45826</v>
      </c>
      <c r="B1159" s="118" t="s">
        <v>422</v>
      </c>
      <c r="C1159" s="118" t="s">
        <v>314</v>
      </c>
      <c r="D1159" s="118" t="s">
        <v>423</v>
      </c>
      <c r="E1159" s="118" t="s">
        <v>405</v>
      </c>
      <c r="F1159" s="119">
        <v>53</v>
      </c>
      <c r="G1159" s="120">
        <v>24</v>
      </c>
      <c r="H1159" s="121">
        <f t="shared" si="37"/>
        <v>1431</v>
      </c>
      <c r="I1159" s="122">
        <f t="shared" si="36"/>
        <v>85.86</v>
      </c>
    </row>
    <row r="1160" spans="1:9" x14ac:dyDescent="0.35">
      <c r="A1160" s="117">
        <v>45827</v>
      </c>
      <c r="B1160" s="118" t="s">
        <v>313</v>
      </c>
      <c r="C1160" s="118" t="s">
        <v>393</v>
      </c>
      <c r="D1160" s="118" t="s">
        <v>423</v>
      </c>
      <c r="E1160" s="118" t="s">
        <v>455</v>
      </c>
      <c r="F1160" s="119">
        <v>28</v>
      </c>
      <c r="G1160" s="120">
        <v>13</v>
      </c>
      <c r="H1160" s="121">
        <f t="shared" si="37"/>
        <v>420</v>
      </c>
      <c r="I1160" s="122">
        <f t="shared" si="36"/>
        <v>25.2</v>
      </c>
    </row>
    <row r="1161" spans="1:9" x14ac:dyDescent="0.35">
      <c r="A1161" s="117">
        <v>45827</v>
      </c>
      <c r="B1161" s="118" t="s">
        <v>318</v>
      </c>
      <c r="C1161" s="118" t="s">
        <v>332</v>
      </c>
      <c r="D1161" s="118" t="s">
        <v>333</v>
      </c>
      <c r="E1161" s="118" t="s">
        <v>340</v>
      </c>
      <c r="F1161" s="119">
        <v>57</v>
      </c>
      <c r="G1161" s="120">
        <v>4</v>
      </c>
      <c r="H1161" s="121">
        <f t="shared" si="37"/>
        <v>456</v>
      </c>
      <c r="I1161" s="122">
        <f t="shared" si="36"/>
        <v>22.8</v>
      </c>
    </row>
    <row r="1162" spans="1:9" x14ac:dyDescent="0.35">
      <c r="A1162" s="117">
        <v>45827</v>
      </c>
      <c r="B1162" s="118" t="s">
        <v>327</v>
      </c>
      <c r="C1162" s="118" t="s">
        <v>332</v>
      </c>
      <c r="D1162" s="118" t="s">
        <v>333</v>
      </c>
      <c r="E1162" s="118" t="s">
        <v>395</v>
      </c>
      <c r="F1162" s="119">
        <v>14</v>
      </c>
      <c r="G1162" s="120">
        <v>6</v>
      </c>
      <c r="H1162" s="121">
        <f t="shared" si="37"/>
        <v>140</v>
      </c>
      <c r="I1162" s="122">
        <f t="shared" si="36"/>
        <v>7</v>
      </c>
    </row>
    <row r="1163" spans="1:9" x14ac:dyDescent="0.35">
      <c r="A1163" s="117">
        <v>45827</v>
      </c>
      <c r="B1163" s="118" t="s">
        <v>318</v>
      </c>
      <c r="C1163" s="118" t="s">
        <v>393</v>
      </c>
      <c r="D1163" s="118" t="s">
        <v>315</v>
      </c>
      <c r="E1163" s="118" t="s">
        <v>347</v>
      </c>
      <c r="F1163" s="119">
        <v>55</v>
      </c>
      <c r="G1163" s="120">
        <v>4</v>
      </c>
      <c r="H1163" s="121">
        <f t="shared" si="37"/>
        <v>330</v>
      </c>
      <c r="I1163" s="122">
        <f t="shared" si="36"/>
        <v>16.5</v>
      </c>
    </row>
    <row r="1164" spans="1:9" x14ac:dyDescent="0.35">
      <c r="A1164" s="117">
        <v>45827</v>
      </c>
      <c r="B1164" s="118" t="s">
        <v>422</v>
      </c>
      <c r="C1164" s="118" t="s">
        <v>319</v>
      </c>
      <c r="D1164" s="118" t="s">
        <v>333</v>
      </c>
      <c r="E1164" s="118" t="s">
        <v>350</v>
      </c>
      <c r="F1164" s="119">
        <v>24</v>
      </c>
      <c r="G1164" s="120">
        <v>24</v>
      </c>
      <c r="H1164" s="121">
        <f t="shared" si="37"/>
        <v>600</v>
      </c>
      <c r="I1164" s="122">
        <f t="shared" si="36"/>
        <v>30</v>
      </c>
    </row>
    <row r="1165" spans="1:9" x14ac:dyDescent="0.35">
      <c r="A1165" s="117">
        <v>45827</v>
      </c>
      <c r="B1165" s="118" t="s">
        <v>327</v>
      </c>
      <c r="C1165" s="118" t="s">
        <v>393</v>
      </c>
      <c r="D1165" s="118" t="s">
        <v>390</v>
      </c>
      <c r="E1165" s="118" t="s">
        <v>350</v>
      </c>
      <c r="F1165" s="119">
        <v>13</v>
      </c>
      <c r="G1165" s="120">
        <v>6</v>
      </c>
      <c r="H1165" s="121">
        <f t="shared" si="37"/>
        <v>104</v>
      </c>
      <c r="I1165" s="122">
        <f t="shared" si="36"/>
        <v>5.2</v>
      </c>
    </row>
    <row r="1166" spans="1:9" x14ac:dyDescent="0.35">
      <c r="A1166" s="117">
        <v>45827</v>
      </c>
      <c r="B1166" s="118" t="s">
        <v>327</v>
      </c>
      <c r="C1166" s="118" t="s">
        <v>332</v>
      </c>
      <c r="D1166" s="118" t="s">
        <v>423</v>
      </c>
      <c r="E1166" s="118" t="s">
        <v>335</v>
      </c>
      <c r="F1166" s="119">
        <v>26</v>
      </c>
      <c r="G1166" s="120">
        <v>6</v>
      </c>
      <c r="H1166" s="121">
        <f t="shared" si="37"/>
        <v>260</v>
      </c>
      <c r="I1166" s="122">
        <f t="shared" si="36"/>
        <v>15.6</v>
      </c>
    </row>
    <row r="1167" spans="1:9" x14ac:dyDescent="0.35">
      <c r="A1167" s="117">
        <v>45828</v>
      </c>
      <c r="B1167" s="118" t="s">
        <v>322</v>
      </c>
      <c r="C1167" s="118" t="s">
        <v>332</v>
      </c>
      <c r="D1167" s="118" t="s">
        <v>423</v>
      </c>
      <c r="E1167" s="118" t="s">
        <v>454</v>
      </c>
      <c r="F1167" s="119">
        <v>30</v>
      </c>
      <c r="G1167" s="120">
        <v>17</v>
      </c>
      <c r="H1167" s="121">
        <f t="shared" si="37"/>
        <v>630</v>
      </c>
      <c r="I1167" s="122">
        <f t="shared" si="36"/>
        <v>37.799999999999997</v>
      </c>
    </row>
    <row r="1168" spans="1:9" x14ac:dyDescent="0.35">
      <c r="A1168" s="117">
        <v>45828</v>
      </c>
      <c r="B1168" s="118" t="s">
        <v>327</v>
      </c>
      <c r="C1168" s="118" t="s">
        <v>314</v>
      </c>
      <c r="D1168" s="118" t="s">
        <v>315</v>
      </c>
      <c r="E1168" s="118" t="s">
        <v>343</v>
      </c>
      <c r="F1168" s="119">
        <v>9</v>
      </c>
      <c r="G1168" s="120">
        <v>6</v>
      </c>
      <c r="H1168" s="121">
        <f t="shared" si="37"/>
        <v>81</v>
      </c>
      <c r="I1168" s="122">
        <f t="shared" si="36"/>
        <v>4.05</v>
      </c>
    </row>
    <row r="1169" spans="1:9" x14ac:dyDescent="0.35">
      <c r="A1169" s="117">
        <v>45828</v>
      </c>
      <c r="B1169" s="118" t="s">
        <v>327</v>
      </c>
      <c r="C1169" s="118" t="s">
        <v>393</v>
      </c>
      <c r="D1169" s="118" t="s">
        <v>315</v>
      </c>
      <c r="E1169" s="118" t="s">
        <v>316</v>
      </c>
      <c r="F1169" s="119">
        <v>6</v>
      </c>
      <c r="G1169" s="120">
        <v>6</v>
      </c>
      <c r="H1169" s="121">
        <f t="shared" si="37"/>
        <v>48</v>
      </c>
      <c r="I1169" s="122">
        <f t="shared" si="36"/>
        <v>2.4000000000000004</v>
      </c>
    </row>
    <row r="1170" spans="1:9" x14ac:dyDescent="0.35">
      <c r="A1170" s="117">
        <v>45829</v>
      </c>
      <c r="B1170" s="118" t="s">
        <v>318</v>
      </c>
      <c r="C1170" s="118" t="s">
        <v>332</v>
      </c>
      <c r="D1170" s="118" t="s">
        <v>333</v>
      </c>
      <c r="E1170" s="118" t="s">
        <v>388</v>
      </c>
      <c r="F1170" s="119">
        <v>35</v>
      </c>
      <c r="G1170" s="120">
        <v>4</v>
      </c>
      <c r="H1170" s="121">
        <f t="shared" si="37"/>
        <v>280</v>
      </c>
      <c r="I1170" s="122">
        <f t="shared" si="36"/>
        <v>14</v>
      </c>
    </row>
    <row r="1171" spans="1:9" x14ac:dyDescent="0.35">
      <c r="A1171" s="117">
        <v>45829</v>
      </c>
      <c r="B1171" s="118" t="s">
        <v>313</v>
      </c>
      <c r="C1171" s="118" t="s">
        <v>332</v>
      </c>
      <c r="D1171" s="118" t="s">
        <v>390</v>
      </c>
      <c r="E1171" s="118" t="s">
        <v>400</v>
      </c>
      <c r="F1171" s="119">
        <v>30</v>
      </c>
      <c r="G1171" s="120">
        <v>13</v>
      </c>
      <c r="H1171" s="121">
        <f t="shared" si="37"/>
        <v>510</v>
      </c>
      <c r="I1171" s="122">
        <f t="shared" si="36"/>
        <v>25.5</v>
      </c>
    </row>
    <row r="1172" spans="1:9" x14ac:dyDescent="0.35">
      <c r="A1172" s="117">
        <v>45829</v>
      </c>
      <c r="B1172" s="118" t="s">
        <v>313</v>
      </c>
      <c r="C1172" s="118" t="s">
        <v>319</v>
      </c>
      <c r="D1172" s="118" t="s">
        <v>320</v>
      </c>
      <c r="E1172" s="118" t="s">
        <v>400</v>
      </c>
      <c r="F1172" s="119">
        <v>12</v>
      </c>
      <c r="G1172" s="120">
        <v>13</v>
      </c>
      <c r="H1172" s="121">
        <f t="shared" si="37"/>
        <v>168</v>
      </c>
      <c r="I1172" s="122">
        <f t="shared" si="36"/>
        <v>10.08</v>
      </c>
    </row>
    <row r="1173" spans="1:9" x14ac:dyDescent="0.35">
      <c r="A1173" s="117">
        <v>45830</v>
      </c>
      <c r="B1173" s="118" t="s">
        <v>322</v>
      </c>
      <c r="C1173" s="118" t="s">
        <v>393</v>
      </c>
      <c r="D1173" s="118" t="s">
        <v>390</v>
      </c>
      <c r="E1173" s="118" t="s">
        <v>340</v>
      </c>
      <c r="F1173" s="119">
        <v>55</v>
      </c>
      <c r="G1173" s="120">
        <v>17</v>
      </c>
      <c r="H1173" s="121">
        <f t="shared" si="37"/>
        <v>1045</v>
      </c>
      <c r="I1173" s="122">
        <f t="shared" si="36"/>
        <v>52.25</v>
      </c>
    </row>
    <row r="1174" spans="1:9" x14ac:dyDescent="0.35">
      <c r="A1174" s="117">
        <v>45831</v>
      </c>
      <c r="B1174" s="118" t="s">
        <v>318</v>
      </c>
      <c r="C1174" s="118" t="s">
        <v>319</v>
      </c>
      <c r="D1174" s="118" t="s">
        <v>324</v>
      </c>
      <c r="E1174" s="118" t="s">
        <v>339</v>
      </c>
      <c r="F1174" s="119">
        <v>28</v>
      </c>
      <c r="G1174" s="120">
        <v>4</v>
      </c>
      <c r="H1174" s="121">
        <f t="shared" si="37"/>
        <v>140</v>
      </c>
      <c r="I1174" s="122">
        <f t="shared" si="36"/>
        <v>7</v>
      </c>
    </row>
    <row r="1175" spans="1:9" x14ac:dyDescent="0.35">
      <c r="A1175" s="117">
        <v>45831</v>
      </c>
      <c r="B1175" s="118" t="s">
        <v>422</v>
      </c>
      <c r="C1175" s="118" t="s">
        <v>393</v>
      </c>
      <c r="D1175" s="118" t="s">
        <v>315</v>
      </c>
      <c r="E1175" s="118" t="s">
        <v>394</v>
      </c>
      <c r="F1175" s="119">
        <v>43</v>
      </c>
      <c r="G1175" s="120">
        <v>24</v>
      </c>
      <c r="H1175" s="121">
        <f t="shared" si="37"/>
        <v>1118</v>
      </c>
      <c r="I1175" s="122">
        <f t="shared" si="36"/>
        <v>55.900000000000006</v>
      </c>
    </row>
    <row r="1176" spans="1:9" x14ac:dyDescent="0.35">
      <c r="A1176" s="117">
        <v>45832</v>
      </c>
      <c r="B1176" s="118" t="s">
        <v>327</v>
      </c>
      <c r="C1176" s="118" t="s">
        <v>314</v>
      </c>
      <c r="D1176" s="118" t="s">
        <v>333</v>
      </c>
      <c r="E1176" s="118" t="s">
        <v>406</v>
      </c>
      <c r="F1176" s="119">
        <v>18</v>
      </c>
      <c r="G1176" s="120">
        <v>6</v>
      </c>
      <c r="H1176" s="121">
        <f t="shared" si="37"/>
        <v>162</v>
      </c>
      <c r="I1176" s="122">
        <f t="shared" si="36"/>
        <v>8.1</v>
      </c>
    </row>
    <row r="1177" spans="1:9" x14ac:dyDescent="0.35">
      <c r="A1177" s="117">
        <v>45832</v>
      </c>
      <c r="B1177" s="118" t="s">
        <v>313</v>
      </c>
      <c r="C1177" s="118" t="s">
        <v>314</v>
      </c>
      <c r="D1177" s="118" t="s">
        <v>320</v>
      </c>
      <c r="E1177" s="118" t="s">
        <v>340</v>
      </c>
      <c r="F1177" s="119">
        <v>17</v>
      </c>
      <c r="G1177" s="120">
        <v>13</v>
      </c>
      <c r="H1177" s="121">
        <f t="shared" si="37"/>
        <v>272</v>
      </c>
      <c r="I1177" s="122">
        <f t="shared" si="36"/>
        <v>16.32</v>
      </c>
    </row>
    <row r="1178" spans="1:9" x14ac:dyDescent="0.35">
      <c r="A1178" s="117">
        <v>45833</v>
      </c>
      <c r="B1178" s="118" t="s">
        <v>327</v>
      </c>
      <c r="C1178" s="118" t="s">
        <v>332</v>
      </c>
      <c r="D1178" s="118" t="s">
        <v>315</v>
      </c>
      <c r="E1178" s="118" t="s">
        <v>348</v>
      </c>
      <c r="F1178" s="119">
        <v>34</v>
      </c>
      <c r="G1178" s="120">
        <v>6</v>
      </c>
      <c r="H1178" s="121">
        <f t="shared" si="37"/>
        <v>340</v>
      </c>
      <c r="I1178" s="122">
        <f t="shared" si="36"/>
        <v>17</v>
      </c>
    </row>
    <row r="1179" spans="1:9" x14ac:dyDescent="0.35">
      <c r="A1179" s="117">
        <v>45833</v>
      </c>
      <c r="B1179" s="118" t="s">
        <v>327</v>
      </c>
      <c r="C1179" s="118" t="s">
        <v>319</v>
      </c>
      <c r="D1179" s="118" t="s">
        <v>315</v>
      </c>
      <c r="E1179" s="118" t="s">
        <v>454</v>
      </c>
      <c r="F1179" s="119">
        <v>47</v>
      </c>
      <c r="G1179" s="120">
        <v>6</v>
      </c>
      <c r="H1179" s="121">
        <f t="shared" si="37"/>
        <v>329</v>
      </c>
      <c r="I1179" s="122">
        <f t="shared" si="36"/>
        <v>16.45</v>
      </c>
    </row>
    <row r="1180" spans="1:9" x14ac:dyDescent="0.35">
      <c r="A1180" s="117">
        <v>45835</v>
      </c>
      <c r="B1180" s="118" t="s">
        <v>322</v>
      </c>
      <c r="C1180" s="118" t="s">
        <v>319</v>
      </c>
      <c r="D1180" s="118" t="s">
        <v>320</v>
      </c>
      <c r="E1180" s="118" t="s">
        <v>339</v>
      </c>
      <c r="F1180" s="119">
        <v>23</v>
      </c>
      <c r="G1180" s="120">
        <v>17</v>
      </c>
      <c r="H1180" s="121">
        <f t="shared" si="37"/>
        <v>414</v>
      </c>
      <c r="I1180" s="122">
        <f t="shared" si="36"/>
        <v>24.84</v>
      </c>
    </row>
    <row r="1181" spans="1:9" x14ac:dyDescent="0.35">
      <c r="A1181" s="117">
        <v>45835</v>
      </c>
      <c r="B1181" s="118" t="s">
        <v>422</v>
      </c>
      <c r="C1181" s="118" t="s">
        <v>314</v>
      </c>
      <c r="D1181" s="118" t="s">
        <v>423</v>
      </c>
      <c r="E1181" s="118" t="s">
        <v>454</v>
      </c>
      <c r="F1181" s="119">
        <v>59</v>
      </c>
      <c r="G1181" s="120">
        <v>24</v>
      </c>
      <c r="H1181" s="121">
        <f t="shared" si="37"/>
        <v>1593</v>
      </c>
      <c r="I1181" s="122">
        <f t="shared" si="36"/>
        <v>95.58</v>
      </c>
    </row>
    <row r="1182" spans="1:9" x14ac:dyDescent="0.35">
      <c r="A1182" s="117">
        <v>45835</v>
      </c>
      <c r="B1182" s="118" t="s">
        <v>318</v>
      </c>
      <c r="C1182" s="118" t="s">
        <v>332</v>
      </c>
      <c r="D1182" s="118" t="s">
        <v>423</v>
      </c>
      <c r="E1182" s="118" t="s">
        <v>394</v>
      </c>
      <c r="F1182" s="119">
        <v>54</v>
      </c>
      <c r="G1182" s="120">
        <v>4</v>
      </c>
      <c r="H1182" s="121">
        <f t="shared" si="37"/>
        <v>432</v>
      </c>
      <c r="I1182" s="122">
        <f t="shared" si="36"/>
        <v>25.919999999999998</v>
      </c>
    </row>
    <row r="1183" spans="1:9" x14ac:dyDescent="0.35">
      <c r="A1183" s="117">
        <v>45836</v>
      </c>
      <c r="B1183" s="118" t="s">
        <v>327</v>
      </c>
      <c r="C1183" s="118" t="s">
        <v>314</v>
      </c>
      <c r="D1183" s="118" t="s">
        <v>390</v>
      </c>
      <c r="E1183" s="118" t="s">
        <v>388</v>
      </c>
      <c r="F1183" s="119">
        <v>48</v>
      </c>
      <c r="G1183" s="120">
        <v>6</v>
      </c>
      <c r="H1183" s="121">
        <f t="shared" si="37"/>
        <v>432</v>
      </c>
      <c r="I1183" s="122">
        <f t="shared" si="36"/>
        <v>21.6</v>
      </c>
    </row>
    <row r="1184" spans="1:9" x14ac:dyDescent="0.35">
      <c r="A1184" s="117">
        <v>45836</v>
      </c>
      <c r="B1184" s="118" t="s">
        <v>327</v>
      </c>
      <c r="C1184" s="118" t="s">
        <v>332</v>
      </c>
      <c r="D1184" s="118" t="s">
        <v>333</v>
      </c>
      <c r="E1184" s="118" t="s">
        <v>388</v>
      </c>
      <c r="F1184" s="119">
        <v>50</v>
      </c>
      <c r="G1184" s="120">
        <v>6</v>
      </c>
      <c r="H1184" s="121">
        <f t="shared" si="37"/>
        <v>500</v>
      </c>
      <c r="I1184" s="122">
        <f t="shared" si="36"/>
        <v>25</v>
      </c>
    </row>
    <row r="1185" spans="1:9" x14ac:dyDescent="0.35">
      <c r="A1185" s="117">
        <v>45836</v>
      </c>
      <c r="B1185" s="118" t="s">
        <v>318</v>
      </c>
      <c r="C1185" s="118" t="s">
        <v>393</v>
      </c>
      <c r="D1185" s="118" t="s">
        <v>315</v>
      </c>
      <c r="E1185" s="118" t="s">
        <v>340</v>
      </c>
      <c r="F1185" s="119">
        <v>43</v>
      </c>
      <c r="G1185" s="120">
        <v>4</v>
      </c>
      <c r="H1185" s="121">
        <f t="shared" si="37"/>
        <v>258</v>
      </c>
      <c r="I1185" s="122">
        <f t="shared" si="36"/>
        <v>12.9</v>
      </c>
    </row>
    <row r="1186" spans="1:9" x14ac:dyDescent="0.35">
      <c r="A1186" s="117">
        <v>45836</v>
      </c>
      <c r="B1186" s="118" t="s">
        <v>318</v>
      </c>
      <c r="C1186" s="118" t="s">
        <v>319</v>
      </c>
      <c r="D1186" s="118" t="s">
        <v>423</v>
      </c>
      <c r="E1186" s="118" t="s">
        <v>346</v>
      </c>
      <c r="F1186" s="119">
        <v>56</v>
      </c>
      <c r="G1186" s="120">
        <v>4</v>
      </c>
      <c r="H1186" s="121">
        <f t="shared" si="37"/>
        <v>280</v>
      </c>
      <c r="I1186" s="122">
        <f t="shared" si="36"/>
        <v>16.8</v>
      </c>
    </row>
    <row r="1187" spans="1:9" x14ac:dyDescent="0.35">
      <c r="A1187" s="117">
        <v>45836</v>
      </c>
      <c r="B1187" s="118" t="s">
        <v>322</v>
      </c>
      <c r="C1187" s="118" t="s">
        <v>319</v>
      </c>
      <c r="D1187" s="118" t="s">
        <v>333</v>
      </c>
      <c r="E1187" s="118" t="s">
        <v>346</v>
      </c>
      <c r="F1187" s="119">
        <v>23</v>
      </c>
      <c r="G1187" s="120">
        <v>17</v>
      </c>
      <c r="H1187" s="121">
        <f t="shared" si="37"/>
        <v>414</v>
      </c>
      <c r="I1187" s="122">
        <f t="shared" si="36"/>
        <v>20.700000000000003</v>
      </c>
    </row>
    <row r="1188" spans="1:9" x14ac:dyDescent="0.35">
      <c r="A1188" s="117">
        <v>45836</v>
      </c>
      <c r="B1188" s="118" t="s">
        <v>318</v>
      </c>
      <c r="C1188" s="118" t="s">
        <v>319</v>
      </c>
      <c r="D1188" s="118" t="s">
        <v>315</v>
      </c>
      <c r="E1188" s="118" t="s">
        <v>335</v>
      </c>
      <c r="F1188" s="119">
        <v>14</v>
      </c>
      <c r="G1188" s="120">
        <v>4</v>
      </c>
      <c r="H1188" s="121">
        <f t="shared" si="37"/>
        <v>70</v>
      </c>
      <c r="I1188" s="122">
        <f t="shared" si="36"/>
        <v>3.5</v>
      </c>
    </row>
    <row r="1189" spans="1:9" x14ac:dyDescent="0.35">
      <c r="A1189" s="117">
        <v>45837</v>
      </c>
      <c r="B1189" s="118" t="s">
        <v>322</v>
      </c>
      <c r="C1189" s="118" t="s">
        <v>314</v>
      </c>
      <c r="D1189" s="118" t="s">
        <v>320</v>
      </c>
      <c r="E1189" s="118" t="s">
        <v>400</v>
      </c>
      <c r="F1189" s="119">
        <v>61</v>
      </c>
      <c r="G1189" s="120">
        <v>17</v>
      </c>
      <c r="H1189" s="121">
        <f t="shared" si="37"/>
        <v>1220</v>
      </c>
      <c r="I1189" s="122">
        <f t="shared" si="36"/>
        <v>73.2</v>
      </c>
    </row>
    <row r="1190" spans="1:9" x14ac:dyDescent="0.35">
      <c r="A1190" s="117">
        <v>45837</v>
      </c>
      <c r="B1190" s="118" t="s">
        <v>422</v>
      </c>
      <c r="C1190" s="118" t="s">
        <v>332</v>
      </c>
      <c r="D1190" s="118" t="s">
        <v>324</v>
      </c>
      <c r="E1190" s="118" t="s">
        <v>346</v>
      </c>
      <c r="F1190" s="119">
        <v>38</v>
      </c>
      <c r="G1190" s="120">
        <v>24</v>
      </c>
      <c r="H1190" s="121">
        <f t="shared" si="37"/>
        <v>1064</v>
      </c>
      <c r="I1190" s="122">
        <f t="shared" si="36"/>
        <v>53.2</v>
      </c>
    </row>
    <row r="1191" spans="1:9" x14ac:dyDescent="0.35">
      <c r="A1191" s="117">
        <v>45838</v>
      </c>
      <c r="B1191" s="118" t="s">
        <v>422</v>
      </c>
      <c r="C1191" s="118" t="s">
        <v>314</v>
      </c>
      <c r="D1191" s="118" t="s">
        <v>423</v>
      </c>
      <c r="E1191" s="118" t="s">
        <v>348</v>
      </c>
      <c r="F1191" s="119">
        <v>10</v>
      </c>
      <c r="G1191" s="120">
        <v>24</v>
      </c>
      <c r="H1191" s="121">
        <f t="shared" si="37"/>
        <v>270</v>
      </c>
      <c r="I1191" s="122">
        <f t="shared" si="36"/>
        <v>16.2</v>
      </c>
    </row>
    <row r="1192" spans="1:9" x14ac:dyDescent="0.35">
      <c r="A1192" s="117">
        <v>45838</v>
      </c>
      <c r="B1192" s="118" t="s">
        <v>322</v>
      </c>
      <c r="C1192" s="118" t="s">
        <v>319</v>
      </c>
      <c r="D1192" s="118" t="s">
        <v>423</v>
      </c>
      <c r="E1192" s="118" t="s">
        <v>340</v>
      </c>
      <c r="F1192" s="119">
        <v>52</v>
      </c>
      <c r="G1192" s="120">
        <v>17</v>
      </c>
      <c r="H1192" s="121">
        <f t="shared" si="37"/>
        <v>936</v>
      </c>
      <c r="I1192" s="122">
        <f t="shared" si="36"/>
        <v>56.16</v>
      </c>
    </row>
    <row r="1193" spans="1:9" x14ac:dyDescent="0.35">
      <c r="A1193" s="117">
        <v>45838</v>
      </c>
      <c r="B1193" s="118" t="s">
        <v>318</v>
      </c>
      <c r="C1193" s="118" t="s">
        <v>319</v>
      </c>
      <c r="D1193" s="118" t="s">
        <v>320</v>
      </c>
      <c r="E1193" s="118" t="s">
        <v>345</v>
      </c>
      <c r="F1193" s="119">
        <v>8</v>
      </c>
      <c r="G1193" s="120">
        <v>4</v>
      </c>
      <c r="H1193" s="121">
        <f t="shared" si="37"/>
        <v>40</v>
      </c>
      <c r="I1193" s="122">
        <f t="shared" si="36"/>
        <v>2.4</v>
      </c>
    </row>
    <row r="1194" spans="1:9" x14ac:dyDescent="0.35">
      <c r="A1194" s="117">
        <v>45838</v>
      </c>
      <c r="B1194" s="118" t="s">
        <v>313</v>
      </c>
      <c r="C1194" s="118" t="s">
        <v>393</v>
      </c>
      <c r="D1194" s="118" t="s">
        <v>320</v>
      </c>
      <c r="E1194" s="118" t="s">
        <v>346</v>
      </c>
      <c r="F1194" s="119">
        <v>6</v>
      </c>
      <c r="G1194" s="120">
        <v>13</v>
      </c>
      <c r="H1194" s="121">
        <f t="shared" si="37"/>
        <v>90</v>
      </c>
      <c r="I1194" s="122">
        <f t="shared" si="36"/>
        <v>5.3999999999999995</v>
      </c>
    </row>
    <row r="1195" spans="1:9" x14ac:dyDescent="0.35">
      <c r="A1195" s="117">
        <v>45838</v>
      </c>
      <c r="B1195" s="118" t="s">
        <v>327</v>
      </c>
      <c r="C1195" s="118" t="s">
        <v>319</v>
      </c>
      <c r="D1195" s="118" t="s">
        <v>333</v>
      </c>
      <c r="E1195" s="118" t="s">
        <v>344</v>
      </c>
      <c r="F1195" s="119">
        <v>11</v>
      </c>
      <c r="G1195" s="120">
        <v>6</v>
      </c>
      <c r="H1195" s="121">
        <f t="shared" si="37"/>
        <v>77</v>
      </c>
      <c r="I1195" s="122">
        <f t="shared" si="36"/>
        <v>3.85</v>
      </c>
    </row>
    <row r="1196" spans="1:9" x14ac:dyDescent="0.35">
      <c r="A1196" s="117">
        <v>45838</v>
      </c>
      <c r="B1196" s="118" t="s">
        <v>327</v>
      </c>
      <c r="C1196" s="118" t="s">
        <v>314</v>
      </c>
      <c r="D1196" s="118" t="s">
        <v>333</v>
      </c>
      <c r="E1196" s="118" t="s">
        <v>405</v>
      </c>
      <c r="F1196" s="119">
        <v>26</v>
      </c>
      <c r="G1196" s="120">
        <v>6</v>
      </c>
      <c r="H1196" s="121">
        <f t="shared" si="37"/>
        <v>234</v>
      </c>
      <c r="I1196" s="122">
        <f t="shared" si="36"/>
        <v>11.700000000000001</v>
      </c>
    </row>
    <row r="1197" spans="1:9" x14ac:dyDescent="0.35">
      <c r="A1197" s="117">
        <v>45839</v>
      </c>
      <c r="B1197" s="118" t="s">
        <v>422</v>
      </c>
      <c r="C1197" s="118" t="s">
        <v>332</v>
      </c>
      <c r="D1197" s="118" t="s">
        <v>320</v>
      </c>
      <c r="E1197" s="118" t="s">
        <v>395</v>
      </c>
      <c r="F1197" s="119">
        <v>56</v>
      </c>
      <c r="G1197" s="120">
        <v>24</v>
      </c>
      <c r="H1197" s="121">
        <f t="shared" si="37"/>
        <v>1568</v>
      </c>
      <c r="I1197" s="122">
        <f t="shared" si="36"/>
        <v>94.08</v>
      </c>
    </row>
    <row r="1198" spans="1:9" x14ac:dyDescent="0.35">
      <c r="A1198" s="117">
        <v>45839</v>
      </c>
      <c r="B1198" s="118" t="s">
        <v>422</v>
      </c>
      <c r="C1198" s="118" t="s">
        <v>319</v>
      </c>
      <c r="D1198" s="118" t="s">
        <v>315</v>
      </c>
      <c r="E1198" s="118" t="s">
        <v>395</v>
      </c>
      <c r="F1198" s="119">
        <v>9</v>
      </c>
      <c r="G1198" s="120">
        <v>24</v>
      </c>
      <c r="H1198" s="121">
        <f t="shared" si="37"/>
        <v>225</v>
      </c>
      <c r="I1198" s="122">
        <f t="shared" si="36"/>
        <v>11.25</v>
      </c>
    </row>
    <row r="1199" spans="1:9" x14ac:dyDescent="0.35">
      <c r="A1199" s="117">
        <v>45839</v>
      </c>
      <c r="B1199" s="118" t="s">
        <v>318</v>
      </c>
      <c r="C1199" s="118" t="s">
        <v>332</v>
      </c>
      <c r="D1199" s="118" t="s">
        <v>324</v>
      </c>
      <c r="E1199" s="118" t="s">
        <v>316</v>
      </c>
      <c r="F1199" s="119">
        <v>55</v>
      </c>
      <c r="G1199" s="120">
        <v>4</v>
      </c>
      <c r="H1199" s="121">
        <f t="shared" si="37"/>
        <v>440</v>
      </c>
      <c r="I1199" s="122">
        <f t="shared" si="36"/>
        <v>22</v>
      </c>
    </row>
    <row r="1200" spans="1:9" x14ac:dyDescent="0.35">
      <c r="A1200" s="117">
        <v>45840</v>
      </c>
      <c r="B1200" s="118" t="s">
        <v>322</v>
      </c>
      <c r="C1200" s="118" t="s">
        <v>319</v>
      </c>
      <c r="D1200" s="118" t="s">
        <v>315</v>
      </c>
      <c r="E1200" s="118" t="s">
        <v>341</v>
      </c>
      <c r="F1200" s="119">
        <v>12</v>
      </c>
      <c r="G1200" s="120">
        <v>17</v>
      </c>
      <c r="H1200" s="121">
        <f t="shared" si="37"/>
        <v>216</v>
      </c>
      <c r="I1200" s="122">
        <f t="shared" si="36"/>
        <v>10.8</v>
      </c>
    </row>
    <row r="1201" spans="1:9" x14ac:dyDescent="0.35">
      <c r="A1201" s="117">
        <v>45840</v>
      </c>
      <c r="B1201" s="118" t="s">
        <v>318</v>
      </c>
      <c r="C1201" s="118" t="s">
        <v>314</v>
      </c>
      <c r="D1201" s="118" t="s">
        <v>390</v>
      </c>
      <c r="E1201" s="118" t="s">
        <v>339</v>
      </c>
      <c r="F1201" s="119">
        <v>46</v>
      </c>
      <c r="G1201" s="120">
        <v>4</v>
      </c>
      <c r="H1201" s="121">
        <f t="shared" si="37"/>
        <v>322</v>
      </c>
      <c r="I1201" s="122">
        <f t="shared" si="36"/>
        <v>16.100000000000001</v>
      </c>
    </row>
    <row r="1202" spans="1:9" x14ac:dyDescent="0.35">
      <c r="A1202" s="117">
        <v>45840</v>
      </c>
      <c r="B1202" s="118" t="s">
        <v>322</v>
      </c>
      <c r="C1202" s="118" t="s">
        <v>393</v>
      </c>
      <c r="D1202" s="118" t="s">
        <v>320</v>
      </c>
      <c r="E1202" s="118" t="s">
        <v>344</v>
      </c>
      <c r="F1202" s="119">
        <v>28</v>
      </c>
      <c r="G1202" s="120">
        <v>17</v>
      </c>
      <c r="H1202" s="121">
        <f t="shared" si="37"/>
        <v>532</v>
      </c>
      <c r="I1202" s="122">
        <f t="shared" si="36"/>
        <v>31.919999999999998</v>
      </c>
    </row>
    <row r="1203" spans="1:9" x14ac:dyDescent="0.35">
      <c r="A1203" s="117">
        <v>45841</v>
      </c>
      <c r="B1203" s="118" t="s">
        <v>422</v>
      </c>
      <c r="C1203" s="118" t="s">
        <v>393</v>
      </c>
      <c r="D1203" s="118" t="s">
        <v>324</v>
      </c>
      <c r="E1203" s="118" t="s">
        <v>455</v>
      </c>
      <c r="F1203" s="119">
        <v>9</v>
      </c>
      <c r="G1203" s="120">
        <v>24</v>
      </c>
      <c r="H1203" s="121">
        <f t="shared" si="37"/>
        <v>234</v>
      </c>
      <c r="I1203" s="122">
        <f t="shared" si="36"/>
        <v>11.700000000000001</v>
      </c>
    </row>
    <row r="1204" spans="1:9" x14ac:dyDescent="0.35">
      <c r="A1204" s="117">
        <v>45841</v>
      </c>
      <c r="B1204" s="118" t="s">
        <v>422</v>
      </c>
      <c r="C1204" s="118" t="s">
        <v>393</v>
      </c>
      <c r="D1204" s="118" t="s">
        <v>324</v>
      </c>
      <c r="E1204" s="118" t="s">
        <v>345</v>
      </c>
      <c r="F1204" s="119">
        <v>40</v>
      </c>
      <c r="G1204" s="120">
        <v>24</v>
      </c>
      <c r="H1204" s="121">
        <f t="shared" si="37"/>
        <v>1040</v>
      </c>
      <c r="I1204" s="122">
        <f t="shared" si="36"/>
        <v>52</v>
      </c>
    </row>
    <row r="1205" spans="1:9" x14ac:dyDescent="0.35">
      <c r="A1205" s="117">
        <v>45842</v>
      </c>
      <c r="B1205" s="118" t="s">
        <v>322</v>
      </c>
      <c r="C1205" s="118" t="s">
        <v>332</v>
      </c>
      <c r="D1205" s="118" t="s">
        <v>324</v>
      </c>
      <c r="E1205" s="118" t="s">
        <v>342</v>
      </c>
      <c r="F1205" s="119">
        <v>52</v>
      </c>
      <c r="G1205" s="120">
        <v>17</v>
      </c>
      <c r="H1205" s="121">
        <f t="shared" si="37"/>
        <v>1092</v>
      </c>
      <c r="I1205" s="122">
        <f t="shared" si="36"/>
        <v>54.6</v>
      </c>
    </row>
    <row r="1206" spans="1:9" x14ac:dyDescent="0.35">
      <c r="A1206" s="117">
        <v>45842</v>
      </c>
      <c r="B1206" s="118" t="s">
        <v>313</v>
      </c>
      <c r="C1206" s="118" t="s">
        <v>332</v>
      </c>
      <c r="D1206" s="118" t="s">
        <v>390</v>
      </c>
      <c r="E1206" s="118" t="s">
        <v>340</v>
      </c>
      <c r="F1206" s="119">
        <v>20</v>
      </c>
      <c r="G1206" s="120">
        <v>13</v>
      </c>
      <c r="H1206" s="121">
        <f t="shared" si="37"/>
        <v>340</v>
      </c>
      <c r="I1206" s="122">
        <f t="shared" si="36"/>
        <v>17</v>
      </c>
    </row>
    <row r="1207" spans="1:9" x14ac:dyDescent="0.35">
      <c r="A1207" s="117">
        <v>45842</v>
      </c>
      <c r="B1207" s="118" t="s">
        <v>422</v>
      </c>
      <c r="C1207" s="118" t="s">
        <v>393</v>
      </c>
      <c r="D1207" s="118" t="s">
        <v>333</v>
      </c>
      <c r="E1207" s="118" t="s">
        <v>331</v>
      </c>
      <c r="F1207" s="119">
        <v>58</v>
      </c>
      <c r="G1207" s="120">
        <v>24</v>
      </c>
      <c r="H1207" s="121">
        <f t="shared" si="37"/>
        <v>1508</v>
      </c>
      <c r="I1207" s="122">
        <f t="shared" si="36"/>
        <v>75.400000000000006</v>
      </c>
    </row>
    <row r="1208" spans="1:9" x14ac:dyDescent="0.35">
      <c r="A1208" s="117">
        <v>45842</v>
      </c>
      <c r="B1208" s="118" t="s">
        <v>313</v>
      </c>
      <c r="C1208" s="118" t="s">
        <v>314</v>
      </c>
      <c r="D1208" s="118" t="s">
        <v>324</v>
      </c>
      <c r="E1208" s="118" t="s">
        <v>394</v>
      </c>
      <c r="F1208" s="119">
        <v>39</v>
      </c>
      <c r="G1208" s="120">
        <v>13</v>
      </c>
      <c r="H1208" s="121">
        <f t="shared" si="37"/>
        <v>624</v>
      </c>
      <c r="I1208" s="122">
        <f t="shared" si="36"/>
        <v>31.200000000000003</v>
      </c>
    </row>
    <row r="1209" spans="1:9" x14ac:dyDescent="0.35">
      <c r="A1209" s="117">
        <v>45843</v>
      </c>
      <c r="B1209" s="118" t="s">
        <v>327</v>
      </c>
      <c r="C1209" s="118" t="s">
        <v>314</v>
      </c>
      <c r="D1209" s="118" t="s">
        <v>324</v>
      </c>
      <c r="E1209" s="118" t="s">
        <v>341</v>
      </c>
      <c r="F1209" s="119">
        <v>50</v>
      </c>
      <c r="G1209" s="120">
        <v>6</v>
      </c>
      <c r="H1209" s="121">
        <f t="shared" si="37"/>
        <v>450</v>
      </c>
      <c r="I1209" s="122">
        <f t="shared" si="36"/>
        <v>22.5</v>
      </c>
    </row>
    <row r="1210" spans="1:9" x14ac:dyDescent="0.35">
      <c r="A1210" s="117">
        <v>45843</v>
      </c>
      <c r="B1210" s="118" t="s">
        <v>313</v>
      </c>
      <c r="C1210" s="118" t="s">
        <v>393</v>
      </c>
      <c r="D1210" s="118" t="s">
        <v>423</v>
      </c>
      <c r="E1210" s="118" t="s">
        <v>337</v>
      </c>
      <c r="F1210" s="119">
        <v>44</v>
      </c>
      <c r="G1210" s="120">
        <v>13</v>
      </c>
      <c r="H1210" s="121">
        <f t="shared" si="37"/>
        <v>660</v>
      </c>
      <c r="I1210" s="122">
        <f t="shared" si="36"/>
        <v>39.6</v>
      </c>
    </row>
    <row r="1211" spans="1:9" x14ac:dyDescent="0.35">
      <c r="A1211" s="117">
        <v>45843</v>
      </c>
      <c r="B1211" s="118" t="s">
        <v>327</v>
      </c>
      <c r="C1211" s="118" t="s">
        <v>314</v>
      </c>
      <c r="D1211" s="118" t="s">
        <v>324</v>
      </c>
      <c r="E1211" s="118" t="s">
        <v>329</v>
      </c>
      <c r="F1211" s="119">
        <v>14</v>
      </c>
      <c r="G1211" s="120">
        <v>6</v>
      </c>
      <c r="H1211" s="121">
        <f t="shared" si="37"/>
        <v>126</v>
      </c>
      <c r="I1211" s="122">
        <f t="shared" si="36"/>
        <v>6.3000000000000007</v>
      </c>
    </row>
    <row r="1212" spans="1:9" x14ac:dyDescent="0.35">
      <c r="A1212" s="117">
        <v>45844</v>
      </c>
      <c r="B1212" s="118" t="s">
        <v>318</v>
      </c>
      <c r="C1212" s="118" t="s">
        <v>319</v>
      </c>
      <c r="D1212" s="118" t="s">
        <v>423</v>
      </c>
      <c r="E1212" s="118" t="s">
        <v>455</v>
      </c>
      <c r="F1212" s="119">
        <v>65</v>
      </c>
      <c r="G1212" s="120">
        <v>4</v>
      </c>
      <c r="H1212" s="121">
        <f t="shared" si="37"/>
        <v>325</v>
      </c>
      <c r="I1212" s="122">
        <f t="shared" si="36"/>
        <v>19.5</v>
      </c>
    </row>
    <row r="1213" spans="1:9" x14ac:dyDescent="0.35">
      <c r="A1213" s="117">
        <v>45844</v>
      </c>
      <c r="B1213" s="118" t="s">
        <v>318</v>
      </c>
      <c r="C1213" s="118" t="s">
        <v>314</v>
      </c>
      <c r="D1213" s="118" t="s">
        <v>390</v>
      </c>
      <c r="E1213" s="118" t="s">
        <v>340</v>
      </c>
      <c r="F1213" s="119">
        <v>27</v>
      </c>
      <c r="G1213" s="120">
        <v>4</v>
      </c>
      <c r="H1213" s="121">
        <f t="shared" si="37"/>
        <v>189</v>
      </c>
      <c r="I1213" s="122">
        <f t="shared" si="36"/>
        <v>9.4500000000000011</v>
      </c>
    </row>
    <row r="1214" spans="1:9" x14ac:dyDescent="0.35">
      <c r="A1214" s="117">
        <v>45844</v>
      </c>
      <c r="B1214" s="118" t="s">
        <v>422</v>
      </c>
      <c r="C1214" s="118" t="s">
        <v>314</v>
      </c>
      <c r="D1214" s="118" t="s">
        <v>333</v>
      </c>
      <c r="E1214" s="118" t="s">
        <v>340</v>
      </c>
      <c r="F1214" s="119">
        <v>31</v>
      </c>
      <c r="G1214" s="120">
        <v>24</v>
      </c>
      <c r="H1214" s="121">
        <f t="shared" si="37"/>
        <v>837</v>
      </c>
      <c r="I1214" s="122">
        <f t="shared" si="36"/>
        <v>41.85</v>
      </c>
    </row>
    <row r="1215" spans="1:9" x14ac:dyDescent="0.35">
      <c r="A1215" s="117">
        <v>45844</v>
      </c>
      <c r="B1215" s="118" t="s">
        <v>318</v>
      </c>
      <c r="C1215" s="118" t="s">
        <v>393</v>
      </c>
      <c r="D1215" s="118" t="s">
        <v>390</v>
      </c>
      <c r="E1215" s="118" t="s">
        <v>346</v>
      </c>
      <c r="F1215" s="119">
        <v>21</v>
      </c>
      <c r="G1215" s="120">
        <v>4</v>
      </c>
      <c r="H1215" s="121">
        <f t="shared" si="37"/>
        <v>126</v>
      </c>
      <c r="I1215" s="122">
        <f t="shared" si="36"/>
        <v>6.3000000000000007</v>
      </c>
    </row>
    <row r="1216" spans="1:9" x14ac:dyDescent="0.35">
      <c r="A1216" s="117">
        <v>45844</v>
      </c>
      <c r="B1216" s="118" t="s">
        <v>322</v>
      </c>
      <c r="C1216" s="118" t="s">
        <v>319</v>
      </c>
      <c r="D1216" s="118" t="s">
        <v>324</v>
      </c>
      <c r="E1216" s="118" t="s">
        <v>331</v>
      </c>
      <c r="F1216" s="119">
        <v>38</v>
      </c>
      <c r="G1216" s="120">
        <v>17</v>
      </c>
      <c r="H1216" s="121">
        <f t="shared" si="37"/>
        <v>684</v>
      </c>
      <c r="I1216" s="122">
        <f t="shared" si="36"/>
        <v>34.200000000000003</v>
      </c>
    </row>
    <row r="1217" spans="1:9" x14ac:dyDescent="0.35">
      <c r="A1217" s="117">
        <v>45845</v>
      </c>
      <c r="B1217" s="118" t="s">
        <v>313</v>
      </c>
      <c r="C1217" s="118" t="s">
        <v>332</v>
      </c>
      <c r="D1217" s="118" t="s">
        <v>320</v>
      </c>
      <c r="E1217" s="118" t="s">
        <v>341</v>
      </c>
      <c r="F1217" s="119">
        <v>46</v>
      </c>
      <c r="G1217" s="120">
        <v>13</v>
      </c>
      <c r="H1217" s="121">
        <f t="shared" si="37"/>
        <v>782</v>
      </c>
      <c r="I1217" s="122">
        <f t="shared" si="36"/>
        <v>46.92</v>
      </c>
    </row>
    <row r="1218" spans="1:9" x14ac:dyDescent="0.35">
      <c r="A1218" s="117">
        <v>45845</v>
      </c>
      <c r="B1218" s="118" t="s">
        <v>318</v>
      </c>
      <c r="C1218" s="118" t="s">
        <v>314</v>
      </c>
      <c r="D1218" s="118" t="s">
        <v>315</v>
      </c>
      <c r="E1218" s="118" t="s">
        <v>340</v>
      </c>
      <c r="F1218" s="119">
        <v>42</v>
      </c>
      <c r="G1218" s="120">
        <v>4</v>
      </c>
      <c r="H1218" s="121">
        <f t="shared" si="37"/>
        <v>294</v>
      </c>
      <c r="I1218" s="122">
        <f t="shared" ref="I1218:I1236" si="38">H1218*VLOOKUP(D1218,$O$4:$P$10,2,TRUE)</f>
        <v>14.700000000000001</v>
      </c>
    </row>
    <row r="1219" spans="1:9" x14ac:dyDescent="0.35">
      <c r="A1219" s="117">
        <v>45845</v>
      </c>
      <c r="B1219" s="118" t="s">
        <v>322</v>
      </c>
      <c r="C1219" s="118" t="s">
        <v>393</v>
      </c>
      <c r="D1219" s="118" t="s">
        <v>324</v>
      </c>
      <c r="E1219" s="118" t="s">
        <v>395</v>
      </c>
      <c r="F1219" s="119">
        <v>30</v>
      </c>
      <c r="G1219" s="120">
        <v>17</v>
      </c>
      <c r="H1219" s="121">
        <f t="shared" ref="H1219:H1236" si="39">(F1219*G1219)+VLOOKUP(C1219,$K$11:$L$14,2,FALSE)*F1219</f>
        <v>570</v>
      </c>
      <c r="I1219" s="122">
        <f t="shared" si="38"/>
        <v>28.5</v>
      </c>
    </row>
    <row r="1220" spans="1:9" x14ac:dyDescent="0.35">
      <c r="A1220" s="117">
        <v>45845</v>
      </c>
      <c r="B1220" s="118" t="s">
        <v>313</v>
      </c>
      <c r="C1220" s="118" t="s">
        <v>319</v>
      </c>
      <c r="D1220" s="118" t="s">
        <v>333</v>
      </c>
      <c r="E1220" s="118" t="s">
        <v>345</v>
      </c>
      <c r="F1220" s="119">
        <v>18</v>
      </c>
      <c r="G1220" s="120">
        <v>13</v>
      </c>
      <c r="H1220" s="121">
        <f t="shared" si="39"/>
        <v>252</v>
      </c>
      <c r="I1220" s="122">
        <f t="shared" si="38"/>
        <v>12.600000000000001</v>
      </c>
    </row>
    <row r="1221" spans="1:9" x14ac:dyDescent="0.35">
      <c r="A1221" s="117">
        <v>45846</v>
      </c>
      <c r="B1221" s="118" t="s">
        <v>327</v>
      </c>
      <c r="C1221" s="118" t="s">
        <v>314</v>
      </c>
      <c r="D1221" s="118" t="s">
        <v>320</v>
      </c>
      <c r="E1221" s="118" t="s">
        <v>341</v>
      </c>
      <c r="F1221" s="119">
        <v>46</v>
      </c>
      <c r="G1221" s="120">
        <v>6</v>
      </c>
      <c r="H1221" s="121">
        <f t="shared" si="39"/>
        <v>414</v>
      </c>
      <c r="I1221" s="122">
        <f t="shared" si="38"/>
        <v>24.84</v>
      </c>
    </row>
    <row r="1222" spans="1:9" x14ac:dyDescent="0.35">
      <c r="A1222" s="117">
        <v>45846</v>
      </c>
      <c r="B1222" s="118" t="s">
        <v>313</v>
      </c>
      <c r="C1222" s="118" t="s">
        <v>314</v>
      </c>
      <c r="D1222" s="118" t="s">
        <v>315</v>
      </c>
      <c r="E1222" s="118" t="s">
        <v>341</v>
      </c>
      <c r="F1222" s="119">
        <v>57</v>
      </c>
      <c r="G1222" s="120">
        <v>13</v>
      </c>
      <c r="H1222" s="121">
        <f t="shared" si="39"/>
        <v>912</v>
      </c>
      <c r="I1222" s="122">
        <f t="shared" si="38"/>
        <v>45.6</v>
      </c>
    </row>
    <row r="1223" spans="1:9" x14ac:dyDescent="0.35">
      <c r="A1223" s="117">
        <v>45846</v>
      </c>
      <c r="B1223" s="118" t="s">
        <v>313</v>
      </c>
      <c r="C1223" s="118" t="s">
        <v>319</v>
      </c>
      <c r="D1223" s="118" t="s">
        <v>390</v>
      </c>
      <c r="E1223" s="118" t="s">
        <v>339</v>
      </c>
      <c r="F1223" s="119">
        <v>26</v>
      </c>
      <c r="G1223" s="120">
        <v>13</v>
      </c>
      <c r="H1223" s="121">
        <f t="shared" si="39"/>
        <v>364</v>
      </c>
      <c r="I1223" s="122">
        <f t="shared" si="38"/>
        <v>18.2</v>
      </c>
    </row>
    <row r="1224" spans="1:9" x14ac:dyDescent="0.35">
      <c r="A1224" s="117">
        <v>45846</v>
      </c>
      <c r="B1224" s="118" t="s">
        <v>322</v>
      </c>
      <c r="C1224" s="118" t="s">
        <v>314</v>
      </c>
      <c r="D1224" s="118" t="s">
        <v>324</v>
      </c>
      <c r="E1224" s="118" t="s">
        <v>346</v>
      </c>
      <c r="F1224" s="119">
        <v>9</v>
      </c>
      <c r="G1224" s="120">
        <v>17</v>
      </c>
      <c r="H1224" s="121">
        <f t="shared" si="39"/>
        <v>180</v>
      </c>
      <c r="I1224" s="122">
        <f t="shared" si="38"/>
        <v>9</v>
      </c>
    </row>
    <row r="1225" spans="1:9" x14ac:dyDescent="0.35">
      <c r="A1225" s="117">
        <v>45846</v>
      </c>
      <c r="B1225" s="118" t="s">
        <v>318</v>
      </c>
      <c r="C1225" s="118" t="s">
        <v>393</v>
      </c>
      <c r="D1225" s="118" t="s">
        <v>324</v>
      </c>
      <c r="E1225" s="118" t="s">
        <v>346</v>
      </c>
      <c r="F1225" s="119">
        <v>30</v>
      </c>
      <c r="G1225" s="120">
        <v>4</v>
      </c>
      <c r="H1225" s="121">
        <f t="shared" si="39"/>
        <v>180</v>
      </c>
      <c r="I1225" s="122">
        <f t="shared" si="38"/>
        <v>9</v>
      </c>
    </row>
    <row r="1226" spans="1:9" x14ac:dyDescent="0.35">
      <c r="A1226" s="117">
        <v>45846</v>
      </c>
      <c r="B1226" s="118" t="s">
        <v>313</v>
      </c>
      <c r="C1226" s="118" t="s">
        <v>314</v>
      </c>
      <c r="D1226" s="118" t="s">
        <v>315</v>
      </c>
      <c r="E1226" s="118" t="s">
        <v>416</v>
      </c>
      <c r="F1226" s="119">
        <v>7</v>
      </c>
      <c r="G1226" s="120">
        <v>13</v>
      </c>
      <c r="H1226" s="121">
        <f t="shared" si="39"/>
        <v>112</v>
      </c>
      <c r="I1226" s="122">
        <f t="shared" si="38"/>
        <v>5.6000000000000005</v>
      </c>
    </row>
    <row r="1227" spans="1:9" x14ac:dyDescent="0.35">
      <c r="A1227" s="117">
        <v>45846</v>
      </c>
      <c r="B1227" s="129" t="s">
        <v>327</v>
      </c>
      <c r="C1227" s="129" t="s">
        <v>314</v>
      </c>
      <c r="D1227" s="129" t="s">
        <v>320</v>
      </c>
      <c r="E1227" s="129" t="s">
        <v>343</v>
      </c>
      <c r="F1227" s="130">
        <v>26</v>
      </c>
      <c r="G1227" s="131">
        <v>6</v>
      </c>
      <c r="H1227" s="121">
        <f t="shared" si="39"/>
        <v>234</v>
      </c>
      <c r="I1227" s="122">
        <f t="shared" si="38"/>
        <v>14.04</v>
      </c>
    </row>
    <row r="1228" spans="1:9" x14ac:dyDescent="0.35">
      <c r="H1228" s="121" t="e">
        <f t="shared" si="39"/>
        <v>#N/A</v>
      </c>
      <c r="I1228" s="122" t="e">
        <f t="shared" si="38"/>
        <v>#N/A</v>
      </c>
    </row>
    <row r="1229" spans="1:9" x14ac:dyDescent="0.35">
      <c r="H1229" s="121" t="e">
        <f t="shared" si="39"/>
        <v>#N/A</v>
      </c>
      <c r="I1229" s="122" t="e">
        <f t="shared" si="38"/>
        <v>#N/A</v>
      </c>
    </row>
    <row r="1230" spans="1:9" x14ac:dyDescent="0.35">
      <c r="H1230" s="121" t="e">
        <f t="shared" si="39"/>
        <v>#N/A</v>
      </c>
      <c r="I1230" s="122" t="e">
        <f t="shared" si="38"/>
        <v>#N/A</v>
      </c>
    </row>
    <row r="1231" spans="1:9" x14ac:dyDescent="0.35">
      <c r="H1231" s="121" t="e">
        <f t="shared" si="39"/>
        <v>#N/A</v>
      </c>
      <c r="I1231" s="122" t="e">
        <f t="shared" si="38"/>
        <v>#N/A</v>
      </c>
    </row>
    <row r="1232" spans="1:9" x14ac:dyDescent="0.35">
      <c r="H1232" s="121" t="e">
        <f t="shared" si="39"/>
        <v>#N/A</v>
      </c>
      <c r="I1232" s="122" t="e">
        <f t="shared" si="38"/>
        <v>#N/A</v>
      </c>
    </row>
    <row r="1233" spans="2:9" x14ac:dyDescent="0.35">
      <c r="H1233" s="121" t="e">
        <f t="shared" si="39"/>
        <v>#N/A</v>
      </c>
      <c r="I1233" s="122" t="e">
        <f t="shared" si="38"/>
        <v>#N/A</v>
      </c>
    </row>
    <row r="1234" spans="2:9" x14ac:dyDescent="0.35">
      <c r="H1234" s="121" t="e">
        <f t="shared" si="39"/>
        <v>#N/A</v>
      </c>
      <c r="I1234" s="122" t="e">
        <f t="shared" si="38"/>
        <v>#N/A</v>
      </c>
    </row>
    <row r="1235" spans="2:9" x14ac:dyDescent="0.35">
      <c r="H1235" s="121" t="e">
        <f t="shared" si="39"/>
        <v>#N/A</v>
      </c>
      <c r="I1235" s="122" t="e">
        <f t="shared" si="38"/>
        <v>#N/A</v>
      </c>
    </row>
    <row r="1236" spans="2:9" x14ac:dyDescent="0.35">
      <c r="H1236" s="121" t="e">
        <f t="shared" si="39"/>
        <v>#N/A</v>
      </c>
      <c r="I1236" s="122" t="e">
        <f t="shared" si="38"/>
        <v>#N/A</v>
      </c>
    </row>
    <row r="1237" spans="2:9" x14ac:dyDescent="0.35">
      <c r="B1237" s="132"/>
      <c r="C1237" s="132"/>
      <c r="D1237" s="132"/>
      <c r="E1237" s="132"/>
      <c r="G1237" s="132"/>
      <c r="H1237" s="132"/>
    </row>
    <row r="1238" spans="2:9" x14ac:dyDescent="0.35">
      <c r="B1238" s="132"/>
      <c r="C1238" s="132"/>
      <c r="D1238" s="132"/>
      <c r="E1238" s="132"/>
      <c r="G1238" s="132"/>
      <c r="H1238" s="132"/>
    </row>
    <row r="1239" spans="2:9" x14ac:dyDescent="0.35">
      <c r="B1239" s="132"/>
      <c r="C1239" s="132"/>
      <c r="D1239" s="132"/>
      <c r="E1239" s="132"/>
      <c r="G1239" s="132"/>
      <c r="H1239" s="132"/>
    </row>
    <row r="1240" spans="2:9" x14ac:dyDescent="0.35">
      <c r="B1240" s="132"/>
      <c r="C1240" s="132"/>
      <c r="D1240" s="132"/>
      <c r="E1240" s="132"/>
      <c r="G1240" s="132"/>
      <c r="H1240" s="132"/>
    </row>
    <row r="1241" spans="2:9" x14ac:dyDescent="0.35">
      <c r="B1241" s="132"/>
      <c r="C1241" s="132"/>
      <c r="D1241" s="132"/>
      <c r="E1241" s="132"/>
      <c r="G1241" s="132"/>
      <c r="H1241" s="132"/>
    </row>
    <row r="1242" spans="2:9" x14ac:dyDescent="0.35">
      <c r="B1242" s="132"/>
      <c r="C1242" s="132"/>
      <c r="D1242" s="132"/>
      <c r="E1242" s="132"/>
      <c r="G1242" s="132"/>
      <c r="H1242" s="132"/>
    </row>
    <row r="1243" spans="2:9" x14ac:dyDescent="0.35">
      <c r="B1243" s="132"/>
      <c r="C1243" s="132"/>
      <c r="D1243" s="132"/>
      <c r="E1243" s="132"/>
      <c r="G1243" s="132"/>
      <c r="H1243" s="132"/>
    </row>
    <row r="1244" spans="2:9" x14ac:dyDescent="0.35">
      <c r="B1244" s="132"/>
      <c r="C1244" s="132"/>
      <c r="D1244" s="132"/>
      <c r="E1244" s="132"/>
      <c r="G1244" s="132"/>
      <c r="H1244" s="132"/>
    </row>
    <row r="1245" spans="2:9" x14ac:dyDescent="0.35">
      <c r="B1245" s="132"/>
      <c r="C1245" s="132"/>
      <c r="D1245" s="132"/>
      <c r="E1245" s="132"/>
      <c r="G1245" s="132"/>
      <c r="H1245" s="132"/>
    </row>
    <row r="1246" spans="2:9" x14ac:dyDescent="0.35">
      <c r="B1246" s="132"/>
      <c r="C1246" s="132"/>
      <c r="D1246" s="132"/>
      <c r="E1246" s="132"/>
      <c r="G1246" s="132"/>
      <c r="H1246" s="132"/>
    </row>
    <row r="1247" spans="2:9" x14ac:dyDescent="0.35">
      <c r="B1247" s="132"/>
      <c r="C1247" s="132"/>
      <c r="D1247" s="132"/>
      <c r="E1247" s="132"/>
      <c r="G1247" s="132"/>
      <c r="H1247" s="132"/>
    </row>
    <row r="1248" spans="2:9" x14ac:dyDescent="0.35">
      <c r="B1248" s="132"/>
      <c r="C1248" s="132"/>
      <c r="D1248" s="132"/>
      <c r="E1248" s="132"/>
      <c r="G1248" s="132"/>
      <c r="H1248" s="132"/>
    </row>
    <row r="1249" spans="2:8" x14ac:dyDescent="0.35">
      <c r="B1249" s="132"/>
      <c r="C1249" s="132"/>
      <c r="D1249" s="132"/>
      <c r="E1249" s="132"/>
      <c r="G1249" s="132"/>
      <c r="H1249" s="132"/>
    </row>
    <row r="1250" spans="2:8" x14ac:dyDescent="0.35">
      <c r="B1250" s="132"/>
      <c r="C1250" s="132"/>
      <c r="D1250" s="132"/>
      <c r="E1250" s="132"/>
      <c r="G1250" s="132"/>
      <c r="H1250" s="132"/>
    </row>
    <row r="1251" spans="2:8" x14ac:dyDescent="0.35">
      <c r="B1251" s="132"/>
      <c r="C1251" s="132"/>
      <c r="D1251" s="132"/>
      <c r="E1251" s="132"/>
      <c r="G1251" s="132"/>
      <c r="H1251" s="132"/>
    </row>
    <row r="1252" spans="2:8" x14ac:dyDescent="0.35">
      <c r="B1252" s="132"/>
      <c r="C1252" s="132"/>
      <c r="D1252" s="132"/>
      <c r="E1252" s="132"/>
      <c r="G1252" s="132"/>
      <c r="H1252" s="132"/>
    </row>
    <row r="1253" spans="2:8" x14ac:dyDescent="0.35">
      <c r="B1253" s="132"/>
      <c r="C1253" s="132"/>
      <c r="D1253" s="132"/>
      <c r="E1253" s="132"/>
      <c r="G1253" s="132"/>
      <c r="H1253" s="132"/>
    </row>
  </sheetData>
  <conditionalFormatting sqref="H2:H1236">
    <cfRule type="cellIs" dxfId="1" priority="1" operator="lessThan">
      <formula>600</formula>
    </cfRule>
    <cfRule type="cellIs" dxfId="0" priority="2" operator="greaterThan">
      <formula>1000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9217C-1458-4A3A-89C7-D0FADCC9E6F1}">
  <sheetPr codeName="Sheet9"/>
  <dimension ref="A1:R1227"/>
  <sheetViews>
    <sheetView topLeftCell="B1" workbookViewId="0">
      <selection activeCell="O19" sqref="O19"/>
    </sheetView>
  </sheetViews>
  <sheetFormatPr defaultRowHeight="15.5" x14ac:dyDescent="0.35"/>
  <cols>
    <col min="1" max="2" width="11.1640625" style="156" customWidth="1"/>
    <col min="3" max="3" width="9.1640625" style="157" customWidth="1"/>
    <col min="4" max="4" width="9.5" style="157" customWidth="1"/>
    <col min="5" max="5" width="10.83203125" style="157" customWidth="1"/>
    <col min="6" max="6" width="10.75" style="157" customWidth="1"/>
    <col min="7" max="7" width="7" style="156" customWidth="1"/>
    <col min="8" max="8" width="7.1640625" style="156" customWidth="1"/>
    <col min="9" max="10" width="11.5" style="157" customWidth="1"/>
    <col min="11" max="11" width="12.9140625" style="156" customWidth="1"/>
    <col min="12" max="12" width="9.9140625" bestFit="1" customWidth="1"/>
    <col min="14" max="14" width="12.25" bestFit="1" customWidth="1"/>
    <col min="15" max="15" width="15.08203125" bestFit="1" customWidth="1"/>
    <col min="16" max="16" width="16" bestFit="1" customWidth="1"/>
    <col min="17" max="17" width="16.1640625" bestFit="1" customWidth="1"/>
    <col min="18" max="18" width="20.75" bestFit="1" customWidth="1"/>
    <col min="19" max="19" width="11.4140625" bestFit="1" customWidth="1"/>
    <col min="20" max="20" width="16" bestFit="1" customWidth="1"/>
    <col min="21" max="21" width="11.4140625" bestFit="1" customWidth="1"/>
    <col min="22" max="22" width="16" bestFit="1" customWidth="1"/>
    <col min="23" max="23" width="11.4140625" bestFit="1" customWidth="1"/>
    <col min="24" max="24" width="16" bestFit="1" customWidth="1"/>
    <col min="25" max="25" width="11.4140625" bestFit="1" customWidth="1"/>
    <col min="26" max="26" width="16" bestFit="1" customWidth="1"/>
    <col min="27" max="27" width="11.4140625" bestFit="1" customWidth="1"/>
    <col min="28" max="28" width="16" bestFit="1" customWidth="1"/>
    <col min="29" max="29" width="16.1640625" bestFit="1" customWidth="1"/>
    <col min="30" max="30" width="20.75" bestFit="1" customWidth="1"/>
    <col min="31" max="31" width="11.1640625" bestFit="1" customWidth="1"/>
    <col min="32" max="32" width="16" bestFit="1" customWidth="1"/>
    <col min="33" max="33" width="11.4140625" bestFit="1" customWidth="1"/>
    <col min="34" max="34" width="11.1640625" bestFit="1" customWidth="1"/>
    <col min="35" max="35" width="16" bestFit="1" customWidth="1"/>
    <col min="36" max="36" width="16.1640625" bestFit="1" customWidth="1"/>
    <col min="37" max="37" width="15.9140625" bestFit="1" customWidth="1"/>
    <col min="38" max="38" width="20.75" bestFit="1" customWidth="1"/>
  </cols>
  <sheetData>
    <row r="1" spans="1:18" ht="16" thickBot="1" x14ac:dyDescent="0.4">
      <c r="A1" s="133" t="s">
        <v>456</v>
      </c>
      <c r="B1" s="134" t="s">
        <v>419</v>
      </c>
      <c r="C1" s="135" t="s">
        <v>304</v>
      </c>
      <c r="D1" s="135" t="s">
        <v>457</v>
      </c>
      <c r="E1" s="135" t="s">
        <v>306</v>
      </c>
      <c r="F1" s="135" t="s">
        <v>307</v>
      </c>
      <c r="G1" s="135" t="s">
        <v>308</v>
      </c>
      <c r="H1" s="135" t="s">
        <v>262</v>
      </c>
      <c r="I1" s="136" t="s">
        <v>458</v>
      </c>
      <c r="J1" s="135" t="s">
        <v>459</v>
      </c>
      <c r="K1" s="135" t="s">
        <v>460</v>
      </c>
      <c r="L1" s="134" t="s">
        <v>461</v>
      </c>
      <c r="N1" s="137" t="s">
        <v>462</v>
      </c>
    </row>
    <row r="2" spans="1:18" x14ac:dyDescent="0.35">
      <c r="A2" s="138">
        <v>45573</v>
      </c>
      <c r="B2" s="139" t="s">
        <v>463</v>
      </c>
      <c r="C2" s="140" t="s">
        <v>464</v>
      </c>
      <c r="D2" s="140" t="s">
        <v>465</v>
      </c>
      <c r="E2" s="140" t="s">
        <v>315</v>
      </c>
      <c r="F2" s="140" t="s">
        <v>454</v>
      </c>
      <c r="G2" s="140">
        <v>35</v>
      </c>
      <c r="H2" s="141">
        <v>22</v>
      </c>
      <c r="I2" s="142">
        <f>G2*H2</f>
        <v>770</v>
      </c>
      <c r="J2" s="143" t="s">
        <v>466</v>
      </c>
      <c r="K2" s="144">
        <v>19.25</v>
      </c>
      <c r="L2">
        <f>Table13[[#This Row],[Price]]*Table13[[#This Row],[Units]]</f>
        <v>770</v>
      </c>
      <c r="O2" t="s">
        <v>467</v>
      </c>
    </row>
    <row r="3" spans="1:18" x14ac:dyDescent="0.35">
      <c r="A3" s="145">
        <v>45573</v>
      </c>
      <c r="B3" s="146" t="s">
        <v>468</v>
      </c>
      <c r="C3" s="147" t="s">
        <v>469</v>
      </c>
      <c r="D3" s="147" t="s">
        <v>470</v>
      </c>
      <c r="E3" s="147" t="s">
        <v>320</v>
      </c>
      <c r="F3" s="147" t="s">
        <v>471</v>
      </c>
      <c r="G3" s="147">
        <v>45</v>
      </c>
      <c r="H3" s="148">
        <v>29</v>
      </c>
      <c r="I3" s="149">
        <f t="shared" ref="I3:I66" si="0">G3*H3</f>
        <v>1305</v>
      </c>
      <c r="J3" s="150" t="s">
        <v>472</v>
      </c>
      <c r="K3" s="151">
        <v>27.405000000000001</v>
      </c>
      <c r="L3">
        <f>Table13[[#This Row],[Price]]*Table13[[#This Row],[Units]]</f>
        <v>1305</v>
      </c>
      <c r="O3" t="s">
        <v>315</v>
      </c>
      <c r="Q3" t="s">
        <v>473</v>
      </c>
      <c r="R3" t="s">
        <v>474</v>
      </c>
    </row>
    <row r="4" spans="1:18" x14ac:dyDescent="0.35">
      <c r="A4" s="145">
        <v>45573</v>
      </c>
      <c r="B4" s="146" t="s">
        <v>475</v>
      </c>
      <c r="C4" s="147" t="s">
        <v>476</v>
      </c>
      <c r="D4" s="147" t="s">
        <v>477</v>
      </c>
      <c r="E4" s="147" t="s">
        <v>324</v>
      </c>
      <c r="F4" s="147" t="s">
        <v>478</v>
      </c>
      <c r="G4" s="147">
        <v>59</v>
      </c>
      <c r="H4" s="148">
        <v>52</v>
      </c>
      <c r="I4" s="149">
        <f t="shared" si="0"/>
        <v>3068</v>
      </c>
      <c r="J4" s="150" t="s">
        <v>472</v>
      </c>
      <c r="K4" s="151">
        <v>79.768000000000001</v>
      </c>
      <c r="L4">
        <f>Table13[[#This Row],[Price]]*Table13[[#This Row],[Units]]</f>
        <v>3068</v>
      </c>
      <c r="N4" t="s">
        <v>479</v>
      </c>
      <c r="O4" t="s">
        <v>480</v>
      </c>
      <c r="P4" t="s">
        <v>481</v>
      </c>
    </row>
    <row r="5" spans="1:18" x14ac:dyDescent="0.35">
      <c r="A5" s="145">
        <v>45573</v>
      </c>
      <c r="B5" s="146" t="s">
        <v>482</v>
      </c>
      <c r="C5" s="147" t="s">
        <v>469</v>
      </c>
      <c r="D5" s="147" t="s">
        <v>477</v>
      </c>
      <c r="E5" s="147" t="s">
        <v>483</v>
      </c>
      <c r="F5" s="147" t="s">
        <v>471</v>
      </c>
      <c r="G5" s="147">
        <v>11</v>
      </c>
      <c r="H5" s="148">
        <v>58</v>
      </c>
      <c r="I5" s="149">
        <f t="shared" si="0"/>
        <v>638</v>
      </c>
      <c r="J5" s="150" t="s">
        <v>472</v>
      </c>
      <c r="K5" s="151">
        <v>13.398</v>
      </c>
      <c r="L5">
        <f>Table13[[#This Row],[Price]]*Table13[[#This Row],[Units]]</f>
        <v>638</v>
      </c>
      <c r="N5" s="152" t="s">
        <v>484</v>
      </c>
      <c r="O5">
        <v>721</v>
      </c>
      <c r="P5" s="153">
        <v>31394</v>
      </c>
      <c r="Q5">
        <v>721</v>
      </c>
      <c r="R5" s="153">
        <v>31394</v>
      </c>
    </row>
    <row r="6" spans="1:18" x14ac:dyDescent="0.35">
      <c r="A6" s="145">
        <v>45574</v>
      </c>
      <c r="B6" s="146" t="s">
        <v>485</v>
      </c>
      <c r="C6" s="147" t="s">
        <v>469</v>
      </c>
      <c r="D6" s="147" t="s">
        <v>486</v>
      </c>
      <c r="E6" s="147" t="s">
        <v>320</v>
      </c>
      <c r="F6" s="147" t="s">
        <v>487</v>
      </c>
      <c r="G6" s="147">
        <v>12</v>
      </c>
      <c r="H6" s="148">
        <v>51</v>
      </c>
      <c r="I6" s="149">
        <f t="shared" si="0"/>
        <v>612</v>
      </c>
      <c r="J6" s="150" t="s">
        <v>466</v>
      </c>
      <c r="K6" s="151">
        <v>18.36</v>
      </c>
      <c r="L6">
        <f>Table13[[#This Row],[Price]]*Table13[[#This Row],[Units]]</f>
        <v>612</v>
      </c>
      <c r="N6" s="152" t="s">
        <v>469</v>
      </c>
      <c r="O6">
        <v>471</v>
      </c>
      <c r="P6" s="153">
        <v>17746</v>
      </c>
      <c r="Q6">
        <v>471</v>
      </c>
      <c r="R6" s="153">
        <v>17746</v>
      </c>
    </row>
    <row r="7" spans="1:18" x14ac:dyDescent="0.35">
      <c r="A7" s="145">
        <v>45574</v>
      </c>
      <c r="B7" s="146" t="s">
        <v>488</v>
      </c>
      <c r="C7" s="147" t="s">
        <v>489</v>
      </c>
      <c r="D7" s="147" t="s">
        <v>490</v>
      </c>
      <c r="E7" s="147" t="s">
        <v>333</v>
      </c>
      <c r="F7" s="147" t="s">
        <v>491</v>
      </c>
      <c r="G7" s="147">
        <v>54</v>
      </c>
      <c r="H7" s="148">
        <v>39</v>
      </c>
      <c r="I7" s="149">
        <f t="shared" si="0"/>
        <v>2106</v>
      </c>
      <c r="J7" s="150" t="s">
        <v>466</v>
      </c>
      <c r="K7" s="151">
        <v>56.862000000000002</v>
      </c>
      <c r="L7">
        <f>Table13[[#This Row],[Price]]*Table13[[#This Row],[Units]]</f>
        <v>2106</v>
      </c>
      <c r="N7" s="152" t="s">
        <v>492</v>
      </c>
      <c r="O7">
        <v>591</v>
      </c>
      <c r="P7" s="153">
        <v>24868</v>
      </c>
      <c r="Q7">
        <v>591</v>
      </c>
      <c r="R7" s="153">
        <v>24868</v>
      </c>
    </row>
    <row r="8" spans="1:18" x14ac:dyDescent="0.35">
      <c r="A8" s="145">
        <v>45574</v>
      </c>
      <c r="B8" s="146" t="s">
        <v>493</v>
      </c>
      <c r="C8" s="147" t="s">
        <v>322</v>
      </c>
      <c r="D8" s="147" t="s">
        <v>490</v>
      </c>
      <c r="E8" s="147" t="s">
        <v>315</v>
      </c>
      <c r="F8" s="147" t="s">
        <v>471</v>
      </c>
      <c r="G8" s="147">
        <v>38</v>
      </c>
      <c r="H8" s="148">
        <v>32</v>
      </c>
      <c r="I8" s="149">
        <f t="shared" si="0"/>
        <v>1216</v>
      </c>
      <c r="J8" s="150" t="s">
        <v>466</v>
      </c>
      <c r="K8" s="151">
        <v>34.048000000000002</v>
      </c>
      <c r="L8">
        <f>Table13[[#This Row],[Price]]*Table13[[#This Row],[Units]]</f>
        <v>1216</v>
      </c>
      <c r="N8" s="152" t="s">
        <v>494</v>
      </c>
      <c r="O8">
        <v>1182</v>
      </c>
      <c r="P8" s="153">
        <v>47484</v>
      </c>
      <c r="Q8">
        <v>1182</v>
      </c>
      <c r="R8" s="153">
        <v>47484</v>
      </c>
    </row>
    <row r="9" spans="1:18" x14ac:dyDescent="0.35">
      <c r="A9" s="145">
        <v>45575</v>
      </c>
      <c r="B9" s="146" t="s">
        <v>495</v>
      </c>
      <c r="C9" s="147" t="s">
        <v>464</v>
      </c>
      <c r="D9" s="147" t="s">
        <v>477</v>
      </c>
      <c r="E9" s="147" t="s">
        <v>483</v>
      </c>
      <c r="F9" s="147" t="s">
        <v>491</v>
      </c>
      <c r="G9" s="147">
        <v>17</v>
      </c>
      <c r="H9" s="148">
        <v>53</v>
      </c>
      <c r="I9" s="149">
        <f t="shared" si="0"/>
        <v>901</v>
      </c>
      <c r="J9" s="150" t="s">
        <v>472</v>
      </c>
      <c r="K9" s="151">
        <v>25.228000000000002</v>
      </c>
      <c r="L9">
        <f>Table13[[#This Row],[Price]]*Table13[[#This Row],[Units]]</f>
        <v>901</v>
      </c>
      <c r="N9" s="152" t="s">
        <v>464</v>
      </c>
      <c r="O9">
        <v>914</v>
      </c>
      <c r="P9" s="153">
        <v>34581</v>
      </c>
      <c r="Q9">
        <v>914</v>
      </c>
      <c r="R9" s="153">
        <v>34581</v>
      </c>
    </row>
    <row r="10" spans="1:18" x14ac:dyDescent="0.35">
      <c r="A10" s="145">
        <v>45575</v>
      </c>
      <c r="B10" s="146" t="s">
        <v>496</v>
      </c>
      <c r="C10" s="147" t="s">
        <v>476</v>
      </c>
      <c r="D10" s="147" t="s">
        <v>470</v>
      </c>
      <c r="E10" s="147" t="s">
        <v>412</v>
      </c>
      <c r="F10" s="147" t="s">
        <v>497</v>
      </c>
      <c r="G10" s="147">
        <v>41</v>
      </c>
      <c r="H10" s="148">
        <v>43</v>
      </c>
      <c r="I10" s="149">
        <f t="shared" si="0"/>
        <v>1763</v>
      </c>
      <c r="J10" s="150" t="s">
        <v>466</v>
      </c>
      <c r="K10" s="151">
        <v>49.363999999999997</v>
      </c>
      <c r="L10">
        <f>Table13[[#This Row],[Price]]*Table13[[#This Row],[Units]]</f>
        <v>1763</v>
      </c>
      <c r="N10" s="152" t="s">
        <v>476</v>
      </c>
      <c r="O10">
        <v>442</v>
      </c>
      <c r="P10" s="153">
        <v>19141</v>
      </c>
      <c r="Q10">
        <v>442</v>
      </c>
      <c r="R10" s="153">
        <v>19141</v>
      </c>
    </row>
    <row r="11" spans="1:18" x14ac:dyDescent="0.35">
      <c r="A11" s="145">
        <v>45575</v>
      </c>
      <c r="B11" s="146" t="s">
        <v>498</v>
      </c>
      <c r="C11" s="147" t="s">
        <v>322</v>
      </c>
      <c r="D11" s="147" t="s">
        <v>470</v>
      </c>
      <c r="E11" s="147" t="s">
        <v>324</v>
      </c>
      <c r="F11" s="147" t="s">
        <v>497</v>
      </c>
      <c r="G11" s="147">
        <v>20</v>
      </c>
      <c r="H11" s="148">
        <v>20</v>
      </c>
      <c r="I11" s="149">
        <f t="shared" si="0"/>
        <v>400</v>
      </c>
      <c r="J11" s="150" t="s">
        <v>466</v>
      </c>
      <c r="K11" s="151">
        <v>10.4</v>
      </c>
      <c r="L11">
        <f>Table13[[#This Row],[Price]]*Table13[[#This Row],[Units]]</f>
        <v>400</v>
      </c>
      <c r="N11" s="152" t="s">
        <v>489</v>
      </c>
      <c r="O11">
        <v>684</v>
      </c>
      <c r="P11" s="153">
        <v>31697</v>
      </c>
      <c r="Q11">
        <v>684</v>
      </c>
      <c r="R11" s="153">
        <v>31697</v>
      </c>
    </row>
    <row r="12" spans="1:18" x14ac:dyDescent="0.35">
      <c r="A12" s="145">
        <v>45575</v>
      </c>
      <c r="B12" s="146" t="s">
        <v>499</v>
      </c>
      <c r="C12" s="147" t="s">
        <v>476</v>
      </c>
      <c r="D12" s="147" t="s">
        <v>465</v>
      </c>
      <c r="E12" s="147" t="s">
        <v>333</v>
      </c>
      <c r="F12" s="147" t="s">
        <v>500</v>
      </c>
      <c r="G12" s="147">
        <v>48</v>
      </c>
      <c r="H12" s="148">
        <v>38</v>
      </c>
      <c r="I12" s="149">
        <f t="shared" si="0"/>
        <v>1824</v>
      </c>
      <c r="J12" s="150" t="s">
        <v>472</v>
      </c>
      <c r="K12" s="151">
        <v>52.896000000000001</v>
      </c>
      <c r="L12">
        <f>Table13[[#This Row],[Price]]*Table13[[#This Row],[Units]]</f>
        <v>1824</v>
      </c>
      <c r="N12" s="152" t="s">
        <v>501</v>
      </c>
      <c r="O12">
        <v>555</v>
      </c>
      <c r="P12" s="153">
        <v>24807</v>
      </c>
      <c r="Q12">
        <v>555</v>
      </c>
      <c r="R12" s="153">
        <v>24807</v>
      </c>
    </row>
    <row r="13" spans="1:18" x14ac:dyDescent="0.35">
      <c r="A13" s="145">
        <v>45575</v>
      </c>
      <c r="B13" s="146" t="s">
        <v>502</v>
      </c>
      <c r="C13" s="147" t="s">
        <v>489</v>
      </c>
      <c r="D13" s="147" t="s">
        <v>465</v>
      </c>
      <c r="E13" s="147" t="s">
        <v>320</v>
      </c>
      <c r="F13" s="147" t="s">
        <v>454</v>
      </c>
      <c r="G13" s="147">
        <v>57</v>
      </c>
      <c r="H13" s="148">
        <v>46</v>
      </c>
      <c r="I13" s="149">
        <f t="shared" si="0"/>
        <v>2622</v>
      </c>
      <c r="J13" s="150" t="s">
        <v>503</v>
      </c>
      <c r="K13" s="151">
        <v>52.44</v>
      </c>
      <c r="L13">
        <f>Table13[[#This Row],[Price]]*Table13[[#This Row],[Units]]</f>
        <v>2622</v>
      </c>
      <c r="N13" s="152" t="s">
        <v>322</v>
      </c>
      <c r="O13">
        <v>1286</v>
      </c>
      <c r="P13" s="153">
        <v>52699</v>
      </c>
      <c r="Q13">
        <v>1286</v>
      </c>
      <c r="R13" s="153">
        <v>52699</v>
      </c>
    </row>
    <row r="14" spans="1:18" x14ac:dyDescent="0.35">
      <c r="A14" s="145">
        <v>45575</v>
      </c>
      <c r="B14" s="146" t="s">
        <v>504</v>
      </c>
      <c r="C14" s="147" t="s">
        <v>489</v>
      </c>
      <c r="D14" s="147" t="s">
        <v>486</v>
      </c>
      <c r="E14" s="147" t="s">
        <v>320</v>
      </c>
      <c r="F14" s="147" t="s">
        <v>505</v>
      </c>
      <c r="G14" s="147">
        <v>57</v>
      </c>
      <c r="H14" s="148">
        <v>54</v>
      </c>
      <c r="I14" s="149">
        <f t="shared" si="0"/>
        <v>3078</v>
      </c>
      <c r="J14" s="150" t="s">
        <v>466</v>
      </c>
      <c r="K14" s="151">
        <v>89.262</v>
      </c>
      <c r="L14">
        <f>Table13[[#This Row],[Price]]*Table13[[#This Row],[Units]]</f>
        <v>3078</v>
      </c>
      <c r="N14" s="152" t="s">
        <v>506</v>
      </c>
      <c r="O14">
        <v>6846</v>
      </c>
      <c r="P14" s="153">
        <v>284417</v>
      </c>
      <c r="Q14">
        <v>6846</v>
      </c>
      <c r="R14" s="153">
        <v>284417</v>
      </c>
    </row>
    <row r="15" spans="1:18" x14ac:dyDescent="0.35">
      <c r="A15" s="145">
        <v>45575</v>
      </c>
      <c r="B15" s="146" t="s">
        <v>507</v>
      </c>
      <c r="C15" s="147" t="s">
        <v>501</v>
      </c>
      <c r="D15" s="147" t="s">
        <v>490</v>
      </c>
      <c r="E15" s="147" t="s">
        <v>483</v>
      </c>
      <c r="F15" s="147" t="s">
        <v>497</v>
      </c>
      <c r="G15" s="147">
        <v>53</v>
      </c>
      <c r="H15" s="148">
        <v>46</v>
      </c>
      <c r="I15" s="149">
        <f t="shared" si="0"/>
        <v>2438</v>
      </c>
      <c r="J15" s="150" t="s">
        <v>503</v>
      </c>
      <c r="K15" s="151">
        <v>48.76</v>
      </c>
      <c r="L15">
        <f>Table13[[#This Row],[Price]]*Table13[[#This Row],[Units]]</f>
        <v>2438</v>
      </c>
    </row>
    <row r="16" spans="1:18" x14ac:dyDescent="0.35">
      <c r="A16" s="145">
        <v>45576</v>
      </c>
      <c r="B16" s="146" t="s">
        <v>508</v>
      </c>
      <c r="C16" s="147" t="s">
        <v>484</v>
      </c>
      <c r="D16" s="147" t="s">
        <v>477</v>
      </c>
      <c r="E16" s="147" t="s">
        <v>333</v>
      </c>
      <c r="F16" s="147" t="s">
        <v>491</v>
      </c>
      <c r="G16" s="147">
        <v>42</v>
      </c>
      <c r="H16" s="148">
        <v>36</v>
      </c>
      <c r="I16" s="149">
        <f t="shared" si="0"/>
        <v>1512</v>
      </c>
      <c r="J16" s="150" t="s">
        <v>466</v>
      </c>
      <c r="K16" s="151">
        <v>43.847999999999999</v>
      </c>
      <c r="L16">
        <f>Table13[[#This Row],[Price]]*Table13[[#This Row],[Units]]</f>
        <v>1512</v>
      </c>
    </row>
    <row r="17" spans="1:12" x14ac:dyDescent="0.35">
      <c r="A17" s="145">
        <v>45576</v>
      </c>
      <c r="B17" s="146" t="s">
        <v>509</v>
      </c>
      <c r="C17" s="147" t="s">
        <v>489</v>
      </c>
      <c r="D17" s="147" t="s">
        <v>477</v>
      </c>
      <c r="E17" s="147" t="s">
        <v>320</v>
      </c>
      <c r="F17" s="147" t="s">
        <v>510</v>
      </c>
      <c r="G17" s="147">
        <v>49</v>
      </c>
      <c r="H17" s="148">
        <v>20</v>
      </c>
      <c r="I17" s="149">
        <f t="shared" si="0"/>
        <v>980</v>
      </c>
      <c r="J17" s="150" t="s">
        <v>472</v>
      </c>
      <c r="K17" s="151">
        <v>20.58</v>
      </c>
      <c r="L17">
        <f>Table13[[#This Row],[Price]]*Table13[[#This Row],[Units]]</f>
        <v>980</v>
      </c>
    </row>
    <row r="18" spans="1:12" x14ac:dyDescent="0.35">
      <c r="A18" s="145">
        <v>45576</v>
      </c>
      <c r="B18" s="146" t="s">
        <v>511</v>
      </c>
      <c r="C18" s="147" t="s">
        <v>494</v>
      </c>
      <c r="D18" s="147" t="s">
        <v>512</v>
      </c>
      <c r="E18" s="147" t="s">
        <v>315</v>
      </c>
      <c r="F18" s="147" t="s">
        <v>513</v>
      </c>
      <c r="G18" s="147">
        <v>10</v>
      </c>
      <c r="H18" s="148">
        <v>54</v>
      </c>
      <c r="I18" s="149">
        <f t="shared" si="0"/>
        <v>540</v>
      </c>
      <c r="J18" s="150" t="s">
        <v>466</v>
      </c>
      <c r="K18" s="151">
        <v>16.2</v>
      </c>
      <c r="L18">
        <f>Table13[[#This Row],[Price]]*Table13[[#This Row],[Units]]</f>
        <v>540</v>
      </c>
    </row>
    <row r="19" spans="1:12" x14ac:dyDescent="0.35">
      <c r="A19" s="145">
        <v>45576</v>
      </c>
      <c r="B19" s="146" t="s">
        <v>514</v>
      </c>
      <c r="C19" s="147" t="s">
        <v>476</v>
      </c>
      <c r="D19" s="147" t="s">
        <v>477</v>
      </c>
      <c r="E19" s="147" t="s">
        <v>333</v>
      </c>
      <c r="F19" s="147" t="s">
        <v>497</v>
      </c>
      <c r="G19" s="147">
        <v>35</v>
      </c>
      <c r="H19" s="148">
        <v>20</v>
      </c>
      <c r="I19" s="149">
        <f t="shared" si="0"/>
        <v>700</v>
      </c>
      <c r="J19" s="150" t="s">
        <v>515</v>
      </c>
      <c r="K19" s="151">
        <v>18.2</v>
      </c>
      <c r="L19">
        <f>Table13[[#This Row],[Price]]*Table13[[#This Row],[Units]]</f>
        <v>700</v>
      </c>
    </row>
    <row r="20" spans="1:12" x14ac:dyDescent="0.35">
      <c r="A20" s="145">
        <v>45576</v>
      </c>
      <c r="B20" s="146" t="s">
        <v>516</v>
      </c>
      <c r="C20" s="147" t="s">
        <v>492</v>
      </c>
      <c r="D20" s="147" t="s">
        <v>465</v>
      </c>
      <c r="E20" s="147" t="s">
        <v>315</v>
      </c>
      <c r="F20" s="147" t="s">
        <v>517</v>
      </c>
      <c r="G20" s="147">
        <v>24</v>
      </c>
      <c r="H20" s="148">
        <v>39</v>
      </c>
      <c r="I20" s="149">
        <f t="shared" si="0"/>
        <v>936</v>
      </c>
      <c r="J20" s="150" t="s">
        <v>503</v>
      </c>
      <c r="K20" s="151">
        <v>25.271999999999998</v>
      </c>
      <c r="L20">
        <f>Table13[[#This Row],[Price]]*Table13[[#This Row],[Units]]</f>
        <v>936</v>
      </c>
    </row>
    <row r="21" spans="1:12" x14ac:dyDescent="0.35">
      <c r="A21" s="145">
        <v>45576</v>
      </c>
      <c r="B21" s="146" t="s">
        <v>518</v>
      </c>
      <c r="C21" s="147" t="s">
        <v>464</v>
      </c>
      <c r="D21" s="147" t="s">
        <v>519</v>
      </c>
      <c r="E21" s="147" t="s">
        <v>320</v>
      </c>
      <c r="F21" s="147" t="s">
        <v>520</v>
      </c>
      <c r="G21" s="147">
        <v>30</v>
      </c>
      <c r="H21" s="148">
        <v>45</v>
      </c>
      <c r="I21" s="149">
        <f t="shared" si="0"/>
        <v>1350</v>
      </c>
      <c r="J21" s="150" t="s">
        <v>466</v>
      </c>
      <c r="K21" s="151">
        <v>31.05</v>
      </c>
      <c r="L21">
        <f>Table13[[#This Row],[Price]]*Table13[[#This Row],[Units]]</f>
        <v>1350</v>
      </c>
    </row>
    <row r="22" spans="1:12" x14ac:dyDescent="0.35">
      <c r="A22" s="145">
        <v>45577</v>
      </c>
      <c r="B22" s="146" t="s">
        <v>521</v>
      </c>
      <c r="C22" s="147" t="s">
        <v>322</v>
      </c>
      <c r="D22" s="147" t="s">
        <v>470</v>
      </c>
      <c r="E22" s="147" t="s">
        <v>315</v>
      </c>
      <c r="F22" s="147" t="s">
        <v>505</v>
      </c>
      <c r="G22" s="147">
        <v>51</v>
      </c>
      <c r="H22" s="148">
        <v>36</v>
      </c>
      <c r="I22" s="149">
        <f t="shared" si="0"/>
        <v>1836</v>
      </c>
      <c r="J22" s="150" t="s">
        <v>466</v>
      </c>
      <c r="K22" s="151">
        <v>47.735999999999997</v>
      </c>
      <c r="L22">
        <f>Table13[[#This Row],[Price]]*Table13[[#This Row],[Units]]</f>
        <v>1836</v>
      </c>
    </row>
    <row r="23" spans="1:12" x14ac:dyDescent="0.35">
      <c r="A23" s="145">
        <v>45577</v>
      </c>
      <c r="B23" s="146" t="s">
        <v>522</v>
      </c>
      <c r="C23" s="147" t="s">
        <v>322</v>
      </c>
      <c r="D23" s="147" t="s">
        <v>477</v>
      </c>
      <c r="E23" s="147" t="s">
        <v>412</v>
      </c>
      <c r="F23" s="147" t="s">
        <v>523</v>
      </c>
      <c r="G23" s="147">
        <v>51</v>
      </c>
      <c r="H23" s="148">
        <v>54</v>
      </c>
      <c r="I23" s="149">
        <f t="shared" si="0"/>
        <v>2754</v>
      </c>
      <c r="J23" s="150" t="s">
        <v>466</v>
      </c>
      <c r="K23" s="151">
        <v>60.588000000000001</v>
      </c>
      <c r="L23">
        <f>Table13[[#This Row],[Price]]*Table13[[#This Row],[Units]]</f>
        <v>2754</v>
      </c>
    </row>
    <row r="24" spans="1:12" x14ac:dyDescent="0.35">
      <c r="A24" s="145">
        <v>45577</v>
      </c>
      <c r="B24" s="146" t="s">
        <v>524</v>
      </c>
      <c r="C24" s="147" t="s">
        <v>492</v>
      </c>
      <c r="D24" s="147" t="s">
        <v>490</v>
      </c>
      <c r="E24" s="147" t="s">
        <v>333</v>
      </c>
      <c r="F24" s="147" t="s">
        <v>497</v>
      </c>
      <c r="G24" s="147">
        <v>38</v>
      </c>
      <c r="H24" s="148">
        <v>41</v>
      </c>
      <c r="I24" s="149">
        <f t="shared" si="0"/>
        <v>1558</v>
      </c>
      <c r="J24" s="150" t="s">
        <v>472</v>
      </c>
      <c r="K24" s="151">
        <v>34.276000000000003</v>
      </c>
      <c r="L24">
        <f>Table13[[#This Row],[Price]]*Table13[[#This Row],[Units]]</f>
        <v>1558</v>
      </c>
    </row>
    <row r="25" spans="1:12" x14ac:dyDescent="0.35">
      <c r="A25" s="145">
        <v>45577</v>
      </c>
      <c r="B25" s="146" t="s">
        <v>525</v>
      </c>
      <c r="C25" s="147" t="s">
        <v>322</v>
      </c>
      <c r="D25" s="147" t="s">
        <v>470</v>
      </c>
      <c r="E25" s="147" t="s">
        <v>315</v>
      </c>
      <c r="F25" s="147" t="s">
        <v>513</v>
      </c>
      <c r="G25" s="147">
        <v>31</v>
      </c>
      <c r="H25" s="148">
        <v>33</v>
      </c>
      <c r="I25" s="149">
        <f t="shared" si="0"/>
        <v>1023</v>
      </c>
      <c r="J25" s="150" t="s">
        <v>466</v>
      </c>
      <c r="K25" s="151">
        <v>21.483000000000001</v>
      </c>
      <c r="L25">
        <f>Table13[[#This Row],[Price]]*Table13[[#This Row],[Units]]</f>
        <v>1023</v>
      </c>
    </row>
    <row r="26" spans="1:12" x14ac:dyDescent="0.35">
      <c r="A26" s="145">
        <v>45577</v>
      </c>
      <c r="B26" s="146" t="s">
        <v>526</v>
      </c>
      <c r="C26" s="147" t="s">
        <v>322</v>
      </c>
      <c r="D26" s="147" t="s">
        <v>477</v>
      </c>
      <c r="E26" s="147" t="s">
        <v>333</v>
      </c>
      <c r="F26" s="147" t="s">
        <v>520</v>
      </c>
      <c r="G26" s="147">
        <v>13</v>
      </c>
      <c r="H26" s="148">
        <v>39</v>
      </c>
      <c r="I26" s="149">
        <f t="shared" si="0"/>
        <v>507</v>
      </c>
      <c r="J26" s="150" t="s">
        <v>466</v>
      </c>
      <c r="K26" s="151">
        <v>10.647</v>
      </c>
      <c r="L26">
        <f>Table13[[#This Row],[Price]]*Table13[[#This Row],[Units]]</f>
        <v>507</v>
      </c>
    </row>
    <row r="27" spans="1:12" x14ac:dyDescent="0.35">
      <c r="A27" s="145">
        <v>45577</v>
      </c>
      <c r="B27" s="146" t="s">
        <v>527</v>
      </c>
      <c r="C27" s="147" t="s">
        <v>492</v>
      </c>
      <c r="D27" s="147" t="s">
        <v>470</v>
      </c>
      <c r="E27" s="147" t="s">
        <v>483</v>
      </c>
      <c r="F27" s="147" t="s">
        <v>528</v>
      </c>
      <c r="G27" s="147">
        <v>59</v>
      </c>
      <c r="H27" s="148">
        <v>21</v>
      </c>
      <c r="I27" s="149">
        <f t="shared" si="0"/>
        <v>1239</v>
      </c>
      <c r="J27" s="150" t="s">
        <v>515</v>
      </c>
      <c r="K27" s="151">
        <v>35.930999999999997</v>
      </c>
      <c r="L27">
        <f>Table13[[#This Row],[Price]]*Table13[[#This Row],[Units]]</f>
        <v>1239</v>
      </c>
    </row>
    <row r="28" spans="1:12" x14ac:dyDescent="0.35">
      <c r="A28" s="145">
        <v>45577</v>
      </c>
      <c r="B28" s="146" t="s">
        <v>529</v>
      </c>
      <c r="C28" s="147" t="s">
        <v>322</v>
      </c>
      <c r="D28" s="147" t="s">
        <v>477</v>
      </c>
      <c r="E28" s="147" t="s">
        <v>315</v>
      </c>
      <c r="F28" s="147" t="s">
        <v>497</v>
      </c>
      <c r="G28" s="147">
        <v>15</v>
      </c>
      <c r="H28" s="148">
        <v>36</v>
      </c>
      <c r="I28" s="149">
        <f t="shared" si="0"/>
        <v>540</v>
      </c>
      <c r="J28" s="150" t="s">
        <v>466</v>
      </c>
      <c r="K28" s="151">
        <v>13.5</v>
      </c>
      <c r="L28">
        <f>Table13[[#This Row],[Price]]*Table13[[#This Row],[Units]]</f>
        <v>540</v>
      </c>
    </row>
    <row r="29" spans="1:12" x14ac:dyDescent="0.35">
      <c r="A29" s="145">
        <v>45577</v>
      </c>
      <c r="B29" s="146" t="s">
        <v>530</v>
      </c>
      <c r="C29" s="147" t="s">
        <v>489</v>
      </c>
      <c r="D29" s="147" t="s">
        <v>465</v>
      </c>
      <c r="E29" s="147" t="s">
        <v>333</v>
      </c>
      <c r="F29" s="147" t="s">
        <v>491</v>
      </c>
      <c r="G29" s="147">
        <v>10</v>
      </c>
      <c r="H29" s="148">
        <v>27</v>
      </c>
      <c r="I29" s="149">
        <f t="shared" si="0"/>
        <v>270</v>
      </c>
      <c r="J29" s="150" t="s">
        <v>515</v>
      </c>
      <c r="K29" s="151">
        <v>5.94</v>
      </c>
      <c r="L29">
        <f>Table13[[#This Row],[Price]]*Table13[[#This Row],[Units]]</f>
        <v>270</v>
      </c>
    </row>
    <row r="30" spans="1:12" x14ac:dyDescent="0.35">
      <c r="A30" s="145">
        <v>45577</v>
      </c>
      <c r="B30" s="146" t="s">
        <v>531</v>
      </c>
      <c r="C30" s="147" t="s">
        <v>476</v>
      </c>
      <c r="D30" s="147" t="s">
        <v>490</v>
      </c>
      <c r="E30" s="147" t="s">
        <v>483</v>
      </c>
      <c r="F30" s="147" t="s">
        <v>487</v>
      </c>
      <c r="G30" s="147">
        <v>58</v>
      </c>
      <c r="H30" s="148">
        <v>49</v>
      </c>
      <c r="I30" s="149">
        <f t="shared" si="0"/>
        <v>2842</v>
      </c>
      <c r="J30" s="150" t="s">
        <v>472</v>
      </c>
      <c r="K30" s="151">
        <v>85.26</v>
      </c>
      <c r="L30">
        <f>Table13[[#This Row],[Price]]*Table13[[#This Row],[Units]]</f>
        <v>2842</v>
      </c>
    </row>
    <row r="31" spans="1:12" x14ac:dyDescent="0.35">
      <c r="A31" s="145">
        <v>45578</v>
      </c>
      <c r="B31" s="146" t="s">
        <v>532</v>
      </c>
      <c r="C31" s="147" t="s">
        <v>501</v>
      </c>
      <c r="D31" s="147" t="s">
        <v>477</v>
      </c>
      <c r="E31" s="147" t="s">
        <v>483</v>
      </c>
      <c r="F31" s="147" t="s">
        <v>517</v>
      </c>
      <c r="G31" s="147">
        <v>16</v>
      </c>
      <c r="H31" s="148">
        <v>50</v>
      </c>
      <c r="I31" s="149">
        <f t="shared" si="0"/>
        <v>800</v>
      </c>
      <c r="J31" s="150" t="s">
        <v>515</v>
      </c>
      <c r="K31" s="151">
        <v>16.8</v>
      </c>
      <c r="L31">
        <f>Table13[[#This Row],[Price]]*Table13[[#This Row],[Units]]</f>
        <v>800</v>
      </c>
    </row>
    <row r="32" spans="1:12" x14ac:dyDescent="0.35">
      <c r="A32" s="145">
        <v>45578</v>
      </c>
      <c r="B32" s="146" t="s">
        <v>533</v>
      </c>
      <c r="C32" s="147" t="s">
        <v>492</v>
      </c>
      <c r="D32" s="147" t="s">
        <v>477</v>
      </c>
      <c r="E32" s="147" t="s">
        <v>483</v>
      </c>
      <c r="F32" s="147" t="s">
        <v>471</v>
      </c>
      <c r="G32" s="147">
        <v>14</v>
      </c>
      <c r="H32" s="148">
        <v>53</v>
      </c>
      <c r="I32" s="149">
        <f t="shared" si="0"/>
        <v>742</v>
      </c>
      <c r="J32" s="150" t="s">
        <v>466</v>
      </c>
      <c r="K32" s="151">
        <v>20.033999999999999</v>
      </c>
      <c r="L32">
        <f>Table13[[#This Row],[Price]]*Table13[[#This Row],[Units]]</f>
        <v>742</v>
      </c>
    </row>
    <row r="33" spans="1:12" x14ac:dyDescent="0.35">
      <c r="A33" s="145">
        <v>45578</v>
      </c>
      <c r="B33" s="146" t="s">
        <v>534</v>
      </c>
      <c r="C33" s="147" t="s">
        <v>492</v>
      </c>
      <c r="D33" s="147" t="s">
        <v>519</v>
      </c>
      <c r="E33" s="147" t="s">
        <v>483</v>
      </c>
      <c r="F33" s="147" t="s">
        <v>510</v>
      </c>
      <c r="G33" s="147">
        <v>32</v>
      </c>
      <c r="H33" s="148">
        <v>44</v>
      </c>
      <c r="I33" s="149">
        <f t="shared" si="0"/>
        <v>1408</v>
      </c>
      <c r="J33" s="150" t="s">
        <v>466</v>
      </c>
      <c r="K33" s="151">
        <v>30.975999999999999</v>
      </c>
      <c r="L33">
        <f>Table13[[#This Row],[Price]]*Table13[[#This Row],[Units]]</f>
        <v>1408</v>
      </c>
    </row>
    <row r="34" spans="1:12" x14ac:dyDescent="0.35">
      <c r="A34" s="145">
        <v>45578</v>
      </c>
      <c r="B34" s="146" t="s">
        <v>535</v>
      </c>
      <c r="C34" s="147" t="s">
        <v>494</v>
      </c>
      <c r="D34" s="147" t="s">
        <v>477</v>
      </c>
      <c r="E34" s="147" t="s">
        <v>324</v>
      </c>
      <c r="F34" s="147" t="s">
        <v>536</v>
      </c>
      <c r="G34" s="147">
        <v>43</v>
      </c>
      <c r="H34" s="148">
        <v>54</v>
      </c>
      <c r="I34" s="149">
        <f t="shared" si="0"/>
        <v>2322</v>
      </c>
      <c r="J34" s="150" t="s">
        <v>503</v>
      </c>
      <c r="K34" s="151">
        <v>53.405999999999999</v>
      </c>
      <c r="L34">
        <f>Table13[[#This Row],[Price]]*Table13[[#This Row],[Units]]</f>
        <v>2322</v>
      </c>
    </row>
    <row r="35" spans="1:12" x14ac:dyDescent="0.35">
      <c r="A35" s="145">
        <v>45578</v>
      </c>
      <c r="B35" s="146" t="s">
        <v>537</v>
      </c>
      <c r="C35" s="147" t="s">
        <v>322</v>
      </c>
      <c r="D35" s="147" t="s">
        <v>470</v>
      </c>
      <c r="E35" s="147" t="s">
        <v>390</v>
      </c>
      <c r="F35" s="147" t="s">
        <v>497</v>
      </c>
      <c r="G35" s="147">
        <v>40</v>
      </c>
      <c r="H35" s="148">
        <v>43</v>
      </c>
      <c r="I35" s="149">
        <f t="shared" si="0"/>
        <v>1720</v>
      </c>
      <c r="J35" s="150" t="s">
        <v>472</v>
      </c>
      <c r="K35" s="151">
        <v>43</v>
      </c>
      <c r="L35">
        <f>Table13[[#This Row],[Price]]*Table13[[#This Row],[Units]]</f>
        <v>1720</v>
      </c>
    </row>
    <row r="36" spans="1:12" x14ac:dyDescent="0.35">
      <c r="A36" s="145">
        <v>45578</v>
      </c>
      <c r="B36" s="146" t="s">
        <v>538</v>
      </c>
      <c r="C36" s="147" t="s">
        <v>494</v>
      </c>
      <c r="D36" s="147" t="s">
        <v>486</v>
      </c>
      <c r="E36" s="147" t="s">
        <v>483</v>
      </c>
      <c r="F36" s="147" t="s">
        <v>539</v>
      </c>
      <c r="G36" s="147">
        <v>43</v>
      </c>
      <c r="H36" s="148">
        <v>33</v>
      </c>
      <c r="I36" s="149">
        <f t="shared" si="0"/>
        <v>1419</v>
      </c>
      <c r="J36" s="150" t="s">
        <v>466</v>
      </c>
      <c r="K36" s="151">
        <v>31.218</v>
      </c>
      <c r="L36">
        <f>Table13[[#This Row],[Price]]*Table13[[#This Row],[Units]]</f>
        <v>1419</v>
      </c>
    </row>
    <row r="37" spans="1:12" x14ac:dyDescent="0.35">
      <c r="A37" s="145">
        <v>45578</v>
      </c>
      <c r="B37" s="146" t="s">
        <v>540</v>
      </c>
      <c r="C37" s="147" t="s">
        <v>322</v>
      </c>
      <c r="D37" s="147" t="s">
        <v>490</v>
      </c>
      <c r="E37" s="147" t="s">
        <v>315</v>
      </c>
      <c r="F37" s="147" t="s">
        <v>520</v>
      </c>
      <c r="G37" s="147">
        <v>57</v>
      </c>
      <c r="H37" s="148">
        <v>51</v>
      </c>
      <c r="I37" s="149">
        <f t="shared" si="0"/>
        <v>2907</v>
      </c>
      <c r="J37" s="150" t="s">
        <v>472</v>
      </c>
      <c r="K37" s="151">
        <v>63.954000000000001</v>
      </c>
      <c r="L37">
        <f>Table13[[#This Row],[Price]]*Table13[[#This Row],[Units]]</f>
        <v>2907</v>
      </c>
    </row>
    <row r="38" spans="1:12" x14ac:dyDescent="0.35">
      <c r="A38" s="145">
        <v>45578</v>
      </c>
      <c r="B38" s="146" t="s">
        <v>541</v>
      </c>
      <c r="C38" s="147" t="s">
        <v>494</v>
      </c>
      <c r="D38" s="147" t="s">
        <v>512</v>
      </c>
      <c r="E38" s="147" t="s">
        <v>333</v>
      </c>
      <c r="F38" s="147" t="s">
        <v>523</v>
      </c>
      <c r="G38" s="147">
        <v>38</v>
      </c>
      <c r="H38" s="148">
        <v>48</v>
      </c>
      <c r="I38" s="149">
        <f t="shared" si="0"/>
        <v>1824</v>
      </c>
      <c r="J38" s="150" t="s">
        <v>472</v>
      </c>
      <c r="K38" s="151">
        <v>52.896000000000001</v>
      </c>
      <c r="L38">
        <f>Table13[[#This Row],[Price]]*Table13[[#This Row],[Units]]</f>
        <v>1824</v>
      </c>
    </row>
    <row r="39" spans="1:12" x14ac:dyDescent="0.35">
      <c r="A39" s="145">
        <v>45578</v>
      </c>
      <c r="B39" s="146" t="s">
        <v>542</v>
      </c>
      <c r="C39" s="147" t="s">
        <v>484</v>
      </c>
      <c r="D39" s="147" t="s">
        <v>470</v>
      </c>
      <c r="E39" s="147" t="s">
        <v>320</v>
      </c>
      <c r="F39" s="147" t="s">
        <v>513</v>
      </c>
      <c r="G39" s="147">
        <v>48</v>
      </c>
      <c r="H39" s="148">
        <v>56</v>
      </c>
      <c r="I39" s="149">
        <f t="shared" si="0"/>
        <v>2688</v>
      </c>
      <c r="J39" s="150" t="s">
        <v>466</v>
      </c>
      <c r="K39" s="151">
        <v>77.951999999999998</v>
      </c>
      <c r="L39">
        <f>Table13[[#This Row],[Price]]*Table13[[#This Row],[Units]]</f>
        <v>2688</v>
      </c>
    </row>
    <row r="40" spans="1:12" x14ac:dyDescent="0.35">
      <c r="A40" s="145">
        <v>45578</v>
      </c>
      <c r="B40" s="146" t="s">
        <v>543</v>
      </c>
      <c r="C40" s="147" t="s">
        <v>501</v>
      </c>
      <c r="D40" s="147" t="s">
        <v>470</v>
      </c>
      <c r="E40" s="147" t="s">
        <v>483</v>
      </c>
      <c r="F40" s="147" t="s">
        <v>491</v>
      </c>
      <c r="G40" s="147">
        <v>30</v>
      </c>
      <c r="H40" s="148">
        <v>46</v>
      </c>
      <c r="I40" s="149">
        <f t="shared" si="0"/>
        <v>1380</v>
      </c>
      <c r="J40" s="150" t="s">
        <v>472</v>
      </c>
      <c r="K40" s="151">
        <v>40.020000000000003</v>
      </c>
      <c r="L40">
        <f>Table13[[#This Row],[Price]]*Table13[[#This Row],[Units]]</f>
        <v>1380</v>
      </c>
    </row>
    <row r="41" spans="1:12" x14ac:dyDescent="0.35">
      <c r="A41" s="145">
        <v>45578</v>
      </c>
      <c r="B41" s="146" t="s">
        <v>544</v>
      </c>
      <c r="C41" s="147" t="s">
        <v>494</v>
      </c>
      <c r="D41" s="147" t="s">
        <v>470</v>
      </c>
      <c r="E41" s="147" t="s">
        <v>333</v>
      </c>
      <c r="F41" s="147" t="s">
        <v>513</v>
      </c>
      <c r="G41" s="147">
        <v>32</v>
      </c>
      <c r="H41" s="148">
        <v>44</v>
      </c>
      <c r="I41" s="149">
        <f t="shared" si="0"/>
        <v>1408</v>
      </c>
      <c r="J41" s="150" t="s">
        <v>466</v>
      </c>
      <c r="K41" s="151">
        <v>40.832000000000001</v>
      </c>
      <c r="L41">
        <f>Table13[[#This Row],[Price]]*Table13[[#This Row],[Units]]</f>
        <v>1408</v>
      </c>
    </row>
    <row r="42" spans="1:12" x14ac:dyDescent="0.35">
      <c r="A42" s="145">
        <v>45579</v>
      </c>
      <c r="B42" s="146" t="s">
        <v>545</v>
      </c>
      <c r="C42" s="147" t="s">
        <v>476</v>
      </c>
      <c r="D42" s="147" t="s">
        <v>490</v>
      </c>
      <c r="E42" s="147" t="s">
        <v>483</v>
      </c>
      <c r="F42" s="147" t="s">
        <v>523</v>
      </c>
      <c r="G42" s="147">
        <v>14</v>
      </c>
      <c r="H42" s="148">
        <v>60</v>
      </c>
      <c r="I42" s="149">
        <f t="shared" si="0"/>
        <v>840</v>
      </c>
      <c r="J42" s="150" t="s">
        <v>466</v>
      </c>
      <c r="K42" s="151">
        <v>16.8</v>
      </c>
      <c r="L42">
        <f>Table13[[#This Row],[Price]]*Table13[[#This Row],[Units]]</f>
        <v>840</v>
      </c>
    </row>
    <row r="43" spans="1:12" x14ac:dyDescent="0.35">
      <c r="A43" s="145">
        <v>45579</v>
      </c>
      <c r="B43" s="146" t="s">
        <v>546</v>
      </c>
      <c r="C43" s="147" t="s">
        <v>489</v>
      </c>
      <c r="D43" s="147" t="s">
        <v>465</v>
      </c>
      <c r="E43" s="147" t="s">
        <v>324</v>
      </c>
      <c r="F43" s="147" t="s">
        <v>510</v>
      </c>
      <c r="G43" s="147">
        <v>34</v>
      </c>
      <c r="H43" s="148">
        <v>25</v>
      </c>
      <c r="I43" s="149">
        <f t="shared" si="0"/>
        <v>850</v>
      </c>
      <c r="J43" s="150" t="s">
        <v>466</v>
      </c>
      <c r="K43" s="151">
        <v>19.55</v>
      </c>
      <c r="L43">
        <f>Table13[[#This Row],[Price]]*Table13[[#This Row],[Units]]</f>
        <v>850</v>
      </c>
    </row>
    <row r="44" spans="1:12" x14ac:dyDescent="0.35">
      <c r="A44" s="145">
        <v>45579</v>
      </c>
      <c r="B44" s="146" t="s">
        <v>547</v>
      </c>
      <c r="C44" s="147" t="s">
        <v>469</v>
      </c>
      <c r="D44" s="147" t="s">
        <v>486</v>
      </c>
      <c r="E44" s="147" t="s">
        <v>483</v>
      </c>
      <c r="F44" s="147" t="s">
        <v>505</v>
      </c>
      <c r="G44" s="147">
        <v>25</v>
      </c>
      <c r="H44" s="148">
        <v>29</v>
      </c>
      <c r="I44" s="149">
        <f t="shared" si="0"/>
        <v>725</v>
      </c>
      <c r="J44" s="150" t="s">
        <v>466</v>
      </c>
      <c r="K44" s="151">
        <v>21.024999999999999</v>
      </c>
      <c r="L44">
        <f>Table13[[#This Row],[Price]]*Table13[[#This Row],[Units]]</f>
        <v>725</v>
      </c>
    </row>
    <row r="45" spans="1:12" x14ac:dyDescent="0.35">
      <c r="A45" s="145">
        <v>45579</v>
      </c>
      <c r="B45" s="146" t="s">
        <v>548</v>
      </c>
      <c r="C45" s="147" t="s">
        <v>494</v>
      </c>
      <c r="D45" s="147" t="s">
        <v>519</v>
      </c>
      <c r="E45" s="147" t="s">
        <v>390</v>
      </c>
      <c r="F45" s="147" t="s">
        <v>536</v>
      </c>
      <c r="G45" s="147">
        <v>59</v>
      </c>
      <c r="H45" s="148">
        <v>41</v>
      </c>
      <c r="I45" s="149">
        <f t="shared" si="0"/>
        <v>2419</v>
      </c>
      <c r="J45" s="150" t="s">
        <v>466</v>
      </c>
      <c r="K45" s="151">
        <v>65.313000000000002</v>
      </c>
      <c r="L45">
        <f>Table13[[#This Row],[Price]]*Table13[[#This Row],[Units]]</f>
        <v>2419</v>
      </c>
    </row>
    <row r="46" spans="1:12" x14ac:dyDescent="0.35">
      <c r="A46" s="145">
        <v>45579</v>
      </c>
      <c r="B46" s="146" t="s">
        <v>549</v>
      </c>
      <c r="C46" s="147" t="s">
        <v>322</v>
      </c>
      <c r="D46" s="147" t="s">
        <v>470</v>
      </c>
      <c r="E46" s="147" t="s">
        <v>412</v>
      </c>
      <c r="F46" s="147" t="s">
        <v>491</v>
      </c>
      <c r="G46" s="147">
        <v>42</v>
      </c>
      <c r="H46" s="148">
        <v>43</v>
      </c>
      <c r="I46" s="149">
        <f t="shared" si="0"/>
        <v>1806</v>
      </c>
      <c r="J46" s="150" t="s">
        <v>515</v>
      </c>
      <c r="K46" s="151">
        <v>36.119999999999997</v>
      </c>
      <c r="L46">
        <f>Table13[[#This Row],[Price]]*Table13[[#This Row],[Units]]</f>
        <v>1806</v>
      </c>
    </row>
    <row r="47" spans="1:12" x14ac:dyDescent="0.35">
      <c r="A47" s="145">
        <v>45580</v>
      </c>
      <c r="B47" s="146" t="s">
        <v>550</v>
      </c>
      <c r="C47" s="147" t="s">
        <v>322</v>
      </c>
      <c r="D47" s="147" t="s">
        <v>490</v>
      </c>
      <c r="E47" s="147" t="s">
        <v>412</v>
      </c>
      <c r="F47" s="147" t="s">
        <v>487</v>
      </c>
      <c r="G47" s="147">
        <v>33</v>
      </c>
      <c r="H47" s="148">
        <v>57</v>
      </c>
      <c r="I47" s="149">
        <f t="shared" si="0"/>
        <v>1881</v>
      </c>
      <c r="J47" s="150" t="s">
        <v>466</v>
      </c>
      <c r="K47" s="151">
        <v>47.024999999999999</v>
      </c>
      <c r="L47">
        <f>Table13[[#This Row],[Price]]*Table13[[#This Row],[Units]]</f>
        <v>1881</v>
      </c>
    </row>
    <row r="48" spans="1:12" x14ac:dyDescent="0.35">
      <c r="A48" s="145">
        <v>45580</v>
      </c>
      <c r="B48" s="146" t="s">
        <v>551</v>
      </c>
      <c r="C48" s="147" t="s">
        <v>464</v>
      </c>
      <c r="D48" s="147" t="s">
        <v>490</v>
      </c>
      <c r="E48" s="147" t="s">
        <v>483</v>
      </c>
      <c r="F48" s="147" t="s">
        <v>491</v>
      </c>
      <c r="G48" s="147">
        <v>27</v>
      </c>
      <c r="H48" s="148">
        <v>46</v>
      </c>
      <c r="I48" s="149">
        <f t="shared" si="0"/>
        <v>1242</v>
      </c>
      <c r="J48" s="150" t="s">
        <v>472</v>
      </c>
      <c r="K48" s="151">
        <v>36.018000000000001</v>
      </c>
      <c r="L48">
        <f>Table13[[#This Row],[Price]]*Table13[[#This Row],[Units]]</f>
        <v>1242</v>
      </c>
    </row>
    <row r="49" spans="1:12" x14ac:dyDescent="0.35">
      <c r="A49" s="145">
        <v>45580</v>
      </c>
      <c r="B49" s="146" t="s">
        <v>552</v>
      </c>
      <c r="C49" s="147" t="s">
        <v>464</v>
      </c>
      <c r="D49" s="147" t="s">
        <v>470</v>
      </c>
      <c r="E49" s="147" t="s">
        <v>412</v>
      </c>
      <c r="F49" s="147" t="s">
        <v>497</v>
      </c>
      <c r="G49" s="147">
        <v>30</v>
      </c>
      <c r="H49" s="148">
        <v>58</v>
      </c>
      <c r="I49" s="149">
        <f t="shared" si="0"/>
        <v>1740</v>
      </c>
      <c r="J49" s="150" t="s">
        <v>466</v>
      </c>
      <c r="K49" s="151">
        <v>34.799999999999997</v>
      </c>
      <c r="L49">
        <f>Table13[[#This Row],[Price]]*Table13[[#This Row],[Units]]</f>
        <v>1740</v>
      </c>
    </row>
    <row r="50" spans="1:12" x14ac:dyDescent="0.35">
      <c r="A50" s="145">
        <v>45581</v>
      </c>
      <c r="B50" s="146" t="s">
        <v>553</v>
      </c>
      <c r="C50" s="147" t="s">
        <v>464</v>
      </c>
      <c r="D50" s="147" t="s">
        <v>512</v>
      </c>
      <c r="E50" s="147" t="s">
        <v>315</v>
      </c>
      <c r="F50" s="147" t="s">
        <v>523</v>
      </c>
      <c r="G50" s="147">
        <v>25</v>
      </c>
      <c r="H50" s="148">
        <v>48</v>
      </c>
      <c r="I50" s="149">
        <f t="shared" si="0"/>
        <v>1200</v>
      </c>
      <c r="J50" s="150" t="s">
        <v>472</v>
      </c>
      <c r="K50" s="151">
        <v>34.799999999999997</v>
      </c>
      <c r="L50">
        <f>Table13[[#This Row],[Price]]*Table13[[#This Row],[Units]]</f>
        <v>1200</v>
      </c>
    </row>
    <row r="51" spans="1:12" x14ac:dyDescent="0.35">
      <c r="A51" s="145">
        <v>45581</v>
      </c>
      <c r="B51" s="146" t="s">
        <v>554</v>
      </c>
      <c r="C51" s="147" t="s">
        <v>494</v>
      </c>
      <c r="D51" s="147" t="s">
        <v>486</v>
      </c>
      <c r="E51" s="147" t="s">
        <v>412</v>
      </c>
      <c r="F51" s="147" t="s">
        <v>517</v>
      </c>
      <c r="G51" s="147">
        <v>52</v>
      </c>
      <c r="H51" s="148">
        <v>53</v>
      </c>
      <c r="I51" s="149">
        <f t="shared" si="0"/>
        <v>2756</v>
      </c>
      <c r="J51" s="150" t="s">
        <v>466</v>
      </c>
      <c r="K51" s="151">
        <v>77.168000000000006</v>
      </c>
      <c r="L51">
        <f>Table13[[#This Row],[Price]]*Table13[[#This Row],[Units]]</f>
        <v>2756</v>
      </c>
    </row>
    <row r="52" spans="1:12" x14ac:dyDescent="0.35">
      <c r="A52" s="145">
        <v>45581</v>
      </c>
      <c r="B52" s="146" t="s">
        <v>555</v>
      </c>
      <c r="C52" s="147" t="s">
        <v>494</v>
      </c>
      <c r="D52" s="147" t="s">
        <v>490</v>
      </c>
      <c r="E52" s="147" t="s">
        <v>324</v>
      </c>
      <c r="F52" s="147" t="s">
        <v>505</v>
      </c>
      <c r="G52" s="147">
        <v>41</v>
      </c>
      <c r="H52" s="148">
        <v>22</v>
      </c>
      <c r="I52" s="149">
        <f t="shared" si="0"/>
        <v>902</v>
      </c>
      <c r="J52" s="150" t="s">
        <v>466</v>
      </c>
      <c r="K52" s="151">
        <v>19.844000000000001</v>
      </c>
      <c r="L52">
        <f>Table13[[#This Row],[Price]]*Table13[[#This Row],[Units]]</f>
        <v>902</v>
      </c>
    </row>
    <row r="53" spans="1:12" x14ac:dyDescent="0.35">
      <c r="A53" s="145">
        <v>45581</v>
      </c>
      <c r="B53" s="146" t="s">
        <v>556</v>
      </c>
      <c r="C53" s="147" t="s">
        <v>464</v>
      </c>
      <c r="D53" s="147" t="s">
        <v>465</v>
      </c>
      <c r="E53" s="147" t="s">
        <v>333</v>
      </c>
      <c r="F53" s="147" t="s">
        <v>487</v>
      </c>
      <c r="G53" s="147">
        <v>19</v>
      </c>
      <c r="H53" s="148">
        <v>58</v>
      </c>
      <c r="I53" s="149">
        <f t="shared" si="0"/>
        <v>1102</v>
      </c>
      <c r="J53" s="150" t="s">
        <v>466</v>
      </c>
      <c r="K53" s="151">
        <v>25.346</v>
      </c>
      <c r="L53">
        <f>Table13[[#This Row],[Price]]*Table13[[#This Row],[Units]]</f>
        <v>1102</v>
      </c>
    </row>
    <row r="54" spans="1:12" x14ac:dyDescent="0.35">
      <c r="A54" s="145">
        <v>45581</v>
      </c>
      <c r="B54" s="146" t="s">
        <v>557</v>
      </c>
      <c r="C54" s="147" t="s">
        <v>494</v>
      </c>
      <c r="D54" s="147" t="s">
        <v>519</v>
      </c>
      <c r="E54" s="147" t="s">
        <v>483</v>
      </c>
      <c r="F54" s="147" t="s">
        <v>528</v>
      </c>
      <c r="G54" s="147">
        <v>10</v>
      </c>
      <c r="H54" s="148">
        <v>23</v>
      </c>
      <c r="I54" s="149">
        <f t="shared" si="0"/>
        <v>230</v>
      </c>
      <c r="J54" s="150" t="s">
        <v>466</v>
      </c>
      <c r="K54" s="151">
        <v>5.29</v>
      </c>
      <c r="L54">
        <f>Table13[[#This Row],[Price]]*Table13[[#This Row],[Units]]</f>
        <v>230</v>
      </c>
    </row>
    <row r="55" spans="1:12" x14ac:dyDescent="0.35">
      <c r="A55" s="145">
        <v>45581</v>
      </c>
      <c r="B55" s="146" t="s">
        <v>558</v>
      </c>
      <c r="C55" s="147" t="s">
        <v>501</v>
      </c>
      <c r="D55" s="147" t="s">
        <v>477</v>
      </c>
      <c r="E55" s="147" t="s">
        <v>390</v>
      </c>
      <c r="F55" s="147" t="s">
        <v>536</v>
      </c>
      <c r="G55" s="147">
        <v>17</v>
      </c>
      <c r="H55" s="148">
        <v>56</v>
      </c>
      <c r="I55" s="149">
        <f t="shared" si="0"/>
        <v>952</v>
      </c>
      <c r="J55" s="150" t="s">
        <v>466</v>
      </c>
      <c r="K55" s="151">
        <v>23.8</v>
      </c>
      <c r="L55">
        <f>Table13[[#This Row],[Price]]*Table13[[#This Row],[Units]]</f>
        <v>952</v>
      </c>
    </row>
    <row r="56" spans="1:12" x14ac:dyDescent="0.35">
      <c r="A56" s="145">
        <v>45581</v>
      </c>
      <c r="B56" s="146" t="s">
        <v>559</v>
      </c>
      <c r="C56" s="147" t="s">
        <v>489</v>
      </c>
      <c r="D56" s="147" t="s">
        <v>512</v>
      </c>
      <c r="E56" s="147" t="s">
        <v>315</v>
      </c>
      <c r="F56" s="147" t="s">
        <v>513</v>
      </c>
      <c r="G56" s="147">
        <v>49</v>
      </c>
      <c r="H56" s="148">
        <v>24</v>
      </c>
      <c r="I56" s="149">
        <f t="shared" si="0"/>
        <v>1176</v>
      </c>
      <c r="J56" s="150" t="s">
        <v>466</v>
      </c>
      <c r="K56" s="151">
        <v>32.927999999999997</v>
      </c>
      <c r="L56">
        <f>Table13[[#This Row],[Price]]*Table13[[#This Row],[Units]]</f>
        <v>1176</v>
      </c>
    </row>
    <row r="57" spans="1:12" x14ac:dyDescent="0.35">
      <c r="A57" s="145">
        <v>45581</v>
      </c>
      <c r="B57" s="146" t="s">
        <v>560</v>
      </c>
      <c r="C57" s="147" t="s">
        <v>484</v>
      </c>
      <c r="D57" s="147" t="s">
        <v>477</v>
      </c>
      <c r="E57" s="147" t="s">
        <v>333</v>
      </c>
      <c r="F57" s="147" t="s">
        <v>454</v>
      </c>
      <c r="G57" s="147">
        <v>18</v>
      </c>
      <c r="H57" s="148">
        <v>58</v>
      </c>
      <c r="I57" s="149">
        <f t="shared" si="0"/>
        <v>1044</v>
      </c>
      <c r="J57" s="150" t="s">
        <v>466</v>
      </c>
      <c r="K57" s="151">
        <v>22.968</v>
      </c>
      <c r="L57">
        <f>Table13[[#This Row],[Price]]*Table13[[#This Row],[Units]]</f>
        <v>1044</v>
      </c>
    </row>
    <row r="58" spans="1:12" x14ac:dyDescent="0.35">
      <c r="A58" s="145">
        <v>45581</v>
      </c>
      <c r="B58" s="146" t="s">
        <v>561</v>
      </c>
      <c r="C58" s="147" t="s">
        <v>484</v>
      </c>
      <c r="D58" s="147" t="s">
        <v>486</v>
      </c>
      <c r="E58" s="147" t="s">
        <v>390</v>
      </c>
      <c r="F58" s="147" t="s">
        <v>517</v>
      </c>
      <c r="G58" s="147">
        <v>11</v>
      </c>
      <c r="H58" s="148">
        <v>21</v>
      </c>
      <c r="I58" s="149">
        <f t="shared" si="0"/>
        <v>231</v>
      </c>
      <c r="J58" s="150" t="s">
        <v>466</v>
      </c>
      <c r="K58" s="151">
        <v>5.3129999999999997</v>
      </c>
      <c r="L58">
        <f>Table13[[#This Row],[Price]]*Table13[[#This Row],[Units]]</f>
        <v>231</v>
      </c>
    </row>
    <row r="59" spans="1:12" x14ac:dyDescent="0.35">
      <c r="A59" s="145">
        <v>45581</v>
      </c>
      <c r="B59" s="146" t="s">
        <v>562</v>
      </c>
      <c r="C59" s="147" t="s">
        <v>322</v>
      </c>
      <c r="D59" s="147" t="s">
        <v>486</v>
      </c>
      <c r="E59" s="147" t="s">
        <v>333</v>
      </c>
      <c r="F59" s="147" t="s">
        <v>491</v>
      </c>
      <c r="G59" s="147">
        <v>56</v>
      </c>
      <c r="H59" s="148">
        <v>31</v>
      </c>
      <c r="I59" s="149">
        <f t="shared" si="0"/>
        <v>1736</v>
      </c>
      <c r="J59" s="150" t="s">
        <v>466</v>
      </c>
      <c r="K59" s="151">
        <v>41.664000000000001</v>
      </c>
      <c r="L59">
        <f>Table13[[#This Row],[Price]]*Table13[[#This Row],[Units]]</f>
        <v>1736</v>
      </c>
    </row>
    <row r="60" spans="1:12" x14ac:dyDescent="0.35">
      <c r="A60" s="145">
        <v>45582</v>
      </c>
      <c r="B60" s="146" t="s">
        <v>563</v>
      </c>
      <c r="C60" s="147" t="s">
        <v>492</v>
      </c>
      <c r="D60" s="147" t="s">
        <v>519</v>
      </c>
      <c r="E60" s="147" t="s">
        <v>390</v>
      </c>
      <c r="F60" s="147" t="s">
        <v>520</v>
      </c>
      <c r="G60" s="147">
        <v>33</v>
      </c>
      <c r="H60" s="148">
        <v>58</v>
      </c>
      <c r="I60" s="149">
        <f t="shared" si="0"/>
        <v>1914</v>
      </c>
      <c r="J60" s="150" t="s">
        <v>466</v>
      </c>
      <c r="K60" s="151">
        <v>57.42</v>
      </c>
      <c r="L60">
        <f>Table13[[#This Row],[Price]]*Table13[[#This Row],[Units]]</f>
        <v>1914</v>
      </c>
    </row>
    <row r="61" spans="1:12" x14ac:dyDescent="0.35">
      <c r="A61" s="145">
        <v>45582</v>
      </c>
      <c r="B61" s="146" t="s">
        <v>564</v>
      </c>
      <c r="C61" s="147" t="s">
        <v>469</v>
      </c>
      <c r="D61" s="147" t="s">
        <v>490</v>
      </c>
      <c r="E61" s="147" t="s">
        <v>315</v>
      </c>
      <c r="F61" s="147" t="s">
        <v>491</v>
      </c>
      <c r="G61" s="147">
        <v>17</v>
      </c>
      <c r="H61" s="148">
        <v>26</v>
      </c>
      <c r="I61" s="149">
        <f t="shared" si="0"/>
        <v>442</v>
      </c>
      <c r="J61" s="150" t="s">
        <v>466</v>
      </c>
      <c r="K61" s="151">
        <v>10.166</v>
      </c>
      <c r="L61">
        <f>Table13[[#This Row],[Price]]*Table13[[#This Row],[Units]]</f>
        <v>442</v>
      </c>
    </row>
    <row r="62" spans="1:12" x14ac:dyDescent="0.35">
      <c r="A62" s="145">
        <v>45582</v>
      </c>
      <c r="B62" s="146" t="s">
        <v>565</v>
      </c>
      <c r="C62" s="147" t="s">
        <v>484</v>
      </c>
      <c r="D62" s="147" t="s">
        <v>477</v>
      </c>
      <c r="E62" s="147" t="s">
        <v>483</v>
      </c>
      <c r="F62" s="147" t="s">
        <v>513</v>
      </c>
      <c r="G62" s="147">
        <v>58</v>
      </c>
      <c r="H62" s="148">
        <v>47</v>
      </c>
      <c r="I62" s="149">
        <f t="shared" si="0"/>
        <v>2726</v>
      </c>
      <c r="J62" s="150" t="s">
        <v>515</v>
      </c>
      <c r="K62" s="151">
        <v>68.150000000000006</v>
      </c>
      <c r="L62">
        <f>Table13[[#This Row],[Price]]*Table13[[#This Row],[Units]]</f>
        <v>2726</v>
      </c>
    </row>
    <row r="63" spans="1:12" x14ac:dyDescent="0.35">
      <c r="A63" s="145">
        <v>45582</v>
      </c>
      <c r="B63" s="146" t="s">
        <v>566</v>
      </c>
      <c r="C63" s="147" t="s">
        <v>492</v>
      </c>
      <c r="D63" s="147" t="s">
        <v>470</v>
      </c>
      <c r="E63" s="147" t="s">
        <v>390</v>
      </c>
      <c r="F63" s="147" t="s">
        <v>567</v>
      </c>
      <c r="G63" s="147">
        <v>16</v>
      </c>
      <c r="H63" s="148">
        <v>60</v>
      </c>
      <c r="I63" s="149">
        <f t="shared" si="0"/>
        <v>960</v>
      </c>
      <c r="J63" s="150" t="s">
        <v>503</v>
      </c>
      <c r="K63" s="151">
        <v>20.16</v>
      </c>
      <c r="L63">
        <f>Table13[[#This Row],[Price]]*Table13[[#This Row],[Units]]</f>
        <v>960</v>
      </c>
    </row>
    <row r="64" spans="1:12" x14ac:dyDescent="0.35">
      <c r="A64" s="145">
        <v>45582</v>
      </c>
      <c r="B64" s="146" t="s">
        <v>568</v>
      </c>
      <c r="C64" s="147" t="s">
        <v>492</v>
      </c>
      <c r="D64" s="147" t="s">
        <v>470</v>
      </c>
      <c r="E64" s="147" t="s">
        <v>320</v>
      </c>
      <c r="F64" s="147" t="s">
        <v>528</v>
      </c>
      <c r="G64" s="147">
        <v>47</v>
      </c>
      <c r="H64" s="148">
        <v>38</v>
      </c>
      <c r="I64" s="149">
        <f t="shared" si="0"/>
        <v>1786</v>
      </c>
      <c r="J64" s="150" t="s">
        <v>466</v>
      </c>
      <c r="K64" s="151">
        <v>48.222000000000001</v>
      </c>
      <c r="L64">
        <f>Table13[[#This Row],[Price]]*Table13[[#This Row],[Units]]</f>
        <v>1786</v>
      </c>
    </row>
    <row r="65" spans="1:12" x14ac:dyDescent="0.35">
      <c r="A65" s="145">
        <v>45582</v>
      </c>
      <c r="B65" s="146" t="s">
        <v>569</v>
      </c>
      <c r="C65" s="147" t="s">
        <v>494</v>
      </c>
      <c r="D65" s="147" t="s">
        <v>470</v>
      </c>
      <c r="E65" s="147" t="s">
        <v>315</v>
      </c>
      <c r="F65" s="147" t="s">
        <v>497</v>
      </c>
      <c r="G65" s="147">
        <v>20</v>
      </c>
      <c r="H65" s="148">
        <v>52</v>
      </c>
      <c r="I65" s="149">
        <f t="shared" si="0"/>
        <v>1040</v>
      </c>
      <c r="J65" s="150" t="s">
        <v>515</v>
      </c>
      <c r="K65" s="151">
        <v>22.88</v>
      </c>
      <c r="L65">
        <f>Table13[[#This Row],[Price]]*Table13[[#This Row],[Units]]</f>
        <v>1040</v>
      </c>
    </row>
    <row r="66" spans="1:12" x14ac:dyDescent="0.35">
      <c r="A66" s="145">
        <v>45582</v>
      </c>
      <c r="B66" s="146" t="s">
        <v>570</v>
      </c>
      <c r="C66" s="147" t="s">
        <v>494</v>
      </c>
      <c r="D66" s="147" t="s">
        <v>490</v>
      </c>
      <c r="E66" s="147" t="s">
        <v>333</v>
      </c>
      <c r="F66" s="147" t="s">
        <v>505</v>
      </c>
      <c r="G66" s="147">
        <v>50</v>
      </c>
      <c r="H66" s="148">
        <v>48</v>
      </c>
      <c r="I66" s="149">
        <f t="shared" si="0"/>
        <v>2400</v>
      </c>
      <c r="J66" s="150" t="s">
        <v>466</v>
      </c>
      <c r="K66" s="151">
        <v>64.8</v>
      </c>
      <c r="L66">
        <f>Table13[[#This Row],[Price]]*Table13[[#This Row],[Units]]</f>
        <v>2400</v>
      </c>
    </row>
    <row r="67" spans="1:12" x14ac:dyDescent="0.35">
      <c r="A67" s="145">
        <v>45582</v>
      </c>
      <c r="B67" s="146" t="s">
        <v>571</v>
      </c>
      <c r="C67" s="147" t="s">
        <v>322</v>
      </c>
      <c r="D67" s="147" t="s">
        <v>519</v>
      </c>
      <c r="E67" s="147" t="s">
        <v>315</v>
      </c>
      <c r="F67" s="147" t="s">
        <v>471</v>
      </c>
      <c r="G67" s="147">
        <v>21</v>
      </c>
      <c r="H67" s="148">
        <v>24</v>
      </c>
      <c r="I67" s="149">
        <f t="shared" ref="I67:I130" si="1">G67*H67</f>
        <v>504</v>
      </c>
      <c r="J67" s="150" t="s">
        <v>515</v>
      </c>
      <c r="K67" s="151">
        <v>15.12</v>
      </c>
      <c r="L67">
        <f>Table13[[#This Row],[Price]]*Table13[[#This Row],[Units]]</f>
        <v>504</v>
      </c>
    </row>
    <row r="68" spans="1:12" x14ac:dyDescent="0.35">
      <c r="A68" s="145">
        <v>45582</v>
      </c>
      <c r="B68" s="146" t="s">
        <v>572</v>
      </c>
      <c r="C68" s="147" t="s">
        <v>494</v>
      </c>
      <c r="D68" s="147" t="s">
        <v>490</v>
      </c>
      <c r="E68" s="147" t="s">
        <v>324</v>
      </c>
      <c r="F68" s="147" t="s">
        <v>478</v>
      </c>
      <c r="G68" s="147">
        <v>22</v>
      </c>
      <c r="H68" s="148">
        <v>41</v>
      </c>
      <c r="I68" s="149">
        <f t="shared" si="1"/>
        <v>902</v>
      </c>
      <c r="J68" s="150" t="s">
        <v>466</v>
      </c>
      <c r="K68" s="151">
        <v>22.55</v>
      </c>
      <c r="L68">
        <f>Table13[[#This Row],[Price]]*Table13[[#This Row],[Units]]</f>
        <v>902</v>
      </c>
    </row>
    <row r="69" spans="1:12" x14ac:dyDescent="0.35">
      <c r="A69" s="145">
        <v>45582</v>
      </c>
      <c r="B69" s="146" t="s">
        <v>573</v>
      </c>
      <c r="C69" s="147" t="s">
        <v>322</v>
      </c>
      <c r="D69" s="147" t="s">
        <v>519</v>
      </c>
      <c r="E69" s="147" t="s">
        <v>320</v>
      </c>
      <c r="F69" s="147" t="s">
        <v>536</v>
      </c>
      <c r="G69" s="147">
        <v>34</v>
      </c>
      <c r="H69" s="148">
        <v>57</v>
      </c>
      <c r="I69" s="149">
        <f t="shared" si="1"/>
        <v>1938</v>
      </c>
      <c r="J69" s="150" t="s">
        <v>503</v>
      </c>
      <c r="K69" s="151">
        <v>50.387999999999998</v>
      </c>
      <c r="L69">
        <f>Table13[[#This Row],[Price]]*Table13[[#This Row],[Units]]</f>
        <v>1938</v>
      </c>
    </row>
    <row r="70" spans="1:12" x14ac:dyDescent="0.35">
      <c r="A70" s="145">
        <v>45582</v>
      </c>
      <c r="B70" s="146" t="s">
        <v>574</v>
      </c>
      <c r="C70" s="147" t="s">
        <v>484</v>
      </c>
      <c r="D70" s="147" t="s">
        <v>486</v>
      </c>
      <c r="E70" s="147" t="s">
        <v>483</v>
      </c>
      <c r="F70" s="147" t="s">
        <v>536</v>
      </c>
      <c r="G70" s="147">
        <v>56</v>
      </c>
      <c r="H70" s="148">
        <v>52</v>
      </c>
      <c r="I70" s="149">
        <f t="shared" si="1"/>
        <v>2912</v>
      </c>
      <c r="J70" s="150" t="s">
        <v>466</v>
      </c>
      <c r="K70" s="151">
        <v>87.36</v>
      </c>
      <c r="L70">
        <f>Table13[[#This Row],[Price]]*Table13[[#This Row],[Units]]</f>
        <v>2912</v>
      </c>
    </row>
    <row r="71" spans="1:12" x14ac:dyDescent="0.35">
      <c r="A71" s="145">
        <v>45582</v>
      </c>
      <c r="B71" s="146" t="s">
        <v>575</v>
      </c>
      <c r="C71" s="147" t="s">
        <v>322</v>
      </c>
      <c r="D71" s="147" t="s">
        <v>519</v>
      </c>
      <c r="E71" s="147" t="s">
        <v>390</v>
      </c>
      <c r="F71" s="147" t="s">
        <v>523</v>
      </c>
      <c r="G71" s="147">
        <v>44</v>
      </c>
      <c r="H71" s="148">
        <v>44</v>
      </c>
      <c r="I71" s="149">
        <f t="shared" si="1"/>
        <v>1936</v>
      </c>
      <c r="J71" s="150" t="s">
        <v>515</v>
      </c>
      <c r="K71" s="151">
        <v>46.463999999999999</v>
      </c>
      <c r="L71">
        <f>Table13[[#This Row],[Price]]*Table13[[#This Row],[Units]]</f>
        <v>1936</v>
      </c>
    </row>
    <row r="72" spans="1:12" x14ac:dyDescent="0.35">
      <c r="A72" s="145">
        <v>45582</v>
      </c>
      <c r="B72" s="146" t="s">
        <v>576</v>
      </c>
      <c r="C72" s="147" t="s">
        <v>494</v>
      </c>
      <c r="D72" s="147" t="s">
        <v>512</v>
      </c>
      <c r="E72" s="147" t="s">
        <v>333</v>
      </c>
      <c r="F72" s="147" t="s">
        <v>520</v>
      </c>
      <c r="G72" s="147">
        <v>21</v>
      </c>
      <c r="H72" s="148">
        <v>44</v>
      </c>
      <c r="I72" s="149">
        <f t="shared" si="1"/>
        <v>924</v>
      </c>
      <c r="J72" s="150" t="s">
        <v>466</v>
      </c>
      <c r="K72" s="151">
        <v>24.948</v>
      </c>
      <c r="L72">
        <f>Table13[[#This Row],[Price]]*Table13[[#This Row],[Units]]</f>
        <v>924</v>
      </c>
    </row>
    <row r="73" spans="1:12" x14ac:dyDescent="0.35">
      <c r="A73" s="145">
        <v>45582</v>
      </c>
      <c r="B73" s="146" t="s">
        <v>577</v>
      </c>
      <c r="C73" s="147" t="s">
        <v>464</v>
      </c>
      <c r="D73" s="147" t="s">
        <v>490</v>
      </c>
      <c r="E73" s="147" t="s">
        <v>324</v>
      </c>
      <c r="F73" s="147" t="s">
        <v>454</v>
      </c>
      <c r="G73" s="147">
        <v>31</v>
      </c>
      <c r="H73" s="148">
        <v>29</v>
      </c>
      <c r="I73" s="149">
        <f t="shared" si="1"/>
        <v>899</v>
      </c>
      <c r="J73" s="150" t="s">
        <v>466</v>
      </c>
      <c r="K73" s="151">
        <v>22.475000000000001</v>
      </c>
      <c r="L73">
        <f>Table13[[#This Row],[Price]]*Table13[[#This Row],[Units]]</f>
        <v>899</v>
      </c>
    </row>
    <row r="74" spans="1:12" x14ac:dyDescent="0.35">
      <c r="A74" s="145">
        <v>45582</v>
      </c>
      <c r="B74" s="146" t="s">
        <v>578</v>
      </c>
      <c r="C74" s="147" t="s">
        <v>464</v>
      </c>
      <c r="D74" s="147" t="s">
        <v>477</v>
      </c>
      <c r="E74" s="147" t="s">
        <v>320</v>
      </c>
      <c r="F74" s="147" t="s">
        <v>497</v>
      </c>
      <c r="G74" s="147">
        <v>33</v>
      </c>
      <c r="H74" s="148">
        <v>35</v>
      </c>
      <c r="I74" s="149">
        <f t="shared" si="1"/>
        <v>1155</v>
      </c>
      <c r="J74" s="150" t="s">
        <v>472</v>
      </c>
      <c r="K74" s="151">
        <v>30.03</v>
      </c>
      <c r="L74">
        <f>Table13[[#This Row],[Price]]*Table13[[#This Row],[Units]]</f>
        <v>1155</v>
      </c>
    </row>
    <row r="75" spans="1:12" x14ac:dyDescent="0.35">
      <c r="A75" s="145">
        <v>45582</v>
      </c>
      <c r="B75" s="146" t="s">
        <v>579</v>
      </c>
      <c r="C75" s="147" t="s">
        <v>469</v>
      </c>
      <c r="D75" s="147" t="s">
        <v>477</v>
      </c>
      <c r="E75" s="147" t="s">
        <v>324</v>
      </c>
      <c r="F75" s="147" t="s">
        <v>510</v>
      </c>
      <c r="G75" s="147">
        <v>51</v>
      </c>
      <c r="H75" s="148">
        <v>60</v>
      </c>
      <c r="I75" s="149">
        <f t="shared" si="1"/>
        <v>3060</v>
      </c>
      <c r="J75" s="150" t="s">
        <v>466</v>
      </c>
      <c r="K75" s="151">
        <v>70.38</v>
      </c>
      <c r="L75">
        <f>Table13[[#This Row],[Price]]*Table13[[#This Row],[Units]]</f>
        <v>3060</v>
      </c>
    </row>
    <row r="76" spans="1:12" x14ac:dyDescent="0.35">
      <c r="A76" s="145">
        <v>45582</v>
      </c>
      <c r="B76" s="146" t="s">
        <v>580</v>
      </c>
      <c r="C76" s="147" t="s">
        <v>492</v>
      </c>
      <c r="D76" s="147" t="s">
        <v>470</v>
      </c>
      <c r="E76" s="147" t="s">
        <v>333</v>
      </c>
      <c r="F76" s="147" t="s">
        <v>505</v>
      </c>
      <c r="G76" s="147">
        <v>39</v>
      </c>
      <c r="H76" s="148">
        <v>58</v>
      </c>
      <c r="I76" s="149">
        <f t="shared" si="1"/>
        <v>2262</v>
      </c>
      <c r="J76" s="150" t="s">
        <v>515</v>
      </c>
      <c r="K76" s="151">
        <v>47.502000000000002</v>
      </c>
      <c r="L76">
        <f>Table13[[#This Row],[Price]]*Table13[[#This Row],[Units]]</f>
        <v>2262</v>
      </c>
    </row>
    <row r="77" spans="1:12" x14ac:dyDescent="0.35">
      <c r="A77" s="145">
        <v>45582</v>
      </c>
      <c r="B77" s="146" t="s">
        <v>581</v>
      </c>
      <c r="C77" s="147" t="s">
        <v>322</v>
      </c>
      <c r="D77" s="147" t="s">
        <v>470</v>
      </c>
      <c r="E77" s="147" t="s">
        <v>324</v>
      </c>
      <c r="F77" s="147" t="s">
        <v>471</v>
      </c>
      <c r="G77" s="147">
        <v>45</v>
      </c>
      <c r="H77" s="148">
        <v>53</v>
      </c>
      <c r="I77" s="149">
        <f t="shared" si="1"/>
        <v>2385</v>
      </c>
      <c r="J77" s="150" t="s">
        <v>472</v>
      </c>
      <c r="K77" s="151">
        <v>62.01</v>
      </c>
      <c r="L77">
        <f>Table13[[#This Row],[Price]]*Table13[[#This Row],[Units]]</f>
        <v>2385</v>
      </c>
    </row>
    <row r="78" spans="1:12" x14ac:dyDescent="0.35">
      <c r="A78" s="145">
        <v>45582</v>
      </c>
      <c r="B78" s="146" t="s">
        <v>582</v>
      </c>
      <c r="C78" s="147" t="s">
        <v>489</v>
      </c>
      <c r="D78" s="147" t="s">
        <v>512</v>
      </c>
      <c r="E78" s="147" t="s">
        <v>324</v>
      </c>
      <c r="F78" s="147" t="s">
        <v>536</v>
      </c>
      <c r="G78" s="147">
        <v>18</v>
      </c>
      <c r="H78" s="148">
        <v>36</v>
      </c>
      <c r="I78" s="149">
        <f t="shared" si="1"/>
        <v>648</v>
      </c>
      <c r="J78" s="150" t="s">
        <v>472</v>
      </c>
      <c r="K78" s="151">
        <v>16.2</v>
      </c>
      <c r="L78">
        <f>Table13[[#This Row],[Price]]*Table13[[#This Row],[Units]]</f>
        <v>648</v>
      </c>
    </row>
    <row r="79" spans="1:12" x14ac:dyDescent="0.35">
      <c r="A79" s="145">
        <v>45582</v>
      </c>
      <c r="B79" s="146" t="s">
        <v>583</v>
      </c>
      <c r="C79" s="147" t="s">
        <v>492</v>
      </c>
      <c r="D79" s="147" t="s">
        <v>486</v>
      </c>
      <c r="E79" s="147" t="s">
        <v>483</v>
      </c>
      <c r="F79" s="147" t="s">
        <v>487</v>
      </c>
      <c r="G79" s="147">
        <v>36</v>
      </c>
      <c r="H79" s="148">
        <v>46</v>
      </c>
      <c r="I79" s="149">
        <f t="shared" si="1"/>
        <v>1656</v>
      </c>
      <c r="J79" s="150" t="s">
        <v>466</v>
      </c>
      <c r="K79" s="151">
        <v>46.368000000000002</v>
      </c>
      <c r="L79">
        <f>Table13[[#This Row],[Price]]*Table13[[#This Row],[Units]]</f>
        <v>1656</v>
      </c>
    </row>
    <row r="80" spans="1:12" x14ac:dyDescent="0.35">
      <c r="A80" s="145">
        <v>45582</v>
      </c>
      <c r="B80" s="146" t="s">
        <v>584</v>
      </c>
      <c r="C80" s="147" t="s">
        <v>484</v>
      </c>
      <c r="D80" s="147" t="s">
        <v>512</v>
      </c>
      <c r="E80" s="147" t="s">
        <v>320</v>
      </c>
      <c r="F80" s="147" t="s">
        <v>471</v>
      </c>
      <c r="G80" s="147">
        <v>50</v>
      </c>
      <c r="H80" s="148">
        <v>37</v>
      </c>
      <c r="I80" s="149">
        <f t="shared" si="1"/>
        <v>1850</v>
      </c>
      <c r="J80" s="150" t="s">
        <v>515</v>
      </c>
      <c r="K80" s="151">
        <v>44.4</v>
      </c>
      <c r="L80">
        <f>Table13[[#This Row],[Price]]*Table13[[#This Row],[Units]]</f>
        <v>1850</v>
      </c>
    </row>
    <row r="81" spans="1:12" x14ac:dyDescent="0.35">
      <c r="A81" s="145">
        <v>45582</v>
      </c>
      <c r="B81" s="146" t="s">
        <v>585</v>
      </c>
      <c r="C81" s="147" t="s">
        <v>322</v>
      </c>
      <c r="D81" s="147" t="s">
        <v>512</v>
      </c>
      <c r="E81" s="147" t="s">
        <v>483</v>
      </c>
      <c r="F81" s="147" t="s">
        <v>478</v>
      </c>
      <c r="G81" s="147">
        <v>53</v>
      </c>
      <c r="H81" s="148">
        <v>55</v>
      </c>
      <c r="I81" s="149">
        <f t="shared" si="1"/>
        <v>2915</v>
      </c>
      <c r="J81" s="150" t="s">
        <v>515</v>
      </c>
      <c r="K81" s="151">
        <v>72.875</v>
      </c>
      <c r="L81">
        <f>Table13[[#This Row],[Price]]*Table13[[#This Row],[Units]]</f>
        <v>2915</v>
      </c>
    </row>
    <row r="82" spans="1:12" x14ac:dyDescent="0.35">
      <c r="A82" s="145">
        <v>45583</v>
      </c>
      <c r="B82" s="146" t="s">
        <v>586</v>
      </c>
      <c r="C82" s="147" t="s">
        <v>476</v>
      </c>
      <c r="D82" s="147" t="s">
        <v>486</v>
      </c>
      <c r="E82" s="147" t="s">
        <v>333</v>
      </c>
      <c r="F82" s="147" t="s">
        <v>487</v>
      </c>
      <c r="G82" s="147">
        <v>22</v>
      </c>
      <c r="H82" s="148">
        <v>34</v>
      </c>
      <c r="I82" s="149">
        <f t="shared" si="1"/>
        <v>748</v>
      </c>
      <c r="J82" s="150" t="s">
        <v>472</v>
      </c>
      <c r="K82" s="151">
        <v>22.44</v>
      </c>
      <c r="L82">
        <f>Table13[[#This Row],[Price]]*Table13[[#This Row],[Units]]</f>
        <v>748</v>
      </c>
    </row>
    <row r="83" spans="1:12" x14ac:dyDescent="0.35">
      <c r="A83" s="145">
        <v>45584</v>
      </c>
      <c r="B83" s="146" t="s">
        <v>587</v>
      </c>
      <c r="C83" s="147" t="s">
        <v>322</v>
      </c>
      <c r="D83" s="147" t="s">
        <v>512</v>
      </c>
      <c r="E83" s="147" t="s">
        <v>483</v>
      </c>
      <c r="F83" s="147" t="s">
        <v>497</v>
      </c>
      <c r="G83" s="147">
        <v>53</v>
      </c>
      <c r="H83" s="148">
        <v>44</v>
      </c>
      <c r="I83" s="149">
        <f t="shared" si="1"/>
        <v>2332</v>
      </c>
      <c r="J83" s="150" t="s">
        <v>503</v>
      </c>
      <c r="K83" s="151">
        <v>58.3</v>
      </c>
      <c r="L83">
        <f>Table13[[#This Row],[Price]]*Table13[[#This Row],[Units]]</f>
        <v>2332</v>
      </c>
    </row>
    <row r="84" spans="1:12" x14ac:dyDescent="0.35">
      <c r="A84" s="145">
        <v>45584</v>
      </c>
      <c r="B84" s="146" t="s">
        <v>588</v>
      </c>
      <c r="C84" s="147" t="s">
        <v>476</v>
      </c>
      <c r="D84" s="147" t="s">
        <v>490</v>
      </c>
      <c r="E84" s="147" t="s">
        <v>320</v>
      </c>
      <c r="F84" s="147" t="s">
        <v>539</v>
      </c>
      <c r="G84" s="147">
        <v>10</v>
      </c>
      <c r="H84" s="148">
        <v>36</v>
      </c>
      <c r="I84" s="149">
        <f t="shared" si="1"/>
        <v>360</v>
      </c>
      <c r="J84" s="150" t="s">
        <v>466</v>
      </c>
      <c r="K84" s="151">
        <v>8.64</v>
      </c>
      <c r="L84">
        <f>Table13[[#This Row],[Price]]*Table13[[#This Row],[Units]]</f>
        <v>360</v>
      </c>
    </row>
    <row r="85" spans="1:12" x14ac:dyDescent="0.35">
      <c r="A85" s="145">
        <v>45584</v>
      </c>
      <c r="B85" s="146" t="s">
        <v>589</v>
      </c>
      <c r="C85" s="147" t="s">
        <v>494</v>
      </c>
      <c r="D85" s="147" t="s">
        <v>477</v>
      </c>
      <c r="E85" s="147" t="s">
        <v>483</v>
      </c>
      <c r="F85" s="147" t="s">
        <v>539</v>
      </c>
      <c r="G85" s="147">
        <v>43</v>
      </c>
      <c r="H85" s="148">
        <v>34</v>
      </c>
      <c r="I85" s="149">
        <f t="shared" si="1"/>
        <v>1462</v>
      </c>
      <c r="J85" s="150" t="s">
        <v>466</v>
      </c>
      <c r="K85" s="151">
        <v>39.473999999999997</v>
      </c>
      <c r="L85">
        <f>Table13[[#This Row],[Price]]*Table13[[#This Row],[Units]]</f>
        <v>1462</v>
      </c>
    </row>
    <row r="86" spans="1:12" x14ac:dyDescent="0.35">
      <c r="A86" s="145">
        <v>45584</v>
      </c>
      <c r="B86" s="146" t="s">
        <v>590</v>
      </c>
      <c r="C86" s="147" t="s">
        <v>469</v>
      </c>
      <c r="D86" s="147" t="s">
        <v>512</v>
      </c>
      <c r="E86" s="147" t="s">
        <v>315</v>
      </c>
      <c r="F86" s="147" t="s">
        <v>487</v>
      </c>
      <c r="G86" s="147">
        <v>50</v>
      </c>
      <c r="H86" s="148">
        <v>59</v>
      </c>
      <c r="I86" s="149">
        <f t="shared" si="1"/>
        <v>2950</v>
      </c>
      <c r="J86" s="150" t="s">
        <v>466</v>
      </c>
      <c r="K86" s="151">
        <v>64.900000000000006</v>
      </c>
      <c r="L86">
        <f>Table13[[#This Row],[Price]]*Table13[[#This Row],[Units]]</f>
        <v>2950</v>
      </c>
    </row>
    <row r="87" spans="1:12" x14ac:dyDescent="0.35">
      <c r="A87" s="145">
        <v>45584</v>
      </c>
      <c r="B87" s="146" t="s">
        <v>591</v>
      </c>
      <c r="C87" s="147" t="s">
        <v>501</v>
      </c>
      <c r="D87" s="147" t="s">
        <v>477</v>
      </c>
      <c r="E87" s="147" t="s">
        <v>315</v>
      </c>
      <c r="F87" s="147" t="s">
        <v>500</v>
      </c>
      <c r="G87" s="147">
        <v>58</v>
      </c>
      <c r="H87" s="148">
        <v>52</v>
      </c>
      <c r="I87" s="149">
        <f t="shared" si="1"/>
        <v>3016</v>
      </c>
      <c r="J87" s="150" t="s">
        <v>515</v>
      </c>
      <c r="K87" s="151">
        <v>84.447999999999993</v>
      </c>
      <c r="L87">
        <f>Table13[[#This Row],[Price]]*Table13[[#This Row],[Units]]</f>
        <v>3016</v>
      </c>
    </row>
    <row r="88" spans="1:12" x14ac:dyDescent="0.35">
      <c r="A88" s="145">
        <v>45584</v>
      </c>
      <c r="B88" s="146" t="s">
        <v>592</v>
      </c>
      <c r="C88" s="147" t="s">
        <v>494</v>
      </c>
      <c r="D88" s="147" t="s">
        <v>465</v>
      </c>
      <c r="E88" s="147" t="s">
        <v>315</v>
      </c>
      <c r="F88" s="147" t="s">
        <v>523</v>
      </c>
      <c r="G88" s="147">
        <v>11</v>
      </c>
      <c r="H88" s="148">
        <v>28</v>
      </c>
      <c r="I88" s="149">
        <f t="shared" si="1"/>
        <v>308</v>
      </c>
      <c r="J88" s="150" t="s">
        <v>466</v>
      </c>
      <c r="K88" s="151">
        <v>8.3160000000000007</v>
      </c>
      <c r="L88">
        <f>Table13[[#This Row],[Price]]*Table13[[#This Row],[Units]]</f>
        <v>308</v>
      </c>
    </row>
    <row r="89" spans="1:12" x14ac:dyDescent="0.35">
      <c r="A89" s="145">
        <v>45585</v>
      </c>
      <c r="B89" s="146" t="s">
        <v>593</v>
      </c>
      <c r="C89" s="147" t="s">
        <v>501</v>
      </c>
      <c r="D89" s="147" t="s">
        <v>512</v>
      </c>
      <c r="E89" s="147" t="s">
        <v>390</v>
      </c>
      <c r="F89" s="147" t="s">
        <v>505</v>
      </c>
      <c r="G89" s="147">
        <v>28</v>
      </c>
      <c r="H89" s="148">
        <v>22</v>
      </c>
      <c r="I89" s="149">
        <f t="shared" si="1"/>
        <v>616</v>
      </c>
      <c r="J89" s="150" t="s">
        <v>515</v>
      </c>
      <c r="K89" s="151">
        <v>13.552</v>
      </c>
      <c r="L89">
        <f>Table13[[#This Row],[Price]]*Table13[[#This Row],[Units]]</f>
        <v>616</v>
      </c>
    </row>
    <row r="90" spans="1:12" x14ac:dyDescent="0.35">
      <c r="A90" s="145">
        <v>45585</v>
      </c>
      <c r="B90" s="146" t="s">
        <v>594</v>
      </c>
      <c r="C90" s="147" t="s">
        <v>489</v>
      </c>
      <c r="D90" s="147" t="s">
        <v>519</v>
      </c>
      <c r="E90" s="147" t="s">
        <v>483</v>
      </c>
      <c r="F90" s="147" t="s">
        <v>500</v>
      </c>
      <c r="G90" s="147">
        <v>33</v>
      </c>
      <c r="H90" s="148">
        <v>43</v>
      </c>
      <c r="I90" s="149">
        <f t="shared" si="1"/>
        <v>1419</v>
      </c>
      <c r="J90" s="150" t="s">
        <v>515</v>
      </c>
      <c r="K90" s="151">
        <v>42.57</v>
      </c>
      <c r="L90">
        <f>Table13[[#This Row],[Price]]*Table13[[#This Row],[Units]]</f>
        <v>1419</v>
      </c>
    </row>
    <row r="91" spans="1:12" x14ac:dyDescent="0.35">
      <c r="A91" s="145">
        <v>45585</v>
      </c>
      <c r="B91" s="146" t="s">
        <v>595</v>
      </c>
      <c r="C91" s="147" t="s">
        <v>484</v>
      </c>
      <c r="D91" s="147" t="s">
        <v>486</v>
      </c>
      <c r="E91" s="147" t="s">
        <v>483</v>
      </c>
      <c r="F91" s="147" t="s">
        <v>478</v>
      </c>
      <c r="G91" s="147">
        <v>38</v>
      </c>
      <c r="H91" s="148">
        <v>20</v>
      </c>
      <c r="I91" s="149">
        <f t="shared" si="1"/>
        <v>760</v>
      </c>
      <c r="J91" s="150" t="s">
        <v>466</v>
      </c>
      <c r="K91" s="151">
        <v>15.2</v>
      </c>
      <c r="L91">
        <f>Table13[[#This Row],[Price]]*Table13[[#This Row],[Units]]</f>
        <v>760</v>
      </c>
    </row>
    <row r="92" spans="1:12" x14ac:dyDescent="0.35">
      <c r="A92" s="145">
        <v>45586</v>
      </c>
      <c r="B92" s="146" t="s">
        <v>596</v>
      </c>
      <c r="C92" s="147" t="s">
        <v>469</v>
      </c>
      <c r="D92" s="147" t="s">
        <v>519</v>
      </c>
      <c r="E92" s="147" t="s">
        <v>333</v>
      </c>
      <c r="F92" s="147" t="s">
        <v>517</v>
      </c>
      <c r="G92" s="147">
        <v>38</v>
      </c>
      <c r="H92" s="148">
        <v>24</v>
      </c>
      <c r="I92" s="149">
        <f t="shared" si="1"/>
        <v>912</v>
      </c>
      <c r="J92" s="150" t="s">
        <v>515</v>
      </c>
      <c r="K92" s="151">
        <v>24.623999999999999</v>
      </c>
      <c r="L92">
        <f>Table13[[#This Row],[Price]]*Table13[[#This Row],[Units]]</f>
        <v>912</v>
      </c>
    </row>
    <row r="93" spans="1:12" x14ac:dyDescent="0.35">
      <c r="A93" s="145">
        <v>45586</v>
      </c>
      <c r="B93" s="146" t="s">
        <v>597</v>
      </c>
      <c r="C93" s="147" t="s">
        <v>492</v>
      </c>
      <c r="D93" s="147" t="s">
        <v>477</v>
      </c>
      <c r="E93" s="147" t="s">
        <v>315</v>
      </c>
      <c r="F93" s="147" t="s">
        <v>520</v>
      </c>
      <c r="G93" s="147">
        <v>22</v>
      </c>
      <c r="H93" s="148">
        <v>51</v>
      </c>
      <c r="I93" s="149">
        <f t="shared" si="1"/>
        <v>1122</v>
      </c>
      <c r="J93" s="150" t="s">
        <v>503</v>
      </c>
      <c r="K93" s="151">
        <v>23.562000000000001</v>
      </c>
      <c r="L93">
        <f>Table13[[#This Row],[Price]]*Table13[[#This Row],[Units]]</f>
        <v>1122</v>
      </c>
    </row>
    <row r="94" spans="1:12" x14ac:dyDescent="0.35">
      <c r="A94" s="145">
        <v>45586</v>
      </c>
      <c r="B94" s="146" t="s">
        <v>598</v>
      </c>
      <c r="C94" s="147" t="s">
        <v>492</v>
      </c>
      <c r="D94" s="147" t="s">
        <v>490</v>
      </c>
      <c r="E94" s="147" t="s">
        <v>315</v>
      </c>
      <c r="F94" s="147" t="s">
        <v>510</v>
      </c>
      <c r="G94" s="147">
        <v>16</v>
      </c>
      <c r="H94" s="148">
        <v>46</v>
      </c>
      <c r="I94" s="149">
        <f t="shared" si="1"/>
        <v>736</v>
      </c>
      <c r="J94" s="150" t="s">
        <v>472</v>
      </c>
      <c r="K94" s="151">
        <v>15.456</v>
      </c>
      <c r="L94">
        <f>Table13[[#This Row],[Price]]*Table13[[#This Row],[Units]]</f>
        <v>736</v>
      </c>
    </row>
    <row r="95" spans="1:12" x14ac:dyDescent="0.35">
      <c r="A95" s="145">
        <v>45586</v>
      </c>
      <c r="B95" s="146" t="s">
        <v>599</v>
      </c>
      <c r="C95" s="147" t="s">
        <v>501</v>
      </c>
      <c r="D95" s="147" t="s">
        <v>519</v>
      </c>
      <c r="E95" s="147" t="s">
        <v>315</v>
      </c>
      <c r="F95" s="147" t="s">
        <v>536</v>
      </c>
      <c r="G95" s="147">
        <v>46</v>
      </c>
      <c r="H95" s="148">
        <v>44</v>
      </c>
      <c r="I95" s="149">
        <f t="shared" si="1"/>
        <v>2024</v>
      </c>
      <c r="J95" s="150" t="s">
        <v>466</v>
      </c>
      <c r="K95" s="151">
        <v>60.72</v>
      </c>
      <c r="L95">
        <f>Table13[[#This Row],[Price]]*Table13[[#This Row],[Units]]</f>
        <v>2024</v>
      </c>
    </row>
    <row r="96" spans="1:12" x14ac:dyDescent="0.35">
      <c r="A96" s="145">
        <v>45587</v>
      </c>
      <c r="B96" s="146" t="s">
        <v>600</v>
      </c>
      <c r="C96" s="147" t="s">
        <v>476</v>
      </c>
      <c r="D96" s="147" t="s">
        <v>512</v>
      </c>
      <c r="E96" s="147" t="s">
        <v>320</v>
      </c>
      <c r="F96" s="147" t="s">
        <v>497</v>
      </c>
      <c r="G96" s="147">
        <v>15</v>
      </c>
      <c r="H96" s="148">
        <v>22</v>
      </c>
      <c r="I96" s="149">
        <f t="shared" si="1"/>
        <v>330</v>
      </c>
      <c r="J96" s="150" t="s">
        <v>472</v>
      </c>
      <c r="K96" s="151">
        <v>9.9</v>
      </c>
      <c r="L96">
        <f>Table13[[#This Row],[Price]]*Table13[[#This Row],[Units]]</f>
        <v>330</v>
      </c>
    </row>
    <row r="97" spans="1:12" x14ac:dyDescent="0.35">
      <c r="A97" s="145">
        <v>45587</v>
      </c>
      <c r="B97" s="146" t="s">
        <v>601</v>
      </c>
      <c r="C97" s="147" t="s">
        <v>501</v>
      </c>
      <c r="D97" s="147" t="s">
        <v>470</v>
      </c>
      <c r="E97" s="147" t="s">
        <v>390</v>
      </c>
      <c r="F97" s="147" t="s">
        <v>520</v>
      </c>
      <c r="G97" s="147">
        <v>50</v>
      </c>
      <c r="H97" s="148">
        <v>37</v>
      </c>
      <c r="I97" s="149">
        <f t="shared" si="1"/>
        <v>1850</v>
      </c>
      <c r="J97" s="150" t="s">
        <v>466</v>
      </c>
      <c r="K97" s="151">
        <v>37</v>
      </c>
      <c r="L97">
        <f>Table13[[#This Row],[Price]]*Table13[[#This Row],[Units]]</f>
        <v>1850</v>
      </c>
    </row>
    <row r="98" spans="1:12" x14ac:dyDescent="0.35">
      <c r="A98" s="145">
        <v>45587</v>
      </c>
      <c r="B98" s="146" t="s">
        <v>602</v>
      </c>
      <c r="C98" s="147" t="s">
        <v>469</v>
      </c>
      <c r="D98" s="147" t="s">
        <v>470</v>
      </c>
      <c r="E98" s="147" t="s">
        <v>315</v>
      </c>
      <c r="F98" s="147" t="s">
        <v>505</v>
      </c>
      <c r="G98" s="147">
        <v>27</v>
      </c>
      <c r="H98" s="148">
        <v>44</v>
      </c>
      <c r="I98" s="149">
        <f t="shared" si="1"/>
        <v>1188</v>
      </c>
      <c r="J98" s="150" t="s">
        <v>466</v>
      </c>
      <c r="K98" s="151">
        <v>28.512</v>
      </c>
      <c r="L98">
        <f>Table13[[#This Row],[Price]]*Table13[[#This Row],[Units]]</f>
        <v>1188</v>
      </c>
    </row>
    <row r="99" spans="1:12" x14ac:dyDescent="0.35">
      <c r="A99" s="145">
        <v>45587</v>
      </c>
      <c r="B99" s="146" t="s">
        <v>603</v>
      </c>
      <c r="C99" s="147" t="s">
        <v>494</v>
      </c>
      <c r="D99" s="147" t="s">
        <v>477</v>
      </c>
      <c r="E99" s="147" t="s">
        <v>412</v>
      </c>
      <c r="F99" s="147" t="s">
        <v>505</v>
      </c>
      <c r="G99" s="147">
        <v>16</v>
      </c>
      <c r="H99" s="148">
        <v>52</v>
      </c>
      <c r="I99" s="149">
        <f t="shared" si="1"/>
        <v>832</v>
      </c>
      <c r="J99" s="150" t="s">
        <v>472</v>
      </c>
      <c r="K99" s="151">
        <v>24.96</v>
      </c>
      <c r="L99">
        <f>Table13[[#This Row],[Price]]*Table13[[#This Row],[Units]]</f>
        <v>832</v>
      </c>
    </row>
    <row r="100" spans="1:12" x14ac:dyDescent="0.35">
      <c r="A100" s="145">
        <v>45587</v>
      </c>
      <c r="B100" s="146" t="s">
        <v>604</v>
      </c>
      <c r="C100" s="147" t="s">
        <v>501</v>
      </c>
      <c r="D100" s="147" t="s">
        <v>470</v>
      </c>
      <c r="E100" s="147" t="s">
        <v>483</v>
      </c>
      <c r="F100" s="147" t="s">
        <v>505</v>
      </c>
      <c r="G100" s="147">
        <v>44</v>
      </c>
      <c r="H100" s="148">
        <v>51</v>
      </c>
      <c r="I100" s="149">
        <f t="shared" si="1"/>
        <v>2244</v>
      </c>
      <c r="J100" s="150" t="s">
        <v>515</v>
      </c>
      <c r="K100" s="151">
        <v>58.344000000000001</v>
      </c>
      <c r="L100">
        <f>Table13[[#This Row],[Price]]*Table13[[#This Row],[Units]]</f>
        <v>2244</v>
      </c>
    </row>
    <row r="101" spans="1:12" x14ac:dyDescent="0.35">
      <c r="A101" s="145">
        <v>45587</v>
      </c>
      <c r="B101" s="146" t="s">
        <v>605</v>
      </c>
      <c r="C101" s="147" t="s">
        <v>494</v>
      </c>
      <c r="D101" s="147" t="s">
        <v>477</v>
      </c>
      <c r="E101" s="147" t="s">
        <v>324</v>
      </c>
      <c r="F101" s="147" t="s">
        <v>520</v>
      </c>
      <c r="G101" s="147">
        <v>39</v>
      </c>
      <c r="H101" s="148">
        <v>53</v>
      </c>
      <c r="I101" s="149">
        <f t="shared" si="1"/>
        <v>2067</v>
      </c>
      <c r="J101" s="150" t="s">
        <v>515</v>
      </c>
      <c r="K101" s="151">
        <v>62.01</v>
      </c>
      <c r="L101">
        <f>Table13[[#This Row],[Price]]*Table13[[#This Row],[Units]]</f>
        <v>2067</v>
      </c>
    </row>
    <row r="102" spans="1:12" x14ac:dyDescent="0.35">
      <c r="A102" s="145">
        <v>45587</v>
      </c>
      <c r="B102" s="146" t="s">
        <v>606</v>
      </c>
      <c r="C102" s="147" t="s">
        <v>476</v>
      </c>
      <c r="D102" s="147" t="s">
        <v>512</v>
      </c>
      <c r="E102" s="147" t="s">
        <v>412</v>
      </c>
      <c r="F102" s="147" t="s">
        <v>528</v>
      </c>
      <c r="G102" s="147">
        <v>55</v>
      </c>
      <c r="H102" s="148">
        <v>48</v>
      </c>
      <c r="I102" s="149">
        <f t="shared" si="1"/>
        <v>2640</v>
      </c>
      <c r="J102" s="150" t="s">
        <v>472</v>
      </c>
      <c r="K102" s="151">
        <v>76.56</v>
      </c>
      <c r="L102">
        <f>Table13[[#This Row],[Price]]*Table13[[#This Row],[Units]]</f>
        <v>2640</v>
      </c>
    </row>
    <row r="103" spans="1:12" x14ac:dyDescent="0.35">
      <c r="A103" s="145">
        <v>45587</v>
      </c>
      <c r="B103" s="146" t="s">
        <v>607</v>
      </c>
      <c r="C103" s="147" t="s">
        <v>322</v>
      </c>
      <c r="D103" s="147" t="s">
        <v>470</v>
      </c>
      <c r="E103" s="147" t="s">
        <v>324</v>
      </c>
      <c r="F103" s="147" t="s">
        <v>567</v>
      </c>
      <c r="G103" s="147">
        <v>16</v>
      </c>
      <c r="H103" s="148">
        <v>45</v>
      </c>
      <c r="I103" s="149">
        <f t="shared" si="1"/>
        <v>720</v>
      </c>
      <c r="J103" s="150" t="s">
        <v>466</v>
      </c>
      <c r="K103" s="151">
        <v>20.16</v>
      </c>
      <c r="L103">
        <f>Table13[[#This Row],[Price]]*Table13[[#This Row],[Units]]</f>
        <v>720</v>
      </c>
    </row>
    <row r="104" spans="1:12" x14ac:dyDescent="0.35">
      <c r="A104" s="145">
        <v>45587</v>
      </c>
      <c r="B104" s="146" t="s">
        <v>608</v>
      </c>
      <c r="C104" s="147" t="s">
        <v>492</v>
      </c>
      <c r="D104" s="147" t="s">
        <v>470</v>
      </c>
      <c r="E104" s="147" t="s">
        <v>333</v>
      </c>
      <c r="F104" s="147" t="s">
        <v>454</v>
      </c>
      <c r="G104" s="147">
        <v>59</v>
      </c>
      <c r="H104" s="148">
        <v>47</v>
      </c>
      <c r="I104" s="149">
        <f t="shared" si="1"/>
        <v>2773</v>
      </c>
      <c r="J104" s="150" t="s">
        <v>472</v>
      </c>
      <c r="K104" s="151">
        <v>69.325000000000003</v>
      </c>
      <c r="L104">
        <f>Table13[[#This Row],[Price]]*Table13[[#This Row],[Units]]</f>
        <v>2773</v>
      </c>
    </row>
    <row r="105" spans="1:12" x14ac:dyDescent="0.35">
      <c r="A105" s="145">
        <v>45588</v>
      </c>
      <c r="B105" s="146" t="s">
        <v>609</v>
      </c>
      <c r="C105" s="147" t="s">
        <v>494</v>
      </c>
      <c r="D105" s="147" t="s">
        <v>477</v>
      </c>
      <c r="E105" s="147" t="s">
        <v>333</v>
      </c>
      <c r="F105" s="147" t="s">
        <v>487</v>
      </c>
      <c r="G105" s="147">
        <v>28</v>
      </c>
      <c r="H105" s="148">
        <v>29</v>
      </c>
      <c r="I105" s="149">
        <f t="shared" si="1"/>
        <v>812</v>
      </c>
      <c r="J105" s="150" t="s">
        <v>472</v>
      </c>
      <c r="K105" s="151">
        <v>17.864000000000001</v>
      </c>
      <c r="L105">
        <f>Table13[[#This Row],[Price]]*Table13[[#This Row],[Units]]</f>
        <v>812</v>
      </c>
    </row>
    <row r="106" spans="1:12" x14ac:dyDescent="0.35">
      <c r="A106" s="145">
        <v>45588</v>
      </c>
      <c r="B106" s="146" t="s">
        <v>610</v>
      </c>
      <c r="C106" s="147" t="s">
        <v>464</v>
      </c>
      <c r="D106" s="147" t="s">
        <v>490</v>
      </c>
      <c r="E106" s="147" t="s">
        <v>315</v>
      </c>
      <c r="F106" s="147" t="s">
        <v>528</v>
      </c>
      <c r="G106" s="147">
        <v>45</v>
      </c>
      <c r="H106" s="148">
        <v>46</v>
      </c>
      <c r="I106" s="149">
        <f t="shared" si="1"/>
        <v>2070</v>
      </c>
      <c r="J106" s="150" t="s">
        <v>466</v>
      </c>
      <c r="K106" s="151">
        <v>45.54</v>
      </c>
      <c r="L106">
        <f>Table13[[#This Row],[Price]]*Table13[[#This Row],[Units]]</f>
        <v>2070</v>
      </c>
    </row>
    <row r="107" spans="1:12" x14ac:dyDescent="0.35">
      <c r="A107" s="145">
        <v>45588</v>
      </c>
      <c r="B107" s="146" t="s">
        <v>611</v>
      </c>
      <c r="C107" s="147" t="s">
        <v>469</v>
      </c>
      <c r="D107" s="147" t="s">
        <v>490</v>
      </c>
      <c r="E107" s="147" t="s">
        <v>390</v>
      </c>
      <c r="F107" s="147" t="s">
        <v>517</v>
      </c>
      <c r="G107" s="147">
        <v>29</v>
      </c>
      <c r="H107" s="148">
        <v>59</v>
      </c>
      <c r="I107" s="149">
        <f t="shared" si="1"/>
        <v>1711</v>
      </c>
      <c r="J107" s="150" t="s">
        <v>515</v>
      </c>
      <c r="K107" s="151">
        <v>46.197000000000003</v>
      </c>
      <c r="L107">
        <f>Table13[[#This Row],[Price]]*Table13[[#This Row],[Units]]</f>
        <v>1711</v>
      </c>
    </row>
    <row r="108" spans="1:12" x14ac:dyDescent="0.35">
      <c r="A108" s="145">
        <v>45588</v>
      </c>
      <c r="B108" s="146" t="s">
        <v>612</v>
      </c>
      <c r="C108" s="147" t="s">
        <v>494</v>
      </c>
      <c r="D108" s="147" t="s">
        <v>490</v>
      </c>
      <c r="E108" s="147" t="s">
        <v>483</v>
      </c>
      <c r="F108" s="147" t="s">
        <v>471</v>
      </c>
      <c r="G108" s="147">
        <v>53</v>
      </c>
      <c r="H108" s="148">
        <v>47</v>
      </c>
      <c r="I108" s="149">
        <f t="shared" si="1"/>
        <v>2491</v>
      </c>
      <c r="J108" s="150" t="s">
        <v>466</v>
      </c>
      <c r="K108" s="151">
        <v>64.766000000000005</v>
      </c>
      <c r="L108">
        <f>Table13[[#This Row],[Price]]*Table13[[#This Row],[Units]]</f>
        <v>2491</v>
      </c>
    </row>
    <row r="109" spans="1:12" x14ac:dyDescent="0.35">
      <c r="A109" s="145">
        <v>45588</v>
      </c>
      <c r="B109" s="146" t="s">
        <v>613</v>
      </c>
      <c r="C109" s="147" t="s">
        <v>489</v>
      </c>
      <c r="D109" s="147" t="s">
        <v>486</v>
      </c>
      <c r="E109" s="147" t="s">
        <v>390</v>
      </c>
      <c r="F109" s="147" t="s">
        <v>478</v>
      </c>
      <c r="G109" s="147">
        <v>16</v>
      </c>
      <c r="H109" s="148">
        <v>29</v>
      </c>
      <c r="I109" s="149">
        <f t="shared" si="1"/>
        <v>464</v>
      </c>
      <c r="J109" s="150" t="s">
        <v>472</v>
      </c>
      <c r="K109" s="151">
        <v>10.208</v>
      </c>
      <c r="L109">
        <f>Table13[[#This Row],[Price]]*Table13[[#This Row],[Units]]</f>
        <v>464</v>
      </c>
    </row>
    <row r="110" spans="1:12" x14ac:dyDescent="0.35">
      <c r="A110" s="145">
        <v>45589</v>
      </c>
      <c r="B110" s="146" t="s">
        <v>614</v>
      </c>
      <c r="C110" s="147" t="s">
        <v>492</v>
      </c>
      <c r="D110" s="147" t="s">
        <v>470</v>
      </c>
      <c r="E110" s="147" t="s">
        <v>333</v>
      </c>
      <c r="F110" s="147" t="s">
        <v>536</v>
      </c>
      <c r="G110" s="147">
        <v>60</v>
      </c>
      <c r="H110" s="148">
        <v>57</v>
      </c>
      <c r="I110" s="149">
        <f t="shared" si="1"/>
        <v>3420</v>
      </c>
      <c r="J110" s="150" t="s">
        <v>466</v>
      </c>
      <c r="K110" s="151">
        <v>99.18</v>
      </c>
      <c r="L110">
        <f>Table13[[#This Row],[Price]]*Table13[[#This Row],[Units]]</f>
        <v>3420</v>
      </c>
    </row>
    <row r="111" spans="1:12" x14ac:dyDescent="0.35">
      <c r="A111" s="145">
        <v>45589</v>
      </c>
      <c r="B111" s="146" t="s">
        <v>615</v>
      </c>
      <c r="C111" s="147" t="s">
        <v>489</v>
      </c>
      <c r="D111" s="147" t="s">
        <v>519</v>
      </c>
      <c r="E111" s="147" t="s">
        <v>320</v>
      </c>
      <c r="F111" s="147" t="s">
        <v>539</v>
      </c>
      <c r="G111" s="147">
        <v>18</v>
      </c>
      <c r="H111" s="148">
        <v>56</v>
      </c>
      <c r="I111" s="149">
        <f t="shared" si="1"/>
        <v>1008</v>
      </c>
      <c r="J111" s="150" t="s">
        <v>466</v>
      </c>
      <c r="K111" s="151">
        <v>30.24</v>
      </c>
      <c r="L111">
        <f>Table13[[#This Row],[Price]]*Table13[[#This Row],[Units]]</f>
        <v>1008</v>
      </c>
    </row>
    <row r="112" spans="1:12" x14ac:dyDescent="0.35">
      <c r="A112" s="145">
        <v>45589</v>
      </c>
      <c r="B112" s="146" t="s">
        <v>616</v>
      </c>
      <c r="C112" s="147" t="s">
        <v>469</v>
      </c>
      <c r="D112" s="147" t="s">
        <v>465</v>
      </c>
      <c r="E112" s="147" t="s">
        <v>320</v>
      </c>
      <c r="F112" s="147" t="s">
        <v>513</v>
      </c>
      <c r="G112" s="147">
        <v>25</v>
      </c>
      <c r="H112" s="148">
        <v>43</v>
      </c>
      <c r="I112" s="149">
        <f t="shared" si="1"/>
        <v>1075</v>
      </c>
      <c r="J112" s="150" t="s">
        <v>466</v>
      </c>
      <c r="K112" s="151">
        <v>32.25</v>
      </c>
      <c r="L112">
        <f>Table13[[#This Row],[Price]]*Table13[[#This Row],[Units]]</f>
        <v>1075</v>
      </c>
    </row>
    <row r="113" spans="1:12" x14ac:dyDescent="0.35">
      <c r="A113" s="145">
        <v>45589</v>
      </c>
      <c r="B113" s="146" t="s">
        <v>617</v>
      </c>
      <c r="C113" s="147" t="s">
        <v>469</v>
      </c>
      <c r="D113" s="147" t="s">
        <v>519</v>
      </c>
      <c r="E113" s="147" t="s">
        <v>390</v>
      </c>
      <c r="F113" s="147" t="s">
        <v>491</v>
      </c>
      <c r="G113" s="147">
        <v>53</v>
      </c>
      <c r="H113" s="148">
        <v>36</v>
      </c>
      <c r="I113" s="149">
        <f t="shared" si="1"/>
        <v>1908</v>
      </c>
      <c r="J113" s="150" t="s">
        <v>466</v>
      </c>
      <c r="K113" s="151">
        <v>51.515999999999998</v>
      </c>
      <c r="L113">
        <f>Table13[[#This Row],[Price]]*Table13[[#This Row],[Units]]</f>
        <v>1908</v>
      </c>
    </row>
    <row r="114" spans="1:12" x14ac:dyDescent="0.35">
      <c r="A114" s="145">
        <v>45590</v>
      </c>
      <c r="B114" s="146" t="s">
        <v>618</v>
      </c>
      <c r="C114" s="147" t="s">
        <v>476</v>
      </c>
      <c r="D114" s="147" t="s">
        <v>465</v>
      </c>
      <c r="E114" s="147" t="s">
        <v>320</v>
      </c>
      <c r="F114" s="147" t="s">
        <v>487</v>
      </c>
      <c r="G114" s="147">
        <v>50</v>
      </c>
      <c r="H114" s="148">
        <v>47</v>
      </c>
      <c r="I114" s="149">
        <f t="shared" si="1"/>
        <v>2350</v>
      </c>
      <c r="J114" s="150" t="s">
        <v>515</v>
      </c>
      <c r="K114" s="151">
        <v>61.1</v>
      </c>
      <c r="L114">
        <f>Table13[[#This Row],[Price]]*Table13[[#This Row],[Units]]</f>
        <v>2350</v>
      </c>
    </row>
    <row r="115" spans="1:12" x14ac:dyDescent="0.35">
      <c r="A115" s="145">
        <v>45590</v>
      </c>
      <c r="B115" s="146" t="s">
        <v>619</v>
      </c>
      <c r="C115" s="147" t="s">
        <v>494</v>
      </c>
      <c r="D115" s="147" t="s">
        <v>486</v>
      </c>
      <c r="E115" s="147" t="s">
        <v>483</v>
      </c>
      <c r="F115" s="147" t="s">
        <v>567</v>
      </c>
      <c r="G115" s="147">
        <v>33</v>
      </c>
      <c r="H115" s="148">
        <v>55</v>
      </c>
      <c r="I115" s="149">
        <f t="shared" si="1"/>
        <v>1815</v>
      </c>
      <c r="J115" s="150" t="s">
        <v>472</v>
      </c>
      <c r="K115" s="151">
        <v>54.45</v>
      </c>
      <c r="L115">
        <f>Table13[[#This Row],[Price]]*Table13[[#This Row],[Units]]</f>
        <v>1815</v>
      </c>
    </row>
    <row r="116" spans="1:12" x14ac:dyDescent="0.35">
      <c r="A116" s="145">
        <v>45590</v>
      </c>
      <c r="B116" s="146" t="s">
        <v>620</v>
      </c>
      <c r="C116" s="147" t="s">
        <v>476</v>
      </c>
      <c r="D116" s="147" t="s">
        <v>477</v>
      </c>
      <c r="E116" s="147" t="s">
        <v>324</v>
      </c>
      <c r="F116" s="147" t="s">
        <v>528</v>
      </c>
      <c r="G116" s="147">
        <v>12</v>
      </c>
      <c r="H116" s="148">
        <v>35</v>
      </c>
      <c r="I116" s="149">
        <f t="shared" si="1"/>
        <v>420</v>
      </c>
      <c r="J116" s="150" t="s">
        <v>472</v>
      </c>
      <c r="K116" s="151">
        <v>9.66</v>
      </c>
      <c r="L116">
        <f>Table13[[#This Row],[Price]]*Table13[[#This Row],[Units]]</f>
        <v>420</v>
      </c>
    </row>
    <row r="117" spans="1:12" x14ac:dyDescent="0.35">
      <c r="A117" s="145">
        <v>45590</v>
      </c>
      <c r="B117" s="146" t="s">
        <v>621</v>
      </c>
      <c r="C117" s="147" t="s">
        <v>494</v>
      </c>
      <c r="D117" s="147" t="s">
        <v>470</v>
      </c>
      <c r="E117" s="147" t="s">
        <v>315</v>
      </c>
      <c r="F117" s="147" t="s">
        <v>523</v>
      </c>
      <c r="G117" s="147">
        <v>60</v>
      </c>
      <c r="H117" s="148">
        <v>35</v>
      </c>
      <c r="I117" s="149">
        <f t="shared" si="1"/>
        <v>2100</v>
      </c>
      <c r="J117" s="150" t="s">
        <v>472</v>
      </c>
      <c r="K117" s="151">
        <v>60.9</v>
      </c>
      <c r="L117">
        <f>Table13[[#This Row],[Price]]*Table13[[#This Row],[Units]]</f>
        <v>2100</v>
      </c>
    </row>
    <row r="118" spans="1:12" x14ac:dyDescent="0.35">
      <c r="A118" s="145">
        <v>45590</v>
      </c>
      <c r="B118" s="146" t="s">
        <v>622</v>
      </c>
      <c r="C118" s="147" t="s">
        <v>476</v>
      </c>
      <c r="D118" s="147" t="s">
        <v>490</v>
      </c>
      <c r="E118" s="147" t="s">
        <v>320</v>
      </c>
      <c r="F118" s="147" t="s">
        <v>528</v>
      </c>
      <c r="G118" s="147">
        <v>26</v>
      </c>
      <c r="H118" s="148">
        <v>36</v>
      </c>
      <c r="I118" s="149">
        <f t="shared" si="1"/>
        <v>936</v>
      </c>
      <c r="J118" s="150" t="s">
        <v>515</v>
      </c>
      <c r="K118" s="151">
        <v>20.591999999999999</v>
      </c>
      <c r="L118">
        <f>Table13[[#This Row],[Price]]*Table13[[#This Row],[Units]]</f>
        <v>936</v>
      </c>
    </row>
    <row r="119" spans="1:12" x14ac:dyDescent="0.35">
      <c r="A119" s="145">
        <v>45590</v>
      </c>
      <c r="B119" s="146" t="s">
        <v>623</v>
      </c>
      <c r="C119" s="147" t="s">
        <v>322</v>
      </c>
      <c r="D119" s="147" t="s">
        <v>465</v>
      </c>
      <c r="E119" s="147" t="s">
        <v>320</v>
      </c>
      <c r="F119" s="147" t="s">
        <v>567</v>
      </c>
      <c r="G119" s="147">
        <v>24</v>
      </c>
      <c r="H119" s="148">
        <v>53</v>
      </c>
      <c r="I119" s="149">
        <f t="shared" si="1"/>
        <v>1272</v>
      </c>
      <c r="J119" s="150" t="s">
        <v>466</v>
      </c>
      <c r="K119" s="151">
        <v>29.256</v>
      </c>
      <c r="L119">
        <f>Table13[[#This Row],[Price]]*Table13[[#This Row],[Units]]</f>
        <v>1272</v>
      </c>
    </row>
    <row r="120" spans="1:12" x14ac:dyDescent="0.35">
      <c r="A120" s="145">
        <v>45590</v>
      </c>
      <c r="B120" s="146" t="s">
        <v>624</v>
      </c>
      <c r="C120" s="147" t="s">
        <v>489</v>
      </c>
      <c r="D120" s="147" t="s">
        <v>512</v>
      </c>
      <c r="E120" s="147" t="s">
        <v>320</v>
      </c>
      <c r="F120" s="147" t="s">
        <v>517</v>
      </c>
      <c r="G120" s="147">
        <v>43</v>
      </c>
      <c r="H120" s="148">
        <v>33</v>
      </c>
      <c r="I120" s="149">
        <f t="shared" si="1"/>
        <v>1419</v>
      </c>
      <c r="J120" s="150" t="s">
        <v>472</v>
      </c>
      <c r="K120" s="151">
        <v>31.218</v>
      </c>
      <c r="L120">
        <f>Table13[[#This Row],[Price]]*Table13[[#This Row],[Units]]</f>
        <v>1419</v>
      </c>
    </row>
    <row r="121" spans="1:12" x14ac:dyDescent="0.35">
      <c r="A121" s="145">
        <v>45590</v>
      </c>
      <c r="B121" s="146" t="s">
        <v>625</v>
      </c>
      <c r="C121" s="147" t="s">
        <v>464</v>
      </c>
      <c r="D121" s="147" t="s">
        <v>477</v>
      </c>
      <c r="E121" s="147" t="s">
        <v>412</v>
      </c>
      <c r="F121" s="147" t="s">
        <v>510</v>
      </c>
      <c r="G121" s="147">
        <v>13</v>
      </c>
      <c r="H121" s="148">
        <v>58</v>
      </c>
      <c r="I121" s="149">
        <f t="shared" si="1"/>
        <v>754</v>
      </c>
      <c r="J121" s="150" t="s">
        <v>515</v>
      </c>
      <c r="K121" s="151">
        <v>21.111999999999998</v>
      </c>
      <c r="L121">
        <f>Table13[[#This Row],[Price]]*Table13[[#This Row],[Units]]</f>
        <v>754</v>
      </c>
    </row>
    <row r="122" spans="1:12" x14ac:dyDescent="0.35">
      <c r="A122" s="145">
        <v>45590</v>
      </c>
      <c r="B122" s="146" t="s">
        <v>626</v>
      </c>
      <c r="C122" s="147" t="s">
        <v>484</v>
      </c>
      <c r="D122" s="147" t="s">
        <v>490</v>
      </c>
      <c r="E122" s="147" t="s">
        <v>315</v>
      </c>
      <c r="F122" s="147" t="s">
        <v>497</v>
      </c>
      <c r="G122" s="147">
        <v>12</v>
      </c>
      <c r="H122" s="148">
        <v>58</v>
      </c>
      <c r="I122" s="149">
        <f t="shared" si="1"/>
        <v>696</v>
      </c>
      <c r="J122" s="150" t="s">
        <v>515</v>
      </c>
      <c r="K122" s="151">
        <v>20.184000000000001</v>
      </c>
      <c r="L122">
        <f>Table13[[#This Row],[Price]]*Table13[[#This Row],[Units]]</f>
        <v>696</v>
      </c>
    </row>
    <row r="123" spans="1:12" x14ac:dyDescent="0.35">
      <c r="A123" s="145">
        <v>45590</v>
      </c>
      <c r="B123" s="146" t="s">
        <v>627</v>
      </c>
      <c r="C123" s="147" t="s">
        <v>501</v>
      </c>
      <c r="D123" s="147" t="s">
        <v>465</v>
      </c>
      <c r="E123" s="147" t="s">
        <v>324</v>
      </c>
      <c r="F123" s="147" t="s">
        <v>471</v>
      </c>
      <c r="G123" s="147">
        <v>26</v>
      </c>
      <c r="H123" s="148">
        <v>39</v>
      </c>
      <c r="I123" s="149">
        <f t="shared" si="1"/>
        <v>1014</v>
      </c>
      <c r="J123" s="150" t="s">
        <v>472</v>
      </c>
      <c r="K123" s="151">
        <v>27.378</v>
      </c>
      <c r="L123">
        <f>Table13[[#This Row],[Price]]*Table13[[#This Row],[Units]]</f>
        <v>1014</v>
      </c>
    </row>
    <row r="124" spans="1:12" x14ac:dyDescent="0.35">
      <c r="A124" s="145">
        <v>45590</v>
      </c>
      <c r="B124" s="146" t="s">
        <v>628</v>
      </c>
      <c r="C124" s="147" t="s">
        <v>494</v>
      </c>
      <c r="D124" s="147" t="s">
        <v>470</v>
      </c>
      <c r="E124" s="147" t="s">
        <v>320</v>
      </c>
      <c r="F124" s="147" t="s">
        <v>478</v>
      </c>
      <c r="G124" s="147">
        <v>23</v>
      </c>
      <c r="H124" s="148">
        <v>30</v>
      </c>
      <c r="I124" s="149">
        <f t="shared" si="1"/>
        <v>690</v>
      </c>
      <c r="J124" s="150" t="s">
        <v>466</v>
      </c>
      <c r="K124" s="151">
        <v>15.18</v>
      </c>
      <c r="L124">
        <f>Table13[[#This Row],[Price]]*Table13[[#This Row],[Units]]</f>
        <v>690</v>
      </c>
    </row>
    <row r="125" spans="1:12" x14ac:dyDescent="0.35">
      <c r="A125" s="145">
        <v>45590</v>
      </c>
      <c r="B125" s="146" t="s">
        <v>629</v>
      </c>
      <c r="C125" s="147" t="s">
        <v>494</v>
      </c>
      <c r="D125" s="147" t="s">
        <v>512</v>
      </c>
      <c r="E125" s="147" t="s">
        <v>315</v>
      </c>
      <c r="F125" s="147" t="s">
        <v>487</v>
      </c>
      <c r="G125" s="147">
        <v>40</v>
      </c>
      <c r="H125" s="148">
        <v>47</v>
      </c>
      <c r="I125" s="149">
        <f t="shared" si="1"/>
        <v>1880</v>
      </c>
      <c r="J125" s="150" t="s">
        <v>503</v>
      </c>
      <c r="K125" s="151">
        <v>52.64</v>
      </c>
      <c r="L125">
        <f>Table13[[#This Row],[Price]]*Table13[[#This Row],[Units]]</f>
        <v>1880</v>
      </c>
    </row>
    <row r="126" spans="1:12" x14ac:dyDescent="0.35">
      <c r="A126" s="145">
        <v>45590</v>
      </c>
      <c r="B126" s="146" t="s">
        <v>630</v>
      </c>
      <c r="C126" s="147" t="s">
        <v>322</v>
      </c>
      <c r="D126" s="147" t="s">
        <v>486</v>
      </c>
      <c r="E126" s="147" t="s">
        <v>390</v>
      </c>
      <c r="F126" s="147" t="s">
        <v>528</v>
      </c>
      <c r="G126" s="147">
        <v>18</v>
      </c>
      <c r="H126" s="148">
        <v>25</v>
      </c>
      <c r="I126" s="149">
        <f t="shared" si="1"/>
        <v>450</v>
      </c>
      <c r="J126" s="150" t="s">
        <v>472</v>
      </c>
      <c r="K126" s="151">
        <v>13.5</v>
      </c>
      <c r="L126">
        <f>Table13[[#This Row],[Price]]*Table13[[#This Row],[Units]]</f>
        <v>450</v>
      </c>
    </row>
    <row r="127" spans="1:12" x14ac:dyDescent="0.35">
      <c r="A127" s="145">
        <v>45590</v>
      </c>
      <c r="B127" s="146" t="s">
        <v>631</v>
      </c>
      <c r="C127" s="147" t="s">
        <v>494</v>
      </c>
      <c r="D127" s="147" t="s">
        <v>470</v>
      </c>
      <c r="E127" s="147" t="s">
        <v>333</v>
      </c>
      <c r="F127" s="147" t="s">
        <v>500</v>
      </c>
      <c r="G127" s="147">
        <v>18</v>
      </c>
      <c r="H127" s="148">
        <v>23</v>
      </c>
      <c r="I127" s="149">
        <f t="shared" si="1"/>
        <v>414</v>
      </c>
      <c r="J127" s="150" t="s">
        <v>472</v>
      </c>
      <c r="K127" s="151">
        <v>10.763999999999999</v>
      </c>
      <c r="L127">
        <f>Table13[[#This Row],[Price]]*Table13[[#This Row],[Units]]</f>
        <v>414</v>
      </c>
    </row>
    <row r="128" spans="1:12" x14ac:dyDescent="0.35">
      <c r="A128" s="145">
        <v>45590</v>
      </c>
      <c r="B128" s="146" t="s">
        <v>632</v>
      </c>
      <c r="C128" s="147" t="s">
        <v>501</v>
      </c>
      <c r="D128" s="147" t="s">
        <v>477</v>
      </c>
      <c r="E128" s="147" t="s">
        <v>412</v>
      </c>
      <c r="F128" s="147" t="s">
        <v>491</v>
      </c>
      <c r="G128" s="147">
        <v>50</v>
      </c>
      <c r="H128" s="148">
        <v>30</v>
      </c>
      <c r="I128" s="149">
        <f t="shared" si="1"/>
        <v>1500</v>
      </c>
      <c r="J128" s="150" t="s">
        <v>472</v>
      </c>
      <c r="K128" s="151">
        <v>30</v>
      </c>
      <c r="L128">
        <f>Table13[[#This Row],[Price]]*Table13[[#This Row],[Units]]</f>
        <v>1500</v>
      </c>
    </row>
    <row r="129" spans="1:12" x14ac:dyDescent="0.35">
      <c r="A129" s="145">
        <v>45590</v>
      </c>
      <c r="B129" s="146" t="s">
        <v>633</v>
      </c>
      <c r="C129" s="147" t="s">
        <v>501</v>
      </c>
      <c r="D129" s="147" t="s">
        <v>519</v>
      </c>
      <c r="E129" s="147" t="s">
        <v>390</v>
      </c>
      <c r="F129" s="147" t="s">
        <v>471</v>
      </c>
      <c r="G129" s="147">
        <v>19</v>
      </c>
      <c r="H129" s="148">
        <v>23</v>
      </c>
      <c r="I129" s="149">
        <f t="shared" si="1"/>
        <v>437</v>
      </c>
      <c r="J129" s="150" t="s">
        <v>503</v>
      </c>
      <c r="K129" s="151">
        <v>9.6140000000000008</v>
      </c>
      <c r="L129">
        <f>Table13[[#This Row],[Price]]*Table13[[#This Row],[Units]]</f>
        <v>437</v>
      </c>
    </row>
    <row r="130" spans="1:12" x14ac:dyDescent="0.35">
      <c r="A130" s="145">
        <v>45590</v>
      </c>
      <c r="B130" s="146" t="s">
        <v>634</v>
      </c>
      <c r="C130" s="147" t="s">
        <v>494</v>
      </c>
      <c r="D130" s="147" t="s">
        <v>519</v>
      </c>
      <c r="E130" s="147" t="s">
        <v>390</v>
      </c>
      <c r="F130" s="147" t="s">
        <v>510</v>
      </c>
      <c r="G130" s="147">
        <v>31</v>
      </c>
      <c r="H130" s="148">
        <v>56</v>
      </c>
      <c r="I130" s="149">
        <f t="shared" si="1"/>
        <v>1736</v>
      </c>
      <c r="J130" s="150" t="s">
        <v>472</v>
      </c>
      <c r="K130" s="151">
        <v>43.4</v>
      </c>
      <c r="L130">
        <f>Table13[[#This Row],[Price]]*Table13[[#This Row],[Units]]</f>
        <v>1736</v>
      </c>
    </row>
    <row r="131" spans="1:12" x14ac:dyDescent="0.35">
      <c r="A131" s="145">
        <v>45590</v>
      </c>
      <c r="B131" s="146" t="s">
        <v>635</v>
      </c>
      <c r="C131" s="147" t="s">
        <v>492</v>
      </c>
      <c r="D131" s="147" t="s">
        <v>477</v>
      </c>
      <c r="E131" s="147" t="s">
        <v>412</v>
      </c>
      <c r="F131" s="147" t="s">
        <v>528</v>
      </c>
      <c r="G131" s="147">
        <v>31</v>
      </c>
      <c r="H131" s="148">
        <v>39</v>
      </c>
      <c r="I131" s="149">
        <f t="shared" ref="I131:I194" si="2">G131*H131</f>
        <v>1209</v>
      </c>
      <c r="J131" s="150" t="s">
        <v>472</v>
      </c>
      <c r="K131" s="151">
        <v>36.270000000000003</v>
      </c>
      <c r="L131">
        <f>Table13[[#This Row],[Price]]*Table13[[#This Row],[Units]]</f>
        <v>1209</v>
      </c>
    </row>
    <row r="132" spans="1:12" x14ac:dyDescent="0.35">
      <c r="A132" s="145">
        <v>45590</v>
      </c>
      <c r="B132" s="146" t="s">
        <v>636</v>
      </c>
      <c r="C132" s="147" t="s">
        <v>494</v>
      </c>
      <c r="D132" s="147" t="s">
        <v>486</v>
      </c>
      <c r="E132" s="147" t="s">
        <v>483</v>
      </c>
      <c r="F132" s="147" t="s">
        <v>454</v>
      </c>
      <c r="G132" s="147">
        <v>45</v>
      </c>
      <c r="H132" s="148">
        <v>52</v>
      </c>
      <c r="I132" s="149">
        <f t="shared" si="2"/>
        <v>2340</v>
      </c>
      <c r="J132" s="150" t="s">
        <v>466</v>
      </c>
      <c r="K132" s="151">
        <v>56.16</v>
      </c>
      <c r="L132">
        <f>Table13[[#This Row],[Price]]*Table13[[#This Row],[Units]]</f>
        <v>2340</v>
      </c>
    </row>
    <row r="133" spans="1:12" x14ac:dyDescent="0.35">
      <c r="A133" s="145">
        <v>45590</v>
      </c>
      <c r="B133" s="146" t="s">
        <v>637</v>
      </c>
      <c r="C133" s="147" t="s">
        <v>464</v>
      </c>
      <c r="D133" s="147" t="s">
        <v>465</v>
      </c>
      <c r="E133" s="147" t="s">
        <v>412</v>
      </c>
      <c r="F133" s="147" t="s">
        <v>539</v>
      </c>
      <c r="G133" s="147">
        <v>11</v>
      </c>
      <c r="H133" s="148">
        <v>40</v>
      </c>
      <c r="I133" s="149">
        <f t="shared" si="2"/>
        <v>440</v>
      </c>
      <c r="J133" s="150" t="s">
        <v>515</v>
      </c>
      <c r="K133" s="151">
        <v>12.32</v>
      </c>
      <c r="L133">
        <f>Table13[[#This Row],[Price]]*Table13[[#This Row],[Units]]</f>
        <v>440</v>
      </c>
    </row>
    <row r="134" spans="1:12" x14ac:dyDescent="0.35">
      <c r="A134" s="145">
        <v>45590</v>
      </c>
      <c r="B134" s="146" t="s">
        <v>638</v>
      </c>
      <c r="C134" s="147" t="s">
        <v>492</v>
      </c>
      <c r="D134" s="147" t="s">
        <v>486</v>
      </c>
      <c r="E134" s="147" t="s">
        <v>483</v>
      </c>
      <c r="F134" s="147" t="s">
        <v>478</v>
      </c>
      <c r="G134" s="147">
        <v>50</v>
      </c>
      <c r="H134" s="148">
        <v>24</v>
      </c>
      <c r="I134" s="149">
        <f t="shared" si="2"/>
        <v>1200</v>
      </c>
      <c r="J134" s="150" t="s">
        <v>503</v>
      </c>
      <c r="K134" s="151">
        <v>27.6</v>
      </c>
      <c r="L134">
        <f>Table13[[#This Row],[Price]]*Table13[[#This Row],[Units]]</f>
        <v>1200</v>
      </c>
    </row>
    <row r="135" spans="1:12" x14ac:dyDescent="0.35">
      <c r="A135" s="145">
        <v>45590</v>
      </c>
      <c r="B135" s="146" t="s">
        <v>639</v>
      </c>
      <c r="C135" s="147" t="s">
        <v>322</v>
      </c>
      <c r="D135" s="147" t="s">
        <v>512</v>
      </c>
      <c r="E135" s="147" t="s">
        <v>390</v>
      </c>
      <c r="F135" s="147" t="s">
        <v>513</v>
      </c>
      <c r="G135" s="147">
        <v>56</v>
      </c>
      <c r="H135" s="148">
        <v>59</v>
      </c>
      <c r="I135" s="149">
        <f t="shared" si="2"/>
        <v>3304</v>
      </c>
      <c r="J135" s="150" t="s">
        <v>515</v>
      </c>
      <c r="K135" s="151">
        <v>99.12</v>
      </c>
      <c r="L135">
        <f>Table13[[#This Row],[Price]]*Table13[[#This Row],[Units]]</f>
        <v>3304</v>
      </c>
    </row>
    <row r="136" spans="1:12" x14ac:dyDescent="0.35">
      <c r="A136" s="145">
        <v>45590</v>
      </c>
      <c r="B136" s="146" t="s">
        <v>640</v>
      </c>
      <c r="C136" s="147" t="s">
        <v>322</v>
      </c>
      <c r="D136" s="147" t="s">
        <v>477</v>
      </c>
      <c r="E136" s="147" t="s">
        <v>324</v>
      </c>
      <c r="F136" s="147" t="s">
        <v>491</v>
      </c>
      <c r="G136" s="147">
        <v>22</v>
      </c>
      <c r="H136" s="148">
        <v>50</v>
      </c>
      <c r="I136" s="149">
        <f t="shared" si="2"/>
        <v>1100</v>
      </c>
      <c r="J136" s="150" t="s">
        <v>466</v>
      </c>
      <c r="K136" s="151">
        <v>30.8</v>
      </c>
      <c r="L136">
        <f>Table13[[#This Row],[Price]]*Table13[[#This Row],[Units]]</f>
        <v>1100</v>
      </c>
    </row>
    <row r="137" spans="1:12" x14ac:dyDescent="0.35">
      <c r="A137" s="145">
        <v>45591</v>
      </c>
      <c r="B137" s="146" t="s">
        <v>641</v>
      </c>
      <c r="C137" s="147" t="s">
        <v>489</v>
      </c>
      <c r="D137" s="147" t="s">
        <v>519</v>
      </c>
      <c r="E137" s="147" t="s">
        <v>483</v>
      </c>
      <c r="F137" s="147" t="s">
        <v>539</v>
      </c>
      <c r="G137" s="147">
        <v>31</v>
      </c>
      <c r="H137" s="148">
        <v>48</v>
      </c>
      <c r="I137" s="149">
        <f t="shared" si="2"/>
        <v>1488</v>
      </c>
      <c r="J137" s="150" t="s">
        <v>466</v>
      </c>
      <c r="K137" s="151">
        <v>37.200000000000003</v>
      </c>
      <c r="L137">
        <f>Table13[[#This Row],[Price]]*Table13[[#This Row],[Units]]</f>
        <v>1488</v>
      </c>
    </row>
    <row r="138" spans="1:12" x14ac:dyDescent="0.35">
      <c r="A138" s="145">
        <v>45591</v>
      </c>
      <c r="B138" s="146" t="s">
        <v>642</v>
      </c>
      <c r="C138" s="147" t="s">
        <v>469</v>
      </c>
      <c r="D138" s="147" t="s">
        <v>465</v>
      </c>
      <c r="E138" s="147" t="s">
        <v>320</v>
      </c>
      <c r="F138" s="147" t="s">
        <v>471</v>
      </c>
      <c r="G138" s="147">
        <v>20</v>
      </c>
      <c r="H138" s="148">
        <v>57</v>
      </c>
      <c r="I138" s="149">
        <f t="shared" si="2"/>
        <v>1140</v>
      </c>
      <c r="J138" s="150" t="s">
        <v>466</v>
      </c>
      <c r="K138" s="151">
        <v>31.92</v>
      </c>
      <c r="L138">
        <f>Table13[[#This Row],[Price]]*Table13[[#This Row],[Units]]</f>
        <v>1140</v>
      </c>
    </row>
    <row r="139" spans="1:12" x14ac:dyDescent="0.35">
      <c r="A139" s="145">
        <v>45592</v>
      </c>
      <c r="B139" s="146" t="s">
        <v>643</v>
      </c>
      <c r="C139" s="147" t="s">
        <v>492</v>
      </c>
      <c r="D139" s="147" t="s">
        <v>519</v>
      </c>
      <c r="E139" s="147" t="s">
        <v>483</v>
      </c>
      <c r="F139" s="147" t="s">
        <v>497</v>
      </c>
      <c r="G139" s="147">
        <v>38</v>
      </c>
      <c r="H139" s="148">
        <v>51</v>
      </c>
      <c r="I139" s="149">
        <f t="shared" si="2"/>
        <v>1938</v>
      </c>
      <c r="J139" s="150" t="s">
        <v>466</v>
      </c>
      <c r="K139" s="151">
        <v>58.14</v>
      </c>
      <c r="L139">
        <f>Table13[[#This Row],[Price]]*Table13[[#This Row],[Units]]</f>
        <v>1938</v>
      </c>
    </row>
    <row r="140" spans="1:12" x14ac:dyDescent="0.35">
      <c r="A140" s="145">
        <v>45592</v>
      </c>
      <c r="B140" s="146" t="s">
        <v>644</v>
      </c>
      <c r="C140" s="147" t="s">
        <v>501</v>
      </c>
      <c r="D140" s="147" t="s">
        <v>470</v>
      </c>
      <c r="E140" s="147" t="s">
        <v>324</v>
      </c>
      <c r="F140" s="147" t="s">
        <v>487</v>
      </c>
      <c r="G140" s="147">
        <v>16</v>
      </c>
      <c r="H140" s="148">
        <v>57</v>
      </c>
      <c r="I140" s="149">
        <f t="shared" si="2"/>
        <v>912</v>
      </c>
      <c r="J140" s="150" t="s">
        <v>503</v>
      </c>
      <c r="K140" s="151">
        <v>19.152000000000001</v>
      </c>
      <c r="L140">
        <f>Table13[[#This Row],[Price]]*Table13[[#This Row],[Units]]</f>
        <v>912</v>
      </c>
    </row>
    <row r="141" spans="1:12" x14ac:dyDescent="0.35">
      <c r="A141" s="145">
        <v>45593</v>
      </c>
      <c r="B141" s="146" t="s">
        <v>645</v>
      </c>
      <c r="C141" s="147" t="s">
        <v>501</v>
      </c>
      <c r="D141" s="147" t="s">
        <v>486</v>
      </c>
      <c r="E141" s="147" t="s">
        <v>333</v>
      </c>
      <c r="F141" s="147" t="s">
        <v>510</v>
      </c>
      <c r="G141" s="147">
        <v>49</v>
      </c>
      <c r="H141" s="148">
        <v>41</v>
      </c>
      <c r="I141" s="149">
        <f t="shared" si="2"/>
        <v>2009</v>
      </c>
      <c r="J141" s="150" t="s">
        <v>472</v>
      </c>
      <c r="K141" s="151">
        <v>58.261000000000003</v>
      </c>
      <c r="L141">
        <f>Table13[[#This Row],[Price]]*Table13[[#This Row],[Units]]</f>
        <v>2009</v>
      </c>
    </row>
    <row r="142" spans="1:12" x14ac:dyDescent="0.35">
      <c r="A142" s="145">
        <v>45594</v>
      </c>
      <c r="B142" s="146" t="s">
        <v>646</v>
      </c>
      <c r="C142" s="147" t="s">
        <v>494</v>
      </c>
      <c r="D142" s="147" t="s">
        <v>512</v>
      </c>
      <c r="E142" s="147" t="s">
        <v>333</v>
      </c>
      <c r="F142" s="147" t="s">
        <v>478</v>
      </c>
      <c r="G142" s="147">
        <v>35</v>
      </c>
      <c r="H142" s="148">
        <v>55</v>
      </c>
      <c r="I142" s="149">
        <f t="shared" si="2"/>
        <v>1925</v>
      </c>
      <c r="J142" s="150" t="s">
        <v>472</v>
      </c>
      <c r="K142" s="151">
        <v>46.2</v>
      </c>
      <c r="L142">
        <f>Table13[[#This Row],[Price]]*Table13[[#This Row],[Units]]</f>
        <v>1925</v>
      </c>
    </row>
    <row r="143" spans="1:12" x14ac:dyDescent="0.35">
      <c r="A143" s="145">
        <v>45594</v>
      </c>
      <c r="B143" s="146" t="s">
        <v>647</v>
      </c>
      <c r="C143" s="147" t="s">
        <v>476</v>
      </c>
      <c r="D143" s="147" t="s">
        <v>470</v>
      </c>
      <c r="E143" s="147" t="s">
        <v>315</v>
      </c>
      <c r="F143" s="147" t="s">
        <v>539</v>
      </c>
      <c r="G143" s="147">
        <v>43</v>
      </c>
      <c r="H143" s="148">
        <v>37</v>
      </c>
      <c r="I143" s="149">
        <f t="shared" si="2"/>
        <v>1591</v>
      </c>
      <c r="J143" s="150" t="s">
        <v>466</v>
      </c>
      <c r="K143" s="151">
        <v>31.82</v>
      </c>
      <c r="L143">
        <f>Table13[[#This Row],[Price]]*Table13[[#This Row],[Units]]</f>
        <v>1591</v>
      </c>
    </row>
    <row r="144" spans="1:12" x14ac:dyDescent="0.35">
      <c r="A144" s="145">
        <v>45594</v>
      </c>
      <c r="B144" s="146" t="s">
        <v>648</v>
      </c>
      <c r="C144" s="147" t="s">
        <v>494</v>
      </c>
      <c r="D144" s="147" t="s">
        <v>470</v>
      </c>
      <c r="E144" s="147" t="s">
        <v>324</v>
      </c>
      <c r="F144" s="147" t="s">
        <v>471</v>
      </c>
      <c r="G144" s="147">
        <v>42</v>
      </c>
      <c r="H144" s="148">
        <v>22</v>
      </c>
      <c r="I144" s="149">
        <f t="shared" si="2"/>
        <v>924</v>
      </c>
      <c r="J144" s="150" t="s">
        <v>466</v>
      </c>
      <c r="K144" s="151">
        <v>19.404</v>
      </c>
      <c r="L144">
        <f>Table13[[#This Row],[Price]]*Table13[[#This Row],[Units]]</f>
        <v>924</v>
      </c>
    </row>
    <row r="145" spans="1:12" x14ac:dyDescent="0.35">
      <c r="A145" s="145">
        <v>45594</v>
      </c>
      <c r="B145" s="146" t="s">
        <v>649</v>
      </c>
      <c r="C145" s="147" t="s">
        <v>322</v>
      </c>
      <c r="D145" s="147" t="s">
        <v>490</v>
      </c>
      <c r="E145" s="147" t="s">
        <v>320</v>
      </c>
      <c r="F145" s="147" t="s">
        <v>471</v>
      </c>
      <c r="G145" s="147">
        <v>24</v>
      </c>
      <c r="H145" s="148">
        <v>41</v>
      </c>
      <c r="I145" s="149">
        <f t="shared" si="2"/>
        <v>984</v>
      </c>
      <c r="J145" s="150" t="s">
        <v>466</v>
      </c>
      <c r="K145" s="151">
        <v>28.536000000000001</v>
      </c>
      <c r="L145">
        <f>Table13[[#This Row],[Price]]*Table13[[#This Row],[Units]]</f>
        <v>984</v>
      </c>
    </row>
    <row r="146" spans="1:12" x14ac:dyDescent="0.35">
      <c r="A146" s="145">
        <v>45594</v>
      </c>
      <c r="B146" s="146" t="s">
        <v>650</v>
      </c>
      <c r="C146" s="147" t="s">
        <v>494</v>
      </c>
      <c r="D146" s="147" t="s">
        <v>519</v>
      </c>
      <c r="E146" s="147" t="s">
        <v>315</v>
      </c>
      <c r="F146" s="147" t="s">
        <v>520</v>
      </c>
      <c r="G146" s="147">
        <v>33</v>
      </c>
      <c r="H146" s="148">
        <v>43</v>
      </c>
      <c r="I146" s="149">
        <f t="shared" si="2"/>
        <v>1419</v>
      </c>
      <c r="J146" s="150" t="s">
        <v>472</v>
      </c>
      <c r="K146" s="151">
        <v>38.313000000000002</v>
      </c>
      <c r="L146">
        <f>Table13[[#This Row],[Price]]*Table13[[#This Row],[Units]]</f>
        <v>1419</v>
      </c>
    </row>
    <row r="147" spans="1:12" x14ac:dyDescent="0.35">
      <c r="A147" s="145">
        <v>45595</v>
      </c>
      <c r="B147" s="146" t="s">
        <v>651</v>
      </c>
      <c r="C147" s="147" t="s">
        <v>501</v>
      </c>
      <c r="D147" s="147" t="s">
        <v>490</v>
      </c>
      <c r="E147" s="147" t="s">
        <v>412</v>
      </c>
      <c r="F147" s="147" t="s">
        <v>536</v>
      </c>
      <c r="G147" s="147">
        <v>16</v>
      </c>
      <c r="H147" s="148">
        <v>51</v>
      </c>
      <c r="I147" s="149">
        <f t="shared" si="2"/>
        <v>816</v>
      </c>
      <c r="J147" s="150" t="s">
        <v>466</v>
      </c>
      <c r="K147" s="151">
        <v>19.584</v>
      </c>
      <c r="L147">
        <f>Table13[[#This Row],[Price]]*Table13[[#This Row],[Units]]</f>
        <v>816</v>
      </c>
    </row>
    <row r="148" spans="1:12" x14ac:dyDescent="0.35">
      <c r="A148" s="145">
        <v>45595</v>
      </c>
      <c r="B148" s="146" t="s">
        <v>652</v>
      </c>
      <c r="C148" s="147" t="s">
        <v>322</v>
      </c>
      <c r="D148" s="147" t="s">
        <v>486</v>
      </c>
      <c r="E148" s="147" t="s">
        <v>483</v>
      </c>
      <c r="F148" s="147" t="s">
        <v>500</v>
      </c>
      <c r="G148" s="147">
        <v>23</v>
      </c>
      <c r="H148" s="148">
        <v>41</v>
      </c>
      <c r="I148" s="149">
        <f t="shared" si="2"/>
        <v>943</v>
      </c>
      <c r="J148" s="150" t="s">
        <v>466</v>
      </c>
      <c r="K148" s="151">
        <v>28.29</v>
      </c>
      <c r="L148">
        <f>Table13[[#This Row],[Price]]*Table13[[#This Row],[Units]]</f>
        <v>943</v>
      </c>
    </row>
    <row r="149" spans="1:12" x14ac:dyDescent="0.35">
      <c r="A149" s="145">
        <v>45595</v>
      </c>
      <c r="B149" s="146" t="s">
        <v>653</v>
      </c>
      <c r="C149" s="147" t="s">
        <v>322</v>
      </c>
      <c r="D149" s="147" t="s">
        <v>512</v>
      </c>
      <c r="E149" s="147" t="s">
        <v>483</v>
      </c>
      <c r="F149" s="147" t="s">
        <v>497</v>
      </c>
      <c r="G149" s="147">
        <v>36</v>
      </c>
      <c r="H149" s="148">
        <v>26</v>
      </c>
      <c r="I149" s="149">
        <f t="shared" si="2"/>
        <v>936</v>
      </c>
      <c r="J149" s="150" t="s">
        <v>472</v>
      </c>
      <c r="K149" s="151">
        <v>21.527999999999999</v>
      </c>
      <c r="L149">
        <f>Table13[[#This Row],[Price]]*Table13[[#This Row],[Units]]</f>
        <v>936</v>
      </c>
    </row>
    <row r="150" spans="1:12" x14ac:dyDescent="0.35">
      <c r="A150" s="145">
        <v>45595</v>
      </c>
      <c r="B150" s="146" t="s">
        <v>654</v>
      </c>
      <c r="C150" s="147" t="s">
        <v>501</v>
      </c>
      <c r="D150" s="147" t="s">
        <v>486</v>
      </c>
      <c r="E150" s="147" t="s">
        <v>483</v>
      </c>
      <c r="F150" s="147" t="s">
        <v>497</v>
      </c>
      <c r="G150" s="147">
        <v>22</v>
      </c>
      <c r="H150" s="148">
        <v>35</v>
      </c>
      <c r="I150" s="149">
        <f t="shared" si="2"/>
        <v>770</v>
      </c>
      <c r="J150" s="150" t="s">
        <v>466</v>
      </c>
      <c r="K150" s="151">
        <v>19.25</v>
      </c>
      <c r="L150">
        <f>Table13[[#This Row],[Price]]*Table13[[#This Row],[Units]]</f>
        <v>770</v>
      </c>
    </row>
    <row r="151" spans="1:12" x14ac:dyDescent="0.35">
      <c r="A151" s="145">
        <v>45595</v>
      </c>
      <c r="B151" s="146" t="s">
        <v>655</v>
      </c>
      <c r="C151" s="147" t="s">
        <v>494</v>
      </c>
      <c r="D151" s="147" t="s">
        <v>486</v>
      </c>
      <c r="E151" s="147" t="s">
        <v>324</v>
      </c>
      <c r="F151" s="147" t="s">
        <v>536</v>
      </c>
      <c r="G151" s="147">
        <v>42</v>
      </c>
      <c r="H151" s="148">
        <v>54</v>
      </c>
      <c r="I151" s="149">
        <f t="shared" si="2"/>
        <v>2268</v>
      </c>
      <c r="J151" s="150" t="s">
        <v>466</v>
      </c>
      <c r="K151" s="151">
        <v>61.235999999999997</v>
      </c>
      <c r="L151">
        <f>Table13[[#This Row],[Price]]*Table13[[#This Row],[Units]]</f>
        <v>2268</v>
      </c>
    </row>
    <row r="152" spans="1:12" x14ac:dyDescent="0.35">
      <c r="A152" s="145">
        <v>45595</v>
      </c>
      <c r="B152" s="146" t="s">
        <v>656</v>
      </c>
      <c r="C152" s="147" t="s">
        <v>501</v>
      </c>
      <c r="D152" s="147" t="s">
        <v>512</v>
      </c>
      <c r="E152" s="147" t="s">
        <v>324</v>
      </c>
      <c r="F152" s="147" t="s">
        <v>505</v>
      </c>
      <c r="G152" s="147">
        <v>52</v>
      </c>
      <c r="H152" s="148">
        <v>40</v>
      </c>
      <c r="I152" s="149">
        <f t="shared" si="2"/>
        <v>2080</v>
      </c>
      <c r="J152" s="150" t="s">
        <v>466</v>
      </c>
      <c r="K152" s="151">
        <v>49.92</v>
      </c>
      <c r="L152">
        <f>Table13[[#This Row],[Price]]*Table13[[#This Row],[Units]]</f>
        <v>2080</v>
      </c>
    </row>
    <row r="153" spans="1:12" x14ac:dyDescent="0.35">
      <c r="A153" s="145">
        <v>45595</v>
      </c>
      <c r="B153" s="146" t="s">
        <v>657</v>
      </c>
      <c r="C153" s="147" t="s">
        <v>469</v>
      </c>
      <c r="D153" s="147" t="s">
        <v>477</v>
      </c>
      <c r="E153" s="147" t="s">
        <v>483</v>
      </c>
      <c r="F153" s="147" t="s">
        <v>520</v>
      </c>
      <c r="G153" s="147">
        <v>17</v>
      </c>
      <c r="H153" s="148">
        <v>24</v>
      </c>
      <c r="I153" s="149">
        <f t="shared" si="2"/>
        <v>408</v>
      </c>
      <c r="J153" s="150" t="s">
        <v>466</v>
      </c>
      <c r="K153" s="151">
        <v>9.7919999999999998</v>
      </c>
      <c r="L153">
        <f>Table13[[#This Row],[Price]]*Table13[[#This Row],[Units]]</f>
        <v>408</v>
      </c>
    </row>
    <row r="154" spans="1:12" x14ac:dyDescent="0.35">
      <c r="A154" s="145">
        <v>45595</v>
      </c>
      <c r="B154" s="146" t="s">
        <v>658</v>
      </c>
      <c r="C154" s="147" t="s">
        <v>492</v>
      </c>
      <c r="D154" s="147" t="s">
        <v>519</v>
      </c>
      <c r="E154" s="147" t="s">
        <v>320</v>
      </c>
      <c r="F154" s="147" t="s">
        <v>491</v>
      </c>
      <c r="G154" s="147">
        <v>37</v>
      </c>
      <c r="H154" s="148">
        <v>60</v>
      </c>
      <c r="I154" s="149">
        <f t="shared" si="2"/>
        <v>2220</v>
      </c>
      <c r="J154" s="150" t="s">
        <v>472</v>
      </c>
      <c r="K154" s="151">
        <v>62.16</v>
      </c>
      <c r="L154">
        <f>Table13[[#This Row],[Price]]*Table13[[#This Row],[Units]]</f>
        <v>2220</v>
      </c>
    </row>
    <row r="155" spans="1:12" x14ac:dyDescent="0.35">
      <c r="A155" s="145">
        <v>45595</v>
      </c>
      <c r="B155" s="146" t="s">
        <v>659</v>
      </c>
      <c r="C155" s="147" t="s">
        <v>484</v>
      </c>
      <c r="D155" s="147" t="s">
        <v>490</v>
      </c>
      <c r="E155" s="147" t="s">
        <v>333</v>
      </c>
      <c r="F155" s="147" t="s">
        <v>487</v>
      </c>
      <c r="G155" s="147">
        <v>52</v>
      </c>
      <c r="H155" s="148">
        <v>20</v>
      </c>
      <c r="I155" s="149">
        <f t="shared" si="2"/>
        <v>1040</v>
      </c>
      <c r="J155" s="150" t="s">
        <v>466</v>
      </c>
      <c r="K155" s="151">
        <v>31.2</v>
      </c>
      <c r="L155">
        <f>Table13[[#This Row],[Price]]*Table13[[#This Row],[Units]]</f>
        <v>1040</v>
      </c>
    </row>
    <row r="156" spans="1:12" x14ac:dyDescent="0.35">
      <c r="A156" s="145">
        <v>45595</v>
      </c>
      <c r="B156" s="146" t="s">
        <v>660</v>
      </c>
      <c r="C156" s="147" t="s">
        <v>489</v>
      </c>
      <c r="D156" s="147" t="s">
        <v>486</v>
      </c>
      <c r="E156" s="147" t="s">
        <v>320</v>
      </c>
      <c r="F156" s="147" t="s">
        <v>497</v>
      </c>
      <c r="G156" s="147">
        <v>18</v>
      </c>
      <c r="H156" s="148">
        <v>39</v>
      </c>
      <c r="I156" s="149">
        <f t="shared" si="2"/>
        <v>702</v>
      </c>
      <c r="J156" s="150" t="s">
        <v>472</v>
      </c>
      <c r="K156" s="151">
        <v>15.444000000000001</v>
      </c>
      <c r="L156">
        <f>Table13[[#This Row],[Price]]*Table13[[#This Row],[Units]]</f>
        <v>702</v>
      </c>
    </row>
    <row r="157" spans="1:12" x14ac:dyDescent="0.35">
      <c r="A157" s="145">
        <v>45595</v>
      </c>
      <c r="B157" s="146" t="s">
        <v>661</v>
      </c>
      <c r="C157" s="147" t="s">
        <v>494</v>
      </c>
      <c r="D157" s="147" t="s">
        <v>477</v>
      </c>
      <c r="E157" s="147" t="s">
        <v>333</v>
      </c>
      <c r="F157" s="147" t="s">
        <v>510</v>
      </c>
      <c r="G157" s="147">
        <v>34</v>
      </c>
      <c r="H157" s="148">
        <v>38</v>
      </c>
      <c r="I157" s="149">
        <f t="shared" si="2"/>
        <v>1292</v>
      </c>
      <c r="J157" s="150" t="s">
        <v>515</v>
      </c>
      <c r="K157" s="151">
        <v>36.176000000000002</v>
      </c>
      <c r="L157">
        <f>Table13[[#This Row],[Price]]*Table13[[#This Row],[Units]]</f>
        <v>1292</v>
      </c>
    </row>
    <row r="158" spans="1:12" x14ac:dyDescent="0.35">
      <c r="A158" s="145">
        <v>45595</v>
      </c>
      <c r="B158" s="146" t="s">
        <v>662</v>
      </c>
      <c r="C158" s="147" t="s">
        <v>322</v>
      </c>
      <c r="D158" s="147" t="s">
        <v>470</v>
      </c>
      <c r="E158" s="147" t="s">
        <v>390</v>
      </c>
      <c r="F158" s="147" t="s">
        <v>567</v>
      </c>
      <c r="G158" s="147">
        <v>11</v>
      </c>
      <c r="H158" s="148">
        <v>26</v>
      </c>
      <c r="I158" s="149">
        <f t="shared" si="2"/>
        <v>286</v>
      </c>
      <c r="J158" s="150" t="s">
        <v>466</v>
      </c>
      <c r="K158" s="151">
        <v>8.0079999999999991</v>
      </c>
      <c r="L158">
        <f>Table13[[#This Row],[Price]]*Table13[[#This Row],[Units]]</f>
        <v>286</v>
      </c>
    </row>
    <row r="159" spans="1:12" x14ac:dyDescent="0.35">
      <c r="A159" s="145">
        <v>45595</v>
      </c>
      <c r="B159" s="146" t="s">
        <v>663</v>
      </c>
      <c r="C159" s="147" t="s">
        <v>494</v>
      </c>
      <c r="D159" s="147" t="s">
        <v>470</v>
      </c>
      <c r="E159" s="147" t="s">
        <v>390</v>
      </c>
      <c r="F159" s="147" t="s">
        <v>520</v>
      </c>
      <c r="G159" s="147">
        <v>24</v>
      </c>
      <c r="H159" s="148">
        <v>20</v>
      </c>
      <c r="I159" s="149">
        <f t="shared" si="2"/>
        <v>480</v>
      </c>
      <c r="J159" s="150" t="s">
        <v>466</v>
      </c>
      <c r="K159" s="151">
        <v>12</v>
      </c>
      <c r="L159">
        <f>Table13[[#This Row],[Price]]*Table13[[#This Row],[Units]]</f>
        <v>480</v>
      </c>
    </row>
    <row r="160" spans="1:12" x14ac:dyDescent="0.35">
      <c r="A160" s="145">
        <v>45595</v>
      </c>
      <c r="B160" s="146" t="s">
        <v>664</v>
      </c>
      <c r="C160" s="147" t="s">
        <v>492</v>
      </c>
      <c r="D160" s="147" t="s">
        <v>490</v>
      </c>
      <c r="E160" s="147" t="s">
        <v>324</v>
      </c>
      <c r="F160" s="147" t="s">
        <v>454</v>
      </c>
      <c r="G160" s="147">
        <v>57</v>
      </c>
      <c r="H160" s="148">
        <v>41</v>
      </c>
      <c r="I160" s="149">
        <f t="shared" si="2"/>
        <v>2337</v>
      </c>
      <c r="J160" s="150" t="s">
        <v>515</v>
      </c>
      <c r="K160" s="151">
        <v>58.424999999999997</v>
      </c>
      <c r="L160">
        <f>Table13[[#This Row],[Price]]*Table13[[#This Row],[Units]]</f>
        <v>2337</v>
      </c>
    </row>
    <row r="161" spans="1:12" x14ac:dyDescent="0.35">
      <c r="A161" s="145">
        <v>45595</v>
      </c>
      <c r="B161" s="146" t="s">
        <v>665</v>
      </c>
      <c r="C161" s="147" t="s">
        <v>492</v>
      </c>
      <c r="D161" s="147" t="s">
        <v>477</v>
      </c>
      <c r="E161" s="147" t="s">
        <v>324</v>
      </c>
      <c r="F161" s="147" t="s">
        <v>513</v>
      </c>
      <c r="G161" s="147">
        <v>47</v>
      </c>
      <c r="H161" s="148">
        <v>58</v>
      </c>
      <c r="I161" s="149">
        <f t="shared" si="2"/>
        <v>2726</v>
      </c>
      <c r="J161" s="150" t="s">
        <v>466</v>
      </c>
      <c r="K161" s="151">
        <v>81.78</v>
      </c>
      <c r="L161">
        <f>Table13[[#This Row],[Price]]*Table13[[#This Row],[Units]]</f>
        <v>2726</v>
      </c>
    </row>
    <row r="162" spans="1:12" x14ac:dyDescent="0.35">
      <c r="A162" s="145">
        <v>45595</v>
      </c>
      <c r="B162" s="146" t="s">
        <v>666</v>
      </c>
      <c r="C162" s="147" t="s">
        <v>489</v>
      </c>
      <c r="D162" s="147" t="s">
        <v>465</v>
      </c>
      <c r="E162" s="147" t="s">
        <v>412</v>
      </c>
      <c r="F162" s="147" t="s">
        <v>505</v>
      </c>
      <c r="G162" s="147">
        <v>28</v>
      </c>
      <c r="H162" s="148">
        <v>45</v>
      </c>
      <c r="I162" s="149">
        <f t="shared" si="2"/>
        <v>1260</v>
      </c>
      <c r="J162" s="150" t="s">
        <v>466</v>
      </c>
      <c r="K162" s="151">
        <v>32.76</v>
      </c>
      <c r="L162">
        <f>Table13[[#This Row],[Price]]*Table13[[#This Row],[Units]]</f>
        <v>1260</v>
      </c>
    </row>
    <row r="163" spans="1:12" x14ac:dyDescent="0.35">
      <c r="A163" s="145">
        <v>45595</v>
      </c>
      <c r="B163" s="146" t="s">
        <v>667</v>
      </c>
      <c r="C163" s="147" t="s">
        <v>494</v>
      </c>
      <c r="D163" s="147" t="s">
        <v>486</v>
      </c>
      <c r="E163" s="147" t="s">
        <v>333</v>
      </c>
      <c r="F163" s="147" t="s">
        <v>520</v>
      </c>
      <c r="G163" s="147">
        <v>35</v>
      </c>
      <c r="H163" s="148">
        <v>36</v>
      </c>
      <c r="I163" s="149">
        <f t="shared" si="2"/>
        <v>1260</v>
      </c>
      <c r="J163" s="150" t="s">
        <v>466</v>
      </c>
      <c r="K163" s="151">
        <v>31.5</v>
      </c>
      <c r="L163">
        <f>Table13[[#This Row],[Price]]*Table13[[#This Row],[Units]]</f>
        <v>1260</v>
      </c>
    </row>
    <row r="164" spans="1:12" x14ac:dyDescent="0.35">
      <c r="A164" s="145">
        <v>45595</v>
      </c>
      <c r="B164" s="146" t="s">
        <v>668</v>
      </c>
      <c r="C164" s="147" t="s">
        <v>501</v>
      </c>
      <c r="D164" s="147" t="s">
        <v>477</v>
      </c>
      <c r="E164" s="147" t="s">
        <v>324</v>
      </c>
      <c r="F164" s="147" t="s">
        <v>491</v>
      </c>
      <c r="G164" s="147">
        <v>34</v>
      </c>
      <c r="H164" s="148">
        <v>30</v>
      </c>
      <c r="I164" s="149">
        <f t="shared" si="2"/>
        <v>1020</v>
      </c>
      <c r="J164" s="150" t="s">
        <v>515</v>
      </c>
      <c r="K164" s="151">
        <v>25.5</v>
      </c>
      <c r="L164">
        <f>Table13[[#This Row],[Price]]*Table13[[#This Row],[Units]]</f>
        <v>1020</v>
      </c>
    </row>
    <row r="165" spans="1:12" x14ac:dyDescent="0.35">
      <c r="A165" s="145">
        <v>45595</v>
      </c>
      <c r="B165" s="146" t="s">
        <v>669</v>
      </c>
      <c r="C165" s="147" t="s">
        <v>322</v>
      </c>
      <c r="D165" s="147" t="s">
        <v>470</v>
      </c>
      <c r="E165" s="147" t="s">
        <v>320</v>
      </c>
      <c r="F165" s="147" t="s">
        <v>567</v>
      </c>
      <c r="G165" s="147">
        <v>41</v>
      </c>
      <c r="H165" s="148">
        <v>39</v>
      </c>
      <c r="I165" s="149">
        <f t="shared" si="2"/>
        <v>1599</v>
      </c>
      <c r="J165" s="150" t="s">
        <v>466</v>
      </c>
      <c r="K165" s="151">
        <v>33.579000000000001</v>
      </c>
      <c r="L165">
        <f>Table13[[#This Row],[Price]]*Table13[[#This Row],[Units]]</f>
        <v>1599</v>
      </c>
    </row>
    <row r="166" spans="1:12" x14ac:dyDescent="0.35">
      <c r="A166" s="145">
        <v>45595</v>
      </c>
      <c r="B166" s="146" t="s">
        <v>670</v>
      </c>
      <c r="C166" s="147" t="s">
        <v>476</v>
      </c>
      <c r="D166" s="147" t="s">
        <v>465</v>
      </c>
      <c r="E166" s="147" t="s">
        <v>483</v>
      </c>
      <c r="F166" s="147" t="s">
        <v>500</v>
      </c>
      <c r="G166" s="147">
        <v>26</v>
      </c>
      <c r="H166" s="148">
        <v>31</v>
      </c>
      <c r="I166" s="149">
        <f t="shared" si="2"/>
        <v>806</v>
      </c>
      <c r="J166" s="150" t="s">
        <v>472</v>
      </c>
      <c r="K166" s="151">
        <v>24.18</v>
      </c>
      <c r="L166">
        <f>Table13[[#This Row],[Price]]*Table13[[#This Row],[Units]]</f>
        <v>806</v>
      </c>
    </row>
    <row r="167" spans="1:12" x14ac:dyDescent="0.35">
      <c r="A167" s="145">
        <v>45596</v>
      </c>
      <c r="B167" s="146" t="s">
        <v>671</v>
      </c>
      <c r="C167" s="147" t="s">
        <v>494</v>
      </c>
      <c r="D167" s="147" t="s">
        <v>490</v>
      </c>
      <c r="E167" s="147" t="s">
        <v>333</v>
      </c>
      <c r="F167" s="147" t="s">
        <v>454</v>
      </c>
      <c r="G167" s="147">
        <v>30</v>
      </c>
      <c r="H167" s="148">
        <v>35</v>
      </c>
      <c r="I167" s="149">
        <f t="shared" si="2"/>
        <v>1050</v>
      </c>
      <c r="J167" s="150" t="s">
        <v>466</v>
      </c>
      <c r="K167" s="151">
        <v>26.25</v>
      </c>
      <c r="L167">
        <f>Table13[[#This Row],[Price]]*Table13[[#This Row],[Units]]</f>
        <v>1050</v>
      </c>
    </row>
    <row r="168" spans="1:12" x14ac:dyDescent="0.35">
      <c r="A168" s="145">
        <v>45597</v>
      </c>
      <c r="B168" s="146" t="s">
        <v>672</v>
      </c>
      <c r="C168" s="147" t="s">
        <v>322</v>
      </c>
      <c r="D168" s="147" t="s">
        <v>519</v>
      </c>
      <c r="E168" s="147" t="s">
        <v>320</v>
      </c>
      <c r="F168" s="147" t="s">
        <v>520</v>
      </c>
      <c r="G168" s="147">
        <v>43</v>
      </c>
      <c r="H168" s="148">
        <v>43</v>
      </c>
      <c r="I168" s="149">
        <f t="shared" si="2"/>
        <v>1849</v>
      </c>
      <c r="J168" s="150" t="s">
        <v>472</v>
      </c>
      <c r="K168" s="151">
        <v>38.829000000000001</v>
      </c>
      <c r="L168">
        <f>Table13[[#This Row],[Price]]*Table13[[#This Row],[Units]]</f>
        <v>1849</v>
      </c>
    </row>
    <row r="169" spans="1:12" x14ac:dyDescent="0.35">
      <c r="A169" s="145">
        <v>45597</v>
      </c>
      <c r="B169" s="146" t="s">
        <v>673</v>
      </c>
      <c r="C169" s="147" t="s">
        <v>322</v>
      </c>
      <c r="D169" s="147" t="s">
        <v>470</v>
      </c>
      <c r="E169" s="147" t="s">
        <v>333</v>
      </c>
      <c r="F169" s="147" t="s">
        <v>523</v>
      </c>
      <c r="G169" s="147">
        <v>14</v>
      </c>
      <c r="H169" s="148">
        <v>42</v>
      </c>
      <c r="I169" s="149">
        <f t="shared" si="2"/>
        <v>588</v>
      </c>
      <c r="J169" s="150" t="s">
        <v>466</v>
      </c>
      <c r="K169" s="151">
        <v>11.76</v>
      </c>
      <c r="L169">
        <f>Table13[[#This Row],[Price]]*Table13[[#This Row],[Units]]</f>
        <v>588</v>
      </c>
    </row>
    <row r="170" spans="1:12" x14ac:dyDescent="0.35">
      <c r="A170" s="145">
        <v>45597</v>
      </c>
      <c r="B170" s="146" t="s">
        <v>674</v>
      </c>
      <c r="C170" s="147" t="s">
        <v>484</v>
      </c>
      <c r="D170" s="147" t="s">
        <v>470</v>
      </c>
      <c r="E170" s="147" t="s">
        <v>315</v>
      </c>
      <c r="F170" s="147" t="s">
        <v>454</v>
      </c>
      <c r="G170" s="147">
        <v>15</v>
      </c>
      <c r="H170" s="148">
        <v>24</v>
      </c>
      <c r="I170" s="149">
        <f t="shared" si="2"/>
        <v>360</v>
      </c>
      <c r="J170" s="150" t="s">
        <v>472</v>
      </c>
      <c r="K170" s="151">
        <v>9</v>
      </c>
      <c r="L170">
        <f>Table13[[#This Row],[Price]]*Table13[[#This Row],[Units]]</f>
        <v>360</v>
      </c>
    </row>
    <row r="171" spans="1:12" x14ac:dyDescent="0.35">
      <c r="A171" s="145">
        <v>45597</v>
      </c>
      <c r="B171" s="146" t="s">
        <v>675</v>
      </c>
      <c r="C171" s="147" t="s">
        <v>322</v>
      </c>
      <c r="D171" s="147" t="s">
        <v>477</v>
      </c>
      <c r="E171" s="147" t="s">
        <v>320</v>
      </c>
      <c r="F171" s="147" t="s">
        <v>500</v>
      </c>
      <c r="G171" s="147">
        <v>54</v>
      </c>
      <c r="H171" s="148">
        <v>54</v>
      </c>
      <c r="I171" s="149">
        <f t="shared" si="2"/>
        <v>2916</v>
      </c>
      <c r="J171" s="150" t="s">
        <v>472</v>
      </c>
      <c r="K171" s="151">
        <v>87.48</v>
      </c>
      <c r="L171">
        <f>Table13[[#This Row],[Price]]*Table13[[#This Row],[Units]]</f>
        <v>2916</v>
      </c>
    </row>
    <row r="172" spans="1:12" x14ac:dyDescent="0.35">
      <c r="A172" s="145">
        <v>45598</v>
      </c>
      <c r="B172" s="146" t="s">
        <v>676</v>
      </c>
      <c r="C172" s="147" t="s">
        <v>494</v>
      </c>
      <c r="D172" s="147" t="s">
        <v>512</v>
      </c>
      <c r="E172" s="147" t="s">
        <v>320</v>
      </c>
      <c r="F172" s="147" t="s">
        <v>478</v>
      </c>
      <c r="G172" s="147">
        <v>38</v>
      </c>
      <c r="H172" s="148">
        <v>39</v>
      </c>
      <c r="I172" s="149">
        <f t="shared" si="2"/>
        <v>1482</v>
      </c>
      <c r="J172" s="150" t="s">
        <v>515</v>
      </c>
      <c r="K172" s="151">
        <v>41.496000000000002</v>
      </c>
      <c r="L172">
        <f>Table13[[#This Row],[Price]]*Table13[[#This Row],[Units]]</f>
        <v>1482</v>
      </c>
    </row>
    <row r="173" spans="1:12" x14ac:dyDescent="0.35">
      <c r="A173" s="145">
        <v>45599</v>
      </c>
      <c r="B173" s="146" t="s">
        <v>677</v>
      </c>
      <c r="C173" s="147" t="s">
        <v>501</v>
      </c>
      <c r="D173" s="147" t="s">
        <v>465</v>
      </c>
      <c r="E173" s="147" t="s">
        <v>315</v>
      </c>
      <c r="F173" s="147" t="s">
        <v>505</v>
      </c>
      <c r="G173" s="147">
        <v>47</v>
      </c>
      <c r="H173" s="148">
        <v>25</v>
      </c>
      <c r="I173" s="149">
        <f t="shared" si="2"/>
        <v>1175</v>
      </c>
      <c r="J173" s="150" t="s">
        <v>466</v>
      </c>
      <c r="K173" s="151">
        <v>35.25</v>
      </c>
      <c r="L173">
        <f>Table13[[#This Row],[Price]]*Table13[[#This Row],[Units]]</f>
        <v>1175</v>
      </c>
    </row>
    <row r="174" spans="1:12" x14ac:dyDescent="0.35">
      <c r="A174" s="145">
        <v>45599</v>
      </c>
      <c r="B174" s="146" t="s">
        <v>678</v>
      </c>
      <c r="C174" s="147" t="s">
        <v>464</v>
      </c>
      <c r="D174" s="147" t="s">
        <v>477</v>
      </c>
      <c r="E174" s="147" t="s">
        <v>315</v>
      </c>
      <c r="F174" s="147" t="s">
        <v>517</v>
      </c>
      <c r="G174" s="147">
        <v>44</v>
      </c>
      <c r="H174" s="148">
        <v>29</v>
      </c>
      <c r="I174" s="149">
        <f t="shared" si="2"/>
        <v>1276</v>
      </c>
      <c r="J174" s="150" t="s">
        <v>503</v>
      </c>
      <c r="K174" s="151">
        <v>25.52</v>
      </c>
      <c r="L174">
        <f>Table13[[#This Row],[Price]]*Table13[[#This Row],[Units]]</f>
        <v>1276</v>
      </c>
    </row>
    <row r="175" spans="1:12" x14ac:dyDescent="0.35">
      <c r="A175" s="145">
        <v>45599</v>
      </c>
      <c r="B175" s="146" t="s">
        <v>679</v>
      </c>
      <c r="C175" s="147" t="s">
        <v>469</v>
      </c>
      <c r="D175" s="147" t="s">
        <v>490</v>
      </c>
      <c r="E175" s="147" t="s">
        <v>324</v>
      </c>
      <c r="F175" s="147" t="s">
        <v>478</v>
      </c>
      <c r="G175" s="147">
        <v>31</v>
      </c>
      <c r="H175" s="148">
        <v>45</v>
      </c>
      <c r="I175" s="149">
        <f t="shared" si="2"/>
        <v>1395</v>
      </c>
      <c r="J175" s="150" t="s">
        <v>515</v>
      </c>
      <c r="K175" s="151">
        <v>40.454999999999998</v>
      </c>
      <c r="L175">
        <f>Table13[[#This Row],[Price]]*Table13[[#This Row],[Units]]</f>
        <v>1395</v>
      </c>
    </row>
    <row r="176" spans="1:12" x14ac:dyDescent="0.35">
      <c r="A176" s="145">
        <v>45599</v>
      </c>
      <c r="B176" s="146" t="s">
        <v>680</v>
      </c>
      <c r="C176" s="147" t="s">
        <v>464</v>
      </c>
      <c r="D176" s="147" t="s">
        <v>477</v>
      </c>
      <c r="E176" s="147" t="s">
        <v>483</v>
      </c>
      <c r="F176" s="147" t="s">
        <v>517</v>
      </c>
      <c r="G176" s="147">
        <v>52</v>
      </c>
      <c r="H176" s="148">
        <v>55</v>
      </c>
      <c r="I176" s="149">
        <f t="shared" si="2"/>
        <v>2860</v>
      </c>
      <c r="J176" s="150" t="s">
        <v>515</v>
      </c>
      <c r="K176" s="151">
        <v>60.06</v>
      </c>
      <c r="L176">
        <f>Table13[[#This Row],[Price]]*Table13[[#This Row],[Units]]</f>
        <v>2860</v>
      </c>
    </row>
    <row r="177" spans="1:12" x14ac:dyDescent="0.35">
      <c r="A177" s="145">
        <v>45599</v>
      </c>
      <c r="B177" s="146" t="s">
        <v>681</v>
      </c>
      <c r="C177" s="147" t="s">
        <v>464</v>
      </c>
      <c r="D177" s="147" t="s">
        <v>519</v>
      </c>
      <c r="E177" s="147" t="s">
        <v>412</v>
      </c>
      <c r="F177" s="147" t="s">
        <v>478</v>
      </c>
      <c r="G177" s="147">
        <v>60</v>
      </c>
      <c r="H177" s="148">
        <v>26</v>
      </c>
      <c r="I177" s="149">
        <f t="shared" si="2"/>
        <v>1560</v>
      </c>
      <c r="J177" s="150" t="s">
        <v>466</v>
      </c>
      <c r="K177" s="151">
        <v>45.24</v>
      </c>
      <c r="L177">
        <f>Table13[[#This Row],[Price]]*Table13[[#This Row],[Units]]</f>
        <v>1560</v>
      </c>
    </row>
    <row r="178" spans="1:12" x14ac:dyDescent="0.35">
      <c r="A178" s="145">
        <v>45599</v>
      </c>
      <c r="B178" s="146" t="s">
        <v>682</v>
      </c>
      <c r="C178" s="147" t="s">
        <v>476</v>
      </c>
      <c r="D178" s="147" t="s">
        <v>519</v>
      </c>
      <c r="E178" s="147" t="s">
        <v>333</v>
      </c>
      <c r="F178" s="147" t="s">
        <v>528</v>
      </c>
      <c r="G178" s="147">
        <v>28</v>
      </c>
      <c r="H178" s="148">
        <v>35</v>
      </c>
      <c r="I178" s="149">
        <f t="shared" si="2"/>
        <v>980</v>
      </c>
      <c r="J178" s="150" t="s">
        <v>466</v>
      </c>
      <c r="K178" s="151">
        <v>26.46</v>
      </c>
      <c r="L178">
        <f>Table13[[#This Row],[Price]]*Table13[[#This Row],[Units]]</f>
        <v>980</v>
      </c>
    </row>
    <row r="179" spans="1:12" x14ac:dyDescent="0.35">
      <c r="A179" s="145">
        <v>45599</v>
      </c>
      <c r="B179" s="146" t="s">
        <v>683</v>
      </c>
      <c r="C179" s="147" t="s">
        <v>464</v>
      </c>
      <c r="D179" s="147" t="s">
        <v>490</v>
      </c>
      <c r="E179" s="147" t="s">
        <v>315</v>
      </c>
      <c r="F179" s="147" t="s">
        <v>523</v>
      </c>
      <c r="G179" s="147">
        <v>38</v>
      </c>
      <c r="H179" s="148">
        <v>29</v>
      </c>
      <c r="I179" s="149">
        <f t="shared" si="2"/>
        <v>1102</v>
      </c>
      <c r="J179" s="150" t="s">
        <v>472</v>
      </c>
      <c r="K179" s="151">
        <v>23.141999999999999</v>
      </c>
      <c r="L179">
        <f>Table13[[#This Row],[Price]]*Table13[[#This Row],[Units]]</f>
        <v>1102</v>
      </c>
    </row>
    <row r="180" spans="1:12" x14ac:dyDescent="0.35">
      <c r="A180" s="145">
        <v>45599</v>
      </c>
      <c r="B180" s="146" t="s">
        <v>684</v>
      </c>
      <c r="C180" s="147" t="s">
        <v>322</v>
      </c>
      <c r="D180" s="147" t="s">
        <v>470</v>
      </c>
      <c r="E180" s="147" t="s">
        <v>320</v>
      </c>
      <c r="F180" s="147" t="s">
        <v>505</v>
      </c>
      <c r="G180" s="147">
        <v>36</v>
      </c>
      <c r="H180" s="148">
        <v>50</v>
      </c>
      <c r="I180" s="149">
        <f t="shared" si="2"/>
        <v>1800</v>
      </c>
      <c r="J180" s="150" t="s">
        <v>466</v>
      </c>
      <c r="K180" s="151">
        <v>52.2</v>
      </c>
      <c r="L180">
        <f>Table13[[#This Row],[Price]]*Table13[[#This Row],[Units]]</f>
        <v>1800</v>
      </c>
    </row>
    <row r="181" spans="1:12" x14ac:dyDescent="0.35">
      <c r="A181" s="145">
        <v>45599</v>
      </c>
      <c r="B181" s="146" t="s">
        <v>685</v>
      </c>
      <c r="C181" s="147" t="s">
        <v>501</v>
      </c>
      <c r="D181" s="147" t="s">
        <v>477</v>
      </c>
      <c r="E181" s="147" t="s">
        <v>412</v>
      </c>
      <c r="F181" s="147" t="s">
        <v>536</v>
      </c>
      <c r="G181" s="147">
        <v>32</v>
      </c>
      <c r="H181" s="148">
        <v>58</v>
      </c>
      <c r="I181" s="149">
        <f t="shared" si="2"/>
        <v>1856</v>
      </c>
      <c r="J181" s="150" t="s">
        <v>515</v>
      </c>
      <c r="K181" s="151">
        <v>46.4</v>
      </c>
      <c r="L181">
        <f>Table13[[#This Row],[Price]]*Table13[[#This Row],[Units]]</f>
        <v>1856</v>
      </c>
    </row>
    <row r="182" spans="1:12" x14ac:dyDescent="0.35">
      <c r="A182" s="145">
        <v>45599</v>
      </c>
      <c r="B182" s="146" t="s">
        <v>686</v>
      </c>
      <c r="C182" s="147" t="s">
        <v>501</v>
      </c>
      <c r="D182" s="147" t="s">
        <v>470</v>
      </c>
      <c r="E182" s="147" t="s">
        <v>333</v>
      </c>
      <c r="F182" s="147" t="s">
        <v>510</v>
      </c>
      <c r="G182" s="147">
        <v>20</v>
      </c>
      <c r="H182" s="148">
        <v>55</v>
      </c>
      <c r="I182" s="149">
        <f t="shared" si="2"/>
        <v>1100</v>
      </c>
      <c r="J182" s="150" t="s">
        <v>466</v>
      </c>
      <c r="K182" s="151">
        <v>26.4</v>
      </c>
      <c r="L182">
        <f>Table13[[#This Row],[Price]]*Table13[[#This Row],[Units]]</f>
        <v>1100</v>
      </c>
    </row>
    <row r="183" spans="1:12" x14ac:dyDescent="0.35">
      <c r="A183" s="145">
        <v>45599</v>
      </c>
      <c r="B183" s="146" t="s">
        <v>687</v>
      </c>
      <c r="C183" s="147" t="s">
        <v>489</v>
      </c>
      <c r="D183" s="147" t="s">
        <v>490</v>
      </c>
      <c r="E183" s="147" t="s">
        <v>390</v>
      </c>
      <c r="F183" s="147" t="s">
        <v>520</v>
      </c>
      <c r="G183" s="147">
        <v>33</v>
      </c>
      <c r="H183" s="148">
        <v>45</v>
      </c>
      <c r="I183" s="149">
        <f t="shared" si="2"/>
        <v>1485</v>
      </c>
      <c r="J183" s="150" t="s">
        <v>466</v>
      </c>
      <c r="K183" s="151">
        <v>40.094999999999999</v>
      </c>
      <c r="L183">
        <f>Table13[[#This Row],[Price]]*Table13[[#This Row],[Units]]</f>
        <v>1485</v>
      </c>
    </row>
    <row r="184" spans="1:12" x14ac:dyDescent="0.35">
      <c r="A184" s="145">
        <v>45599</v>
      </c>
      <c r="B184" s="146" t="s">
        <v>688</v>
      </c>
      <c r="C184" s="147" t="s">
        <v>484</v>
      </c>
      <c r="D184" s="147" t="s">
        <v>519</v>
      </c>
      <c r="E184" s="147" t="s">
        <v>324</v>
      </c>
      <c r="F184" s="147" t="s">
        <v>513</v>
      </c>
      <c r="G184" s="147">
        <v>38</v>
      </c>
      <c r="H184" s="148">
        <v>35</v>
      </c>
      <c r="I184" s="149">
        <f t="shared" si="2"/>
        <v>1330</v>
      </c>
      <c r="J184" s="150" t="s">
        <v>466</v>
      </c>
      <c r="K184" s="151">
        <v>31.92</v>
      </c>
      <c r="L184">
        <f>Table13[[#This Row],[Price]]*Table13[[#This Row],[Units]]</f>
        <v>1330</v>
      </c>
    </row>
    <row r="185" spans="1:12" x14ac:dyDescent="0.35">
      <c r="A185" s="145">
        <v>45599</v>
      </c>
      <c r="B185" s="146" t="s">
        <v>689</v>
      </c>
      <c r="C185" s="147" t="s">
        <v>476</v>
      </c>
      <c r="D185" s="147" t="s">
        <v>465</v>
      </c>
      <c r="E185" s="147" t="s">
        <v>324</v>
      </c>
      <c r="F185" s="147" t="s">
        <v>510</v>
      </c>
      <c r="G185" s="147">
        <v>40</v>
      </c>
      <c r="H185" s="148">
        <v>46</v>
      </c>
      <c r="I185" s="149">
        <f t="shared" si="2"/>
        <v>1840</v>
      </c>
      <c r="J185" s="150" t="s">
        <v>466</v>
      </c>
      <c r="K185" s="151">
        <v>36.799999999999997</v>
      </c>
      <c r="L185">
        <f>Table13[[#This Row],[Price]]*Table13[[#This Row],[Units]]</f>
        <v>1840</v>
      </c>
    </row>
    <row r="186" spans="1:12" x14ac:dyDescent="0.35">
      <c r="A186" s="145">
        <v>45599</v>
      </c>
      <c r="B186" s="146" t="s">
        <v>690</v>
      </c>
      <c r="C186" s="147" t="s">
        <v>494</v>
      </c>
      <c r="D186" s="147" t="s">
        <v>486</v>
      </c>
      <c r="E186" s="147" t="s">
        <v>320</v>
      </c>
      <c r="F186" s="147" t="s">
        <v>471</v>
      </c>
      <c r="G186" s="147">
        <v>28</v>
      </c>
      <c r="H186" s="148">
        <v>21</v>
      </c>
      <c r="I186" s="149">
        <f t="shared" si="2"/>
        <v>588</v>
      </c>
      <c r="J186" s="150" t="s">
        <v>472</v>
      </c>
      <c r="K186" s="151">
        <v>15.288</v>
      </c>
      <c r="L186">
        <f>Table13[[#This Row],[Price]]*Table13[[#This Row],[Units]]</f>
        <v>588</v>
      </c>
    </row>
    <row r="187" spans="1:12" x14ac:dyDescent="0.35">
      <c r="A187" s="145">
        <v>45599</v>
      </c>
      <c r="B187" s="146" t="s">
        <v>691</v>
      </c>
      <c r="C187" s="147" t="s">
        <v>464</v>
      </c>
      <c r="D187" s="147" t="s">
        <v>519</v>
      </c>
      <c r="E187" s="147" t="s">
        <v>315</v>
      </c>
      <c r="F187" s="147" t="s">
        <v>513</v>
      </c>
      <c r="G187" s="147">
        <v>57</v>
      </c>
      <c r="H187" s="148">
        <v>48</v>
      </c>
      <c r="I187" s="149">
        <f t="shared" si="2"/>
        <v>2736</v>
      </c>
      <c r="J187" s="150" t="s">
        <v>472</v>
      </c>
      <c r="K187" s="151">
        <v>79.343999999999994</v>
      </c>
      <c r="L187">
        <f>Table13[[#This Row],[Price]]*Table13[[#This Row],[Units]]</f>
        <v>2736</v>
      </c>
    </row>
    <row r="188" spans="1:12" x14ac:dyDescent="0.35">
      <c r="A188" s="145">
        <v>45599</v>
      </c>
      <c r="B188" s="146" t="s">
        <v>692</v>
      </c>
      <c r="C188" s="147" t="s">
        <v>476</v>
      </c>
      <c r="D188" s="147" t="s">
        <v>512</v>
      </c>
      <c r="E188" s="147" t="s">
        <v>483</v>
      </c>
      <c r="F188" s="147" t="s">
        <v>478</v>
      </c>
      <c r="G188" s="147">
        <v>21</v>
      </c>
      <c r="H188" s="148">
        <v>28</v>
      </c>
      <c r="I188" s="149">
        <f t="shared" si="2"/>
        <v>588</v>
      </c>
      <c r="J188" s="150" t="s">
        <v>503</v>
      </c>
      <c r="K188" s="151">
        <v>11.76</v>
      </c>
      <c r="L188">
        <f>Table13[[#This Row],[Price]]*Table13[[#This Row],[Units]]</f>
        <v>588</v>
      </c>
    </row>
    <row r="189" spans="1:12" x14ac:dyDescent="0.35">
      <c r="A189" s="145">
        <v>45599</v>
      </c>
      <c r="B189" s="146" t="s">
        <v>693</v>
      </c>
      <c r="C189" s="147" t="s">
        <v>494</v>
      </c>
      <c r="D189" s="147" t="s">
        <v>470</v>
      </c>
      <c r="E189" s="147" t="s">
        <v>412</v>
      </c>
      <c r="F189" s="147" t="s">
        <v>505</v>
      </c>
      <c r="G189" s="147">
        <v>59</v>
      </c>
      <c r="H189" s="148">
        <v>21</v>
      </c>
      <c r="I189" s="149">
        <f t="shared" si="2"/>
        <v>1239</v>
      </c>
      <c r="J189" s="150" t="s">
        <v>472</v>
      </c>
      <c r="K189" s="151">
        <v>24.78</v>
      </c>
      <c r="L189">
        <f>Table13[[#This Row],[Price]]*Table13[[#This Row],[Units]]</f>
        <v>1239</v>
      </c>
    </row>
    <row r="190" spans="1:12" x14ac:dyDescent="0.35">
      <c r="A190" s="145">
        <v>45599</v>
      </c>
      <c r="B190" s="146" t="s">
        <v>694</v>
      </c>
      <c r="C190" s="147" t="s">
        <v>494</v>
      </c>
      <c r="D190" s="147" t="s">
        <v>470</v>
      </c>
      <c r="E190" s="147" t="s">
        <v>315</v>
      </c>
      <c r="F190" s="147" t="s">
        <v>478</v>
      </c>
      <c r="G190" s="147">
        <v>19</v>
      </c>
      <c r="H190" s="148">
        <v>25</v>
      </c>
      <c r="I190" s="149">
        <f t="shared" si="2"/>
        <v>475</v>
      </c>
      <c r="J190" s="150" t="s">
        <v>515</v>
      </c>
      <c r="K190" s="151">
        <v>14.25</v>
      </c>
      <c r="L190">
        <f>Table13[[#This Row],[Price]]*Table13[[#This Row],[Units]]</f>
        <v>475</v>
      </c>
    </row>
    <row r="191" spans="1:12" x14ac:dyDescent="0.35">
      <c r="A191" s="145">
        <v>45599</v>
      </c>
      <c r="B191" s="146" t="s">
        <v>695</v>
      </c>
      <c r="C191" s="147" t="s">
        <v>492</v>
      </c>
      <c r="D191" s="147" t="s">
        <v>470</v>
      </c>
      <c r="E191" s="147" t="s">
        <v>324</v>
      </c>
      <c r="F191" s="147" t="s">
        <v>478</v>
      </c>
      <c r="G191" s="147">
        <v>22</v>
      </c>
      <c r="H191" s="148">
        <v>55</v>
      </c>
      <c r="I191" s="149">
        <f t="shared" si="2"/>
        <v>1210</v>
      </c>
      <c r="J191" s="150" t="s">
        <v>503</v>
      </c>
      <c r="K191" s="151">
        <v>27.83</v>
      </c>
      <c r="L191">
        <f>Table13[[#This Row],[Price]]*Table13[[#This Row],[Units]]</f>
        <v>1210</v>
      </c>
    </row>
    <row r="192" spans="1:12" x14ac:dyDescent="0.35">
      <c r="A192" s="145">
        <v>45599</v>
      </c>
      <c r="B192" s="146" t="s">
        <v>696</v>
      </c>
      <c r="C192" s="147" t="s">
        <v>322</v>
      </c>
      <c r="D192" s="147" t="s">
        <v>512</v>
      </c>
      <c r="E192" s="147" t="s">
        <v>315</v>
      </c>
      <c r="F192" s="147" t="s">
        <v>513</v>
      </c>
      <c r="G192" s="147">
        <v>60</v>
      </c>
      <c r="H192" s="148">
        <v>30</v>
      </c>
      <c r="I192" s="149">
        <f t="shared" si="2"/>
        <v>1800</v>
      </c>
      <c r="J192" s="150" t="s">
        <v>466</v>
      </c>
      <c r="K192" s="151">
        <v>41.4</v>
      </c>
      <c r="L192">
        <f>Table13[[#This Row],[Price]]*Table13[[#This Row],[Units]]</f>
        <v>1800</v>
      </c>
    </row>
    <row r="193" spans="1:12" x14ac:dyDescent="0.35">
      <c r="A193" s="145">
        <v>45599</v>
      </c>
      <c r="B193" s="146" t="s">
        <v>697</v>
      </c>
      <c r="C193" s="147" t="s">
        <v>494</v>
      </c>
      <c r="D193" s="147" t="s">
        <v>519</v>
      </c>
      <c r="E193" s="147" t="s">
        <v>390</v>
      </c>
      <c r="F193" s="147" t="s">
        <v>487</v>
      </c>
      <c r="G193" s="147">
        <v>52</v>
      </c>
      <c r="H193" s="148">
        <v>41</v>
      </c>
      <c r="I193" s="149">
        <f t="shared" si="2"/>
        <v>2132</v>
      </c>
      <c r="J193" s="150" t="s">
        <v>472</v>
      </c>
      <c r="K193" s="151">
        <v>63.96</v>
      </c>
      <c r="L193">
        <f>Table13[[#This Row],[Price]]*Table13[[#This Row],[Units]]</f>
        <v>2132</v>
      </c>
    </row>
    <row r="194" spans="1:12" x14ac:dyDescent="0.35">
      <c r="A194" s="145">
        <v>45599</v>
      </c>
      <c r="B194" s="146" t="s">
        <v>698</v>
      </c>
      <c r="C194" s="147" t="s">
        <v>469</v>
      </c>
      <c r="D194" s="147" t="s">
        <v>465</v>
      </c>
      <c r="E194" s="147" t="s">
        <v>483</v>
      </c>
      <c r="F194" s="147" t="s">
        <v>536</v>
      </c>
      <c r="G194" s="147">
        <v>25</v>
      </c>
      <c r="H194" s="148">
        <v>21</v>
      </c>
      <c r="I194" s="149">
        <f t="shared" si="2"/>
        <v>525</v>
      </c>
      <c r="J194" s="150" t="s">
        <v>472</v>
      </c>
      <c r="K194" s="151">
        <v>15.225</v>
      </c>
      <c r="L194">
        <f>Table13[[#This Row],[Price]]*Table13[[#This Row],[Units]]</f>
        <v>525</v>
      </c>
    </row>
    <row r="195" spans="1:12" x14ac:dyDescent="0.35">
      <c r="A195" s="145">
        <v>45599</v>
      </c>
      <c r="B195" s="146" t="s">
        <v>699</v>
      </c>
      <c r="C195" s="147" t="s">
        <v>494</v>
      </c>
      <c r="D195" s="147" t="s">
        <v>519</v>
      </c>
      <c r="E195" s="147" t="s">
        <v>324</v>
      </c>
      <c r="F195" s="147" t="s">
        <v>536</v>
      </c>
      <c r="G195" s="147">
        <v>53</v>
      </c>
      <c r="H195" s="148">
        <v>25</v>
      </c>
      <c r="I195" s="149">
        <f t="shared" ref="I195:I258" si="3">G195*H195</f>
        <v>1325</v>
      </c>
      <c r="J195" s="150" t="s">
        <v>515</v>
      </c>
      <c r="K195" s="151">
        <v>34.450000000000003</v>
      </c>
      <c r="L195">
        <f>Table13[[#This Row],[Price]]*Table13[[#This Row],[Units]]</f>
        <v>1325</v>
      </c>
    </row>
    <row r="196" spans="1:12" x14ac:dyDescent="0.35">
      <c r="A196" s="145">
        <v>45599</v>
      </c>
      <c r="B196" s="146" t="s">
        <v>700</v>
      </c>
      <c r="C196" s="147" t="s">
        <v>484</v>
      </c>
      <c r="D196" s="147" t="s">
        <v>477</v>
      </c>
      <c r="E196" s="147" t="s">
        <v>324</v>
      </c>
      <c r="F196" s="147" t="s">
        <v>536</v>
      </c>
      <c r="G196" s="147">
        <v>59</v>
      </c>
      <c r="H196" s="148">
        <v>24</v>
      </c>
      <c r="I196" s="149">
        <f t="shared" si="3"/>
        <v>1416</v>
      </c>
      <c r="J196" s="150" t="s">
        <v>515</v>
      </c>
      <c r="K196" s="151">
        <v>32.567999999999998</v>
      </c>
      <c r="L196">
        <f>Table13[[#This Row],[Price]]*Table13[[#This Row],[Units]]</f>
        <v>1416</v>
      </c>
    </row>
    <row r="197" spans="1:12" x14ac:dyDescent="0.35">
      <c r="A197" s="145">
        <v>45599</v>
      </c>
      <c r="B197" s="146" t="s">
        <v>701</v>
      </c>
      <c r="C197" s="147" t="s">
        <v>464</v>
      </c>
      <c r="D197" s="147" t="s">
        <v>519</v>
      </c>
      <c r="E197" s="147" t="s">
        <v>315</v>
      </c>
      <c r="F197" s="147" t="s">
        <v>523</v>
      </c>
      <c r="G197" s="147">
        <v>51</v>
      </c>
      <c r="H197" s="148">
        <v>32</v>
      </c>
      <c r="I197" s="149">
        <f t="shared" si="3"/>
        <v>1632</v>
      </c>
      <c r="J197" s="150" t="s">
        <v>472</v>
      </c>
      <c r="K197" s="151">
        <v>44.064</v>
      </c>
      <c r="L197">
        <f>Table13[[#This Row],[Price]]*Table13[[#This Row],[Units]]</f>
        <v>1632</v>
      </c>
    </row>
    <row r="198" spans="1:12" x14ac:dyDescent="0.35">
      <c r="A198" s="145">
        <v>45599</v>
      </c>
      <c r="B198" s="146" t="s">
        <v>702</v>
      </c>
      <c r="C198" s="147" t="s">
        <v>492</v>
      </c>
      <c r="D198" s="147" t="s">
        <v>519</v>
      </c>
      <c r="E198" s="147" t="s">
        <v>320</v>
      </c>
      <c r="F198" s="147" t="s">
        <v>497</v>
      </c>
      <c r="G198" s="147">
        <v>20</v>
      </c>
      <c r="H198" s="148">
        <v>37</v>
      </c>
      <c r="I198" s="149">
        <f t="shared" si="3"/>
        <v>740</v>
      </c>
      <c r="J198" s="150" t="s">
        <v>472</v>
      </c>
      <c r="K198" s="151">
        <v>15.54</v>
      </c>
      <c r="L198">
        <f>Table13[[#This Row],[Price]]*Table13[[#This Row],[Units]]</f>
        <v>740</v>
      </c>
    </row>
    <row r="199" spans="1:12" x14ac:dyDescent="0.35">
      <c r="A199" s="145">
        <v>45599</v>
      </c>
      <c r="B199" s="146" t="s">
        <v>703</v>
      </c>
      <c r="C199" s="147" t="s">
        <v>322</v>
      </c>
      <c r="D199" s="147" t="s">
        <v>465</v>
      </c>
      <c r="E199" s="147" t="s">
        <v>333</v>
      </c>
      <c r="F199" s="147" t="s">
        <v>478</v>
      </c>
      <c r="G199" s="147">
        <v>53</v>
      </c>
      <c r="H199" s="148">
        <v>48</v>
      </c>
      <c r="I199" s="149">
        <f t="shared" si="3"/>
        <v>2544</v>
      </c>
      <c r="J199" s="150" t="s">
        <v>472</v>
      </c>
      <c r="K199" s="151">
        <v>53.423999999999999</v>
      </c>
      <c r="L199">
        <f>Table13[[#This Row],[Price]]*Table13[[#This Row],[Units]]</f>
        <v>2544</v>
      </c>
    </row>
    <row r="200" spans="1:12" x14ac:dyDescent="0.35">
      <c r="A200" s="145">
        <v>45599</v>
      </c>
      <c r="B200" s="146" t="s">
        <v>704</v>
      </c>
      <c r="C200" s="147" t="s">
        <v>476</v>
      </c>
      <c r="D200" s="147" t="s">
        <v>519</v>
      </c>
      <c r="E200" s="147" t="s">
        <v>412</v>
      </c>
      <c r="F200" s="147" t="s">
        <v>513</v>
      </c>
      <c r="G200" s="147">
        <v>30</v>
      </c>
      <c r="H200" s="148">
        <v>40</v>
      </c>
      <c r="I200" s="149">
        <f t="shared" si="3"/>
        <v>1200</v>
      </c>
      <c r="J200" s="150" t="s">
        <v>466</v>
      </c>
      <c r="K200" s="151">
        <v>34.799999999999997</v>
      </c>
      <c r="L200">
        <f>Table13[[#This Row],[Price]]*Table13[[#This Row],[Units]]</f>
        <v>1200</v>
      </c>
    </row>
    <row r="201" spans="1:12" x14ac:dyDescent="0.35">
      <c r="A201" s="145">
        <v>45599</v>
      </c>
      <c r="B201" s="146" t="s">
        <v>705</v>
      </c>
      <c r="C201" s="147" t="s">
        <v>492</v>
      </c>
      <c r="D201" s="147" t="s">
        <v>486</v>
      </c>
      <c r="E201" s="147" t="s">
        <v>483</v>
      </c>
      <c r="F201" s="147" t="s">
        <v>478</v>
      </c>
      <c r="G201" s="147">
        <v>27</v>
      </c>
      <c r="H201" s="148">
        <v>56</v>
      </c>
      <c r="I201" s="149">
        <f t="shared" si="3"/>
        <v>1512</v>
      </c>
      <c r="J201" s="150" t="s">
        <v>515</v>
      </c>
      <c r="K201" s="151">
        <v>30.24</v>
      </c>
      <c r="L201">
        <f>Table13[[#This Row],[Price]]*Table13[[#This Row],[Units]]</f>
        <v>1512</v>
      </c>
    </row>
    <row r="202" spans="1:12" x14ac:dyDescent="0.35">
      <c r="A202" s="145">
        <v>45600</v>
      </c>
      <c r="B202" s="146" t="s">
        <v>706</v>
      </c>
      <c r="C202" s="147" t="s">
        <v>484</v>
      </c>
      <c r="D202" s="147" t="s">
        <v>519</v>
      </c>
      <c r="E202" s="147" t="s">
        <v>483</v>
      </c>
      <c r="F202" s="147" t="s">
        <v>510</v>
      </c>
      <c r="G202" s="147">
        <v>28</v>
      </c>
      <c r="H202" s="148">
        <v>41</v>
      </c>
      <c r="I202" s="149">
        <f t="shared" si="3"/>
        <v>1148</v>
      </c>
      <c r="J202" s="150" t="s">
        <v>466</v>
      </c>
      <c r="K202" s="151">
        <v>27.552</v>
      </c>
      <c r="L202">
        <f>Table13[[#This Row],[Price]]*Table13[[#This Row],[Units]]</f>
        <v>1148</v>
      </c>
    </row>
    <row r="203" spans="1:12" x14ac:dyDescent="0.35">
      <c r="A203" s="145">
        <v>45600</v>
      </c>
      <c r="B203" s="146" t="s">
        <v>707</v>
      </c>
      <c r="C203" s="147" t="s">
        <v>469</v>
      </c>
      <c r="D203" s="147" t="s">
        <v>519</v>
      </c>
      <c r="E203" s="147" t="s">
        <v>320</v>
      </c>
      <c r="F203" s="147" t="s">
        <v>505</v>
      </c>
      <c r="G203" s="147">
        <v>38</v>
      </c>
      <c r="H203" s="148">
        <v>54</v>
      </c>
      <c r="I203" s="149">
        <f t="shared" si="3"/>
        <v>2052</v>
      </c>
      <c r="J203" s="150" t="s">
        <v>472</v>
      </c>
      <c r="K203" s="151">
        <v>49.247999999999998</v>
      </c>
      <c r="L203">
        <f>Table13[[#This Row],[Price]]*Table13[[#This Row],[Units]]</f>
        <v>2052</v>
      </c>
    </row>
    <row r="204" spans="1:12" x14ac:dyDescent="0.35">
      <c r="A204" s="145">
        <v>45600</v>
      </c>
      <c r="B204" s="146" t="s">
        <v>708</v>
      </c>
      <c r="C204" s="147" t="s">
        <v>492</v>
      </c>
      <c r="D204" s="147" t="s">
        <v>470</v>
      </c>
      <c r="E204" s="147" t="s">
        <v>333</v>
      </c>
      <c r="F204" s="147" t="s">
        <v>528</v>
      </c>
      <c r="G204" s="147">
        <v>59</v>
      </c>
      <c r="H204" s="148">
        <v>31</v>
      </c>
      <c r="I204" s="149">
        <f t="shared" si="3"/>
        <v>1829</v>
      </c>
      <c r="J204" s="150" t="s">
        <v>466</v>
      </c>
      <c r="K204" s="151">
        <v>42.067</v>
      </c>
      <c r="L204">
        <f>Table13[[#This Row],[Price]]*Table13[[#This Row],[Units]]</f>
        <v>1829</v>
      </c>
    </row>
    <row r="205" spans="1:12" x14ac:dyDescent="0.35">
      <c r="A205" s="145">
        <v>45600</v>
      </c>
      <c r="B205" s="146" t="s">
        <v>709</v>
      </c>
      <c r="C205" s="147" t="s">
        <v>494</v>
      </c>
      <c r="D205" s="147" t="s">
        <v>477</v>
      </c>
      <c r="E205" s="147" t="s">
        <v>320</v>
      </c>
      <c r="F205" s="147" t="s">
        <v>536</v>
      </c>
      <c r="G205" s="147">
        <v>12</v>
      </c>
      <c r="H205" s="148">
        <v>32</v>
      </c>
      <c r="I205" s="149">
        <f t="shared" si="3"/>
        <v>384</v>
      </c>
      <c r="J205" s="150" t="s">
        <v>466</v>
      </c>
      <c r="K205" s="151">
        <v>7.68</v>
      </c>
      <c r="L205">
        <f>Table13[[#This Row],[Price]]*Table13[[#This Row],[Units]]</f>
        <v>384</v>
      </c>
    </row>
    <row r="206" spans="1:12" x14ac:dyDescent="0.35">
      <c r="A206" s="145">
        <v>45601</v>
      </c>
      <c r="B206" s="146" t="s">
        <v>710</v>
      </c>
      <c r="C206" s="147" t="s">
        <v>494</v>
      </c>
      <c r="D206" s="147" t="s">
        <v>470</v>
      </c>
      <c r="E206" s="147" t="s">
        <v>315</v>
      </c>
      <c r="F206" s="147" t="s">
        <v>510</v>
      </c>
      <c r="G206" s="147">
        <v>17</v>
      </c>
      <c r="H206" s="148">
        <v>32</v>
      </c>
      <c r="I206" s="149">
        <f t="shared" si="3"/>
        <v>544</v>
      </c>
      <c r="J206" s="150" t="s">
        <v>472</v>
      </c>
      <c r="K206" s="151">
        <v>12.512</v>
      </c>
      <c r="L206">
        <f>Table13[[#This Row],[Price]]*Table13[[#This Row],[Units]]</f>
        <v>544</v>
      </c>
    </row>
    <row r="207" spans="1:12" x14ac:dyDescent="0.35">
      <c r="A207" s="145">
        <v>45601</v>
      </c>
      <c r="B207" s="146" t="s">
        <v>711</v>
      </c>
      <c r="C207" s="147" t="s">
        <v>489</v>
      </c>
      <c r="D207" s="147" t="s">
        <v>477</v>
      </c>
      <c r="E207" s="147" t="s">
        <v>320</v>
      </c>
      <c r="F207" s="147" t="s">
        <v>539</v>
      </c>
      <c r="G207" s="147">
        <v>28</v>
      </c>
      <c r="H207" s="148">
        <v>25</v>
      </c>
      <c r="I207" s="149">
        <f t="shared" si="3"/>
        <v>700</v>
      </c>
      <c r="J207" s="150" t="s">
        <v>466</v>
      </c>
      <c r="K207" s="151">
        <v>15.4</v>
      </c>
      <c r="L207">
        <f>Table13[[#This Row],[Price]]*Table13[[#This Row],[Units]]</f>
        <v>700</v>
      </c>
    </row>
    <row r="208" spans="1:12" x14ac:dyDescent="0.35">
      <c r="A208" s="145">
        <v>45601</v>
      </c>
      <c r="B208" s="146" t="s">
        <v>712</v>
      </c>
      <c r="C208" s="147" t="s">
        <v>322</v>
      </c>
      <c r="D208" s="147" t="s">
        <v>512</v>
      </c>
      <c r="E208" s="147" t="s">
        <v>333</v>
      </c>
      <c r="F208" s="147" t="s">
        <v>517</v>
      </c>
      <c r="G208" s="147">
        <v>45</v>
      </c>
      <c r="H208" s="148">
        <v>44</v>
      </c>
      <c r="I208" s="149">
        <f t="shared" si="3"/>
        <v>1980</v>
      </c>
      <c r="J208" s="150" t="s">
        <v>503</v>
      </c>
      <c r="K208" s="151">
        <v>53.46</v>
      </c>
      <c r="L208">
        <f>Table13[[#This Row],[Price]]*Table13[[#This Row],[Units]]</f>
        <v>1980</v>
      </c>
    </row>
    <row r="209" spans="1:12" x14ac:dyDescent="0.35">
      <c r="A209" s="145">
        <v>45601</v>
      </c>
      <c r="B209" s="146" t="s">
        <v>713</v>
      </c>
      <c r="C209" s="147" t="s">
        <v>494</v>
      </c>
      <c r="D209" s="147" t="s">
        <v>477</v>
      </c>
      <c r="E209" s="147" t="s">
        <v>315</v>
      </c>
      <c r="F209" s="147" t="s">
        <v>454</v>
      </c>
      <c r="G209" s="147">
        <v>38</v>
      </c>
      <c r="H209" s="148">
        <v>48</v>
      </c>
      <c r="I209" s="149">
        <f t="shared" si="3"/>
        <v>1824</v>
      </c>
      <c r="J209" s="150" t="s">
        <v>515</v>
      </c>
      <c r="K209" s="151">
        <v>40.128</v>
      </c>
      <c r="L209">
        <f>Table13[[#This Row],[Price]]*Table13[[#This Row],[Units]]</f>
        <v>1824</v>
      </c>
    </row>
    <row r="210" spans="1:12" x14ac:dyDescent="0.35">
      <c r="A210" s="145">
        <v>45601</v>
      </c>
      <c r="B210" s="146" t="s">
        <v>714</v>
      </c>
      <c r="C210" s="147" t="s">
        <v>476</v>
      </c>
      <c r="D210" s="147" t="s">
        <v>477</v>
      </c>
      <c r="E210" s="147" t="s">
        <v>324</v>
      </c>
      <c r="F210" s="147" t="s">
        <v>510</v>
      </c>
      <c r="G210" s="147">
        <v>21</v>
      </c>
      <c r="H210" s="148">
        <v>42</v>
      </c>
      <c r="I210" s="149">
        <f t="shared" si="3"/>
        <v>882</v>
      </c>
      <c r="J210" s="150" t="s">
        <v>472</v>
      </c>
      <c r="K210" s="151">
        <v>23.814</v>
      </c>
      <c r="L210">
        <f>Table13[[#This Row],[Price]]*Table13[[#This Row],[Units]]</f>
        <v>882</v>
      </c>
    </row>
    <row r="211" spans="1:12" x14ac:dyDescent="0.35">
      <c r="A211" s="145">
        <v>45601</v>
      </c>
      <c r="B211" s="146" t="s">
        <v>715</v>
      </c>
      <c r="C211" s="147" t="s">
        <v>484</v>
      </c>
      <c r="D211" s="147" t="s">
        <v>490</v>
      </c>
      <c r="E211" s="147" t="s">
        <v>483</v>
      </c>
      <c r="F211" s="147" t="s">
        <v>471</v>
      </c>
      <c r="G211" s="147">
        <v>42</v>
      </c>
      <c r="H211" s="148">
        <v>57</v>
      </c>
      <c r="I211" s="149">
        <f t="shared" si="3"/>
        <v>2394</v>
      </c>
      <c r="J211" s="150" t="s">
        <v>515</v>
      </c>
      <c r="K211" s="151">
        <v>67.031999999999996</v>
      </c>
      <c r="L211">
        <f>Table13[[#This Row],[Price]]*Table13[[#This Row],[Units]]</f>
        <v>2394</v>
      </c>
    </row>
    <row r="212" spans="1:12" x14ac:dyDescent="0.35">
      <c r="A212" s="145">
        <v>45601</v>
      </c>
      <c r="B212" s="146" t="s">
        <v>716</v>
      </c>
      <c r="C212" s="147" t="s">
        <v>322</v>
      </c>
      <c r="D212" s="147" t="s">
        <v>477</v>
      </c>
      <c r="E212" s="147" t="s">
        <v>324</v>
      </c>
      <c r="F212" s="147" t="s">
        <v>505</v>
      </c>
      <c r="G212" s="147">
        <v>24</v>
      </c>
      <c r="H212" s="148">
        <v>37</v>
      </c>
      <c r="I212" s="149">
        <f t="shared" si="3"/>
        <v>888</v>
      </c>
      <c r="J212" s="150" t="s">
        <v>466</v>
      </c>
      <c r="K212" s="151">
        <v>19.536000000000001</v>
      </c>
      <c r="L212">
        <f>Table13[[#This Row],[Price]]*Table13[[#This Row],[Units]]</f>
        <v>888</v>
      </c>
    </row>
    <row r="213" spans="1:12" x14ac:dyDescent="0.35">
      <c r="A213" s="145">
        <v>45601</v>
      </c>
      <c r="B213" s="146" t="s">
        <v>717</v>
      </c>
      <c r="C213" s="147" t="s">
        <v>501</v>
      </c>
      <c r="D213" s="147" t="s">
        <v>470</v>
      </c>
      <c r="E213" s="147" t="s">
        <v>320</v>
      </c>
      <c r="F213" s="147" t="s">
        <v>567</v>
      </c>
      <c r="G213" s="147">
        <v>33</v>
      </c>
      <c r="H213" s="148">
        <v>39</v>
      </c>
      <c r="I213" s="149">
        <f t="shared" si="3"/>
        <v>1287</v>
      </c>
      <c r="J213" s="150" t="s">
        <v>472</v>
      </c>
      <c r="K213" s="151">
        <v>38.61</v>
      </c>
      <c r="L213">
        <f>Table13[[#This Row],[Price]]*Table13[[#This Row],[Units]]</f>
        <v>1287</v>
      </c>
    </row>
    <row r="214" spans="1:12" x14ac:dyDescent="0.35">
      <c r="A214" s="145">
        <v>45601</v>
      </c>
      <c r="B214" s="146" t="s">
        <v>718</v>
      </c>
      <c r="C214" s="147" t="s">
        <v>469</v>
      </c>
      <c r="D214" s="147" t="s">
        <v>519</v>
      </c>
      <c r="E214" s="147" t="s">
        <v>333</v>
      </c>
      <c r="F214" s="147" t="s">
        <v>539</v>
      </c>
      <c r="G214" s="147">
        <v>24</v>
      </c>
      <c r="H214" s="148">
        <v>27</v>
      </c>
      <c r="I214" s="149">
        <f t="shared" si="3"/>
        <v>648</v>
      </c>
      <c r="J214" s="150" t="s">
        <v>515</v>
      </c>
      <c r="K214" s="151">
        <v>13.608000000000001</v>
      </c>
      <c r="L214">
        <f>Table13[[#This Row],[Price]]*Table13[[#This Row],[Units]]</f>
        <v>648</v>
      </c>
    </row>
    <row r="215" spans="1:12" x14ac:dyDescent="0.35">
      <c r="A215" s="145">
        <v>45602</v>
      </c>
      <c r="B215" s="146" t="s">
        <v>719</v>
      </c>
      <c r="C215" s="147" t="s">
        <v>494</v>
      </c>
      <c r="D215" s="147" t="s">
        <v>470</v>
      </c>
      <c r="E215" s="147" t="s">
        <v>324</v>
      </c>
      <c r="F215" s="147" t="s">
        <v>505</v>
      </c>
      <c r="G215" s="147">
        <v>51</v>
      </c>
      <c r="H215" s="148">
        <v>20</v>
      </c>
      <c r="I215" s="149">
        <f t="shared" si="3"/>
        <v>1020</v>
      </c>
      <c r="J215" s="150" t="s">
        <v>515</v>
      </c>
      <c r="K215" s="151">
        <v>29.58</v>
      </c>
      <c r="L215">
        <f>Table13[[#This Row],[Price]]*Table13[[#This Row],[Units]]</f>
        <v>1020</v>
      </c>
    </row>
    <row r="216" spans="1:12" x14ac:dyDescent="0.35">
      <c r="A216" s="145">
        <v>45602</v>
      </c>
      <c r="B216" s="146" t="s">
        <v>720</v>
      </c>
      <c r="C216" s="147" t="s">
        <v>489</v>
      </c>
      <c r="D216" s="147" t="s">
        <v>512</v>
      </c>
      <c r="E216" s="147" t="s">
        <v>315</v>
      </c>
      <c r="F216" s="147" t="s">
        <v>513</v>
      </c>
      <c r="G216" s="147">
        <v>11</v>
      </c>
      <c r="H216" s="148">
        <v>43</v>
      </c>
      <c r="I216" s="149">
        <f t="shared" si="3"/>
        <v>473</v>
      </c>
      <c r="J216" s="150" t="s">
        <v>503</v>
      </c>
      <c r="K216" s="151">
        <v>10.406000000000001</v>
      </c>
      <c r="L216">
        <f>Table13[[#This Row],[Price]]*Table13[[#This Row],[Units]]</f>
        <v>473</v>
      </c>
    </row>
    <row r="217" spans="1:12" x14ac:dyDescent="0.35">
      <c r="A217" s="145">
        <v>45602</v>
      </c>
      <c r="B217" s="146" t="s">
        <v>721</v>
      </c>
      <c r="C217" s="147" t="s">
        <v>501</v>
      </c>
      <c r="D217" s="147" t="s">
        <v>470</v>
      </c>
      <c r="E217" s="147" t="s">
        <v>320</v>
      </c>
      <c r="F217" s="147" t="s">
        <v>567</v>
      </c>
      <c r="G217" s="147">
        <v>19</v>
      </c>
      <c r="H217" s="148">
        <v>53</v>
      </c>
      <c r="I217" s="149">
        <f t="shared" si="3"/>
        <v>1007</v>
      </c>
      <c r="J217" s="150" t="s">
        <v>466</v>
      </c>
      <c r="K217" s="151">
        <v>23.161000000000001</v>
      </c>
      <c r="L217">
        <f>Table13[[#This Row],[Price]]*Table13[[#This Row],[Units]]</f>
        <v>1007</v>
      </c>
    </row>
    <row r="218" spans="1:12" x14ac:dyDescent="0.35">
      <c r="A218" s="145">
        <v>45602</v>
      </c>
      <c r="B218" s="146" t="s">
        <v>722</v>
      </c>
      <c r="C218" s="147" t="s">
        <v>322</v>
      </c>
      <c r="D218" s="147" t="s">
        <v>477</v>
      </c>
      <c r="E218" s="147" t="s">
        <v>320</v>
      </c>
      <c r="F218" s="147" t="s">
        <v>491</v>
      </c>
      <c r="G218" s="147">
        <v>42</v>
      </c>
      <c r="H218" s="148">
        <v>35</v>
      </c>
      <c r="I218" s="149">
        <f t="shared" si="3"/>
        <v>1470</v>
      </c>
      <c r="J218" s="150" t="s">
        <v>503</v>
      </c>
      <c r="K218" s="151">
        <v>29.4</v>
      </c>
      <c r="L218">
        <f>Table13[[#This Row],[Price]]*Table13[[#This Row],[Units]]</f>
        <v>1470</v>
      </c>
    </row>
    <row r="219" spans="1:12" x14ac:dyDescent="0.35">
      <c r="A219" s="145">
        <v>45603</v>
      </c>
      <c r="B219" s="146" t="s">
        <v>723</v>
      </c>
      <c r="C219" s="147" t="s">
        <v>494</v>
      </c>
      <c r="D219" s="147" t="s">
        <v>470</v>
      </c>
      <c r="E219" s="147" t="s">
        <v>320</v>
      </c>
      <c r="F219" s="147" t="s">
        <v>478</v>
      </c>
      <c r="G219" s="147">
        <v>25</v>
      </c>
      <c r="H219" s="148">
        <v>45</v>
      </c>
      <c r="I219" s="149">
        <f t="shared" si="3"/>
        <v>1125</v>
      </c>
      <c r="J219" s="150" t="s">
        <v>466</v>
      </c>
      <c r="K219" s="151">
        <v>27</v>
      </c>
      <c r="L219">
        <f>Table13[[#This Row],[Price]]*Table13[[#This Row],[Units]]</f>
        <v>1125</v>
      </c>
    </row>
    <row r="220" spans="1:12" x14ac:dyDescent="0.35">
      <c r="A220" s="145">
        <v>45603</v>
      </c>
      <c r="B220" s="146" t="s">
        <v>724</v>
      </c>
      <c r="C220" s="147" t="s">
        <v>322</v>
      </c>
      <c r="D220" s="147" t="s">
        <v>470</v>
      </c>
      <c r="E220" s="147" t="s">
        <v>324</v>
      </c>
      <c r="F220" s="147" t="s">
        <v>454</v>
      </c>
      <c r="G220" s="147">
        <v>15</v>
      </c>
      <c r="H220" s="148">
        <v>22</v>
      </c>
      <c r="I220" s="149">
        <f t="shared" si="3"/>
        <v>330</v>
      </c>
      <c r="J220" s="150" t="s">
        <v>472</v>
      </c>
      <c r="K220" s="151">
        <v>8.58</v>
      </c>
      <c r="L220">
        <f>Table13[[#This Row],[Price]]*Table13[[#This Row],[Units]]</f>
        <v>330</v>
      </c>
    </row>
    <row r="221" spans="1:12" x14ac:dyDescent="0.35">
      <c r="A221" s="145">
        <v>45604</v>
      </c>
      <c r="B221" s="146" t="s">
        <v>725</v>
      </c>
      <c r="C221" s="147" t="s">
        <v>484</v>
      </c>
      <c r="D221" s="147" t="s">
        <v>470</v>
      </c>
      <c r="E221" s="147" t="s">
        <v>483</v>
      </c>
      <c r="F221" s="147" t="s">
        <v>510</v>
      </c>
      <c r="G221" s="147">
        <v>37</v>
      </c>
      <c r="H221" s="148">
        <v>44</v>
      </c>
      <c r="I221" s="149">
        <f t="shared" si="3"/>
        <v>1628</v>
      </c>
      <c r="J221" s="150" t="s">
        <v>472</v>
      </c>
      <c r="K221" s="151">
        <v>48.84</v>
      </c>
      <c r="L221">
        <f>Table13[[#This Row],[Price]]*Table13[[#This Row],[Units]]</f>
        <v>1628</v>
      </c>
    </row>
    <row r="222" spans="1:12" x14ac:dyDescent="0.35">
      <c r="A222" s="145">
        <v>45605</v>
      </c>
      <c r="B222" s="146" t="s">
        <v>726</v>
      </c>
      <c r="C222" s="147" t="s">
        <v>484</v>
      </c>
      <c r="D222" s="147" t="s">
        <v>486</v>
      </c>
      <c r="E222" s="147" t="s">
        <v>390</v>
      </c>
      <c r="F222" s="147" t="s">
        <v>520</v>
      </c>
      <c r="G222" s="147">
        <v>28</v>
      </c>
      <c r="H222" s="148">
        <v>32</v>
      </c>
      <c r="I222" s="149">
        <f t="shared" si="3"/>
        <v>896</v>
      </c>
      <c r="J222" s="150" t="s">
        <v>503</v>
      </c>
      <c r="K222" s="151">
        <v>26.88</v>
      </c>
      <c r="L222">
        <f>Table13[[#This Row],[Price]]*Table13[[#This Row],[Units]]</f>
        <v>896</v>
      </c>
    </row>
    <row r="223" spans="1:12" x14ac:dyDescent="0.35">
      <c r="A223" s="145">
        <v>45605</v>
      </c>
      <c r="B223" s="146" t="s">
        <v>727</v>
      </c>
      <c r="C223" s="147" t="s">
        <v>322</v>
      </c>
      <c r="D223" s="147" t="s">
        <v>470</v>
      </c>
      <c r="E223" s="147" t="s">
        <v>390</v>
      </c>
      <c r="F223" s="147" t="s">
        <v>478</v>
      </c>
      <c r="G223" s="147">
        <v>25</v>
      </c>
      <c r="H223" s="148">
        <v>44</v>
      </c>
      <c r="I223" s="149">
        <f t="shared" si="3"/>
        <v>1100</v>
      </c>
      <c r="J223" s="150" t="s">
        <v>515</v>
      </c>
      <c r="K223" s="151">
        <v>27.5</v>
      </c>
      <c r="L223">
        <f>Table13[[#This Row],[Price]]*Table13[[#This Row],[Units]]</f>
        <v>1100</v>
      </c>
    </row>
    <row r="224" spans="1:12" x14ac:dyDescent="0.35">
      <c r="A224" s="145">
        <v>45605</v>
      </c>
      <c r="B224" s="146" t="s">
        <v>728</v>
      </c>
      <c r="C224" s="147" t="s">
        <v>322</v>
      </c>
      <c r="D224" s="147" t="s">
        <v>470</v>
      </c>
      <c r="E224" s="147" t="s">
        <v>324</v>
      </c>
      <c r="F224" s="147" t="s">
        <v>497</v>
      </c>
      <c r="G224" s="147">
        <v>42</v>
      </c>
      <c r="H224" s="148">
        <v>40</v>
      </c>
      <c r="I224" s="149">
        <f t="shared" si="3"/>
        <v>1680</v>
      </c>
      <c r="J224" s="150" t="s">
        <v>466</v>
      </c>
      <c r="K224" s="151">
        <v>47.04</v>
      </c>
      <c r="L224">
        <f>Table13[[#This Row],[Price]]*Table13[[#This Row],[Units]]</f>
        <v>1680</v>
      </c>
    </row>
    <row r="225" spans="1:12" x14ac:dyDescent="0.35">
      <c r="A225" s="145">
        <v>45606</v>
      </c>
      <c r="B225" s="146" t="s">
        <v>729</v>
      </c>
      <c r="C225" s="147" t="s">
        <v>322</v>
      </c>
      <c r="D225" s="147" t="s">
        <v>477</v>
      </c>
      <c r="E225" s="147" t="s">
        <v>483</v>
      </c>
      <c r="F225" s="147" t="s">
        <v>539</v>
      </c>
      <c r="G225" s="147">
        <v>15</v>
      </c>
      <c r="H225" s="148">
        <v>54</v>
      </c>
      <c r="I225" s="149">
        <f t="shared" si="3"/>
        <v>810</v>
      </c>
      <c r="J225" s="150" t="s">
        <v>466</v>
      </c>
      <c r="K225" s="151">
        <v>20.25</v>
      </c>
      <c r="L225">
        <f>Table13[[#This Row],[Price]]*Table13[[#This Row],[Units]]</f>
        <v>810</v>
      </c>
    </row>
    <row r="226" spans="1:12" x14ac:dyDescent="0.35">
      <c r="A226" s="145">
        <v>45606</v>
      </c>
      <c r="B226" s="146" t="s">
        <v>730</v>
      </c>
      <c r="C226" s="147" t="s">
        <v>494</v>
      </c>
      <c r="D226" s="147" t="s">
        <v>477</v>
      </c>
      <c r="E226" s="147" t="s">
        <v>320</v>
      </c>
      <c r="F226" s="147" t="s">
        <v>478</v>
      </c>
      <c r="G226" s="147">
        <v>48</v>
      </c>
      <c r="H226" s="148">
        <v>50</v>
      </c>
      <c r="I226" s="149">
        <f t="shared" si="3"/>
        <v>2400</v>
      </c>
      <c r="J226" s="150" t="s">
        <v>466</v>
      </c>
      <c r="K226" s="151">
        <v>62.4</v>
      </c>
      <c r="L226">
        <f>Table13[[#This Row],[Price]]*Table13[[#This Row],[Units]]</f>
        <v>2400</v>
      </c>
    </row>
    <row r="227" spans="1:12" x14ac:dyDescent="0.35">
      <c r="A227" s="145">
        <v>45606</v>
      </c>
      <c r="B227" s="146" t="s">
        <v>731</v>
      </c>
      <c r="C227" s="147" t="s">
        <v>469</v>
      </c>
      <c r="D227" s="147" t="s">
        <v>477</v>
      </c>
      <c r="E227" s="147" t="s">
        <v>315</v>
      </c>
      <c r="F227" s="147" t="s">
        <v>539</v>
      </c>
      <c r="G227" s="147">
        <v>50</v>
      </c>
      <c r="H227" s="148">
        <v>24</v>
      </c>
      <c r="I227" s="149">
        <f t="shared" si="3"/>
        <v>1200</v>
      </c>
      <c r="J227" s="150" t="s">
        <v>472</v>
      </c>
      <c r="K227" s="151">
        <v>27.6</v>
      </c>
      <c r="L227">
        <f>Table13[[#This Row],[Price]]*Table13[[#This Row],[Units]]</f>
        <v>1200</v>
      </c>
    </row>
    <row r="228" spans="1:12" x14ac:dyDescent="0.35">
      <c r="A228" s="145">
        <v>45606</v>
      </c>
      <c r="B228" s="146" t="s">
        <v>732</v>
      </c>
      <c r="C228" s="147" t="s">
        <v>501</v>
      </c>
      <c r="D228" s="147" t="s">
        <v>486</v>
      </c>
      <c r="E228" s="147" t="s">
        <v>483</v>
      </c>
      <c r="F228" s="147" t="s">
        <v>478</v>
      </c>
      <c r="G228" s="147">
        <v>58</v>
      </c>
      <c r="H228" s="148">
        <v>57</v>
      </c>
      <c r="I228" s="149">
        <f t="shared" si="3"/>
        <v>3306</v>
      </c>
      <c r="J228" s="150" t="s">
        <v>466</v>
      </c>
      <c r="K228" s="151">
        <v>69.426000000000002</v>
      </c>
      <c r="L228">
        <f>Table13[[#This Row],[Price]]*Table13[[#This Row],[Units]]</f>
        <v>3306</v>
      </c>
    </row>
    <row r="229" spans="1:12" x14ac:dyDescent="0.35">
      <c r="A229" s="145">
        <v>45606</v>
      </c>
      <c r="B229" s="146" t="s">
        <v>733</v>
      </c>
      <c r="C229" s="147" t="s">
        <v>484</v>
      </c>
      <c r="D229" s="147" t="s">
        <v>512</v>
      </c>
      <c r="E229" s="147" t="s">
        <v>483</v>
      </c>
      <c r="F229" s="147" t="s">
        <v>513</v>
      </c>
      <c r="G229" s="147">
        <v>31</v>
      </c>
      <c r="H229" s="148">
        <v>40</v>
      </c>
      <c r="I229" s="149">
        <f t="shared" si="3"/>
        <v>1240</v>
      </c>
      <c r="J229" s="150" t="s">
        <v>515</v>
      </c>
      <c r="K229" s="151">
        <v>31</v>
      </c>
      <c r="L229">
        <f>Table13[[#This Row],[Price]]*Table13[[#This Row],[Units]]</f>
        <v>1240</v>
      </c>
    </row>
    <row r="230" spans="1:12" x14ac:dyDescent="0.35">
      <c r="A230" s="145">
        <v>45606</v>
      </c>
      <c r="B230" s="146" t="s">
        <v>734</v>
      </c>
      <c r="C230" s="147" t="s">
        <v>469</v>
      </c>
      <c r="D230" s="147" t="s">
        <v>477</v>
      </c>
      <c r="E230" s="147" t="s">
        <v>333</v>
      </c>
      <c r="F230" s="147" t="s">
        <v>505</v>
      </c>
      <c r="G230" s="147">
        <v>48</v>
      </c>
      <c r="H230" s="148">
        <v>53</v>
      </c>
      <c r="I230" s="149">
        <f t="shared" si="3"/>
        <v>2544</v>
      </c>
      <c r="J230" s="150" t="s">
        <v>466</v>
      </c>
      <c r="K230" s="151">
        <v>66.144000000000005</v>
      </c>
      <c r="L230">
        <f>Table13[[#This Row],[Price]]*Table13[[#This Row],[Units]]</f>
        <v>2544</v>
      </c>
    </row>
    <row r="231" spans="1:12" x14ac:dyDescent="0.35">
      <c r="A231" s="145">
        <v>45606</v>
      </c>
      <c r="B231" s="146" t="s">
        <v>735</v>
      </c>
      <c r="C231" s="147" t="s">
        <v>484</v>
      </c>
      <c r="D231" s="147" t="s">
        <v>486</v>
      </c>
      <c r="E231" s="147" t="s">
        <v>324</v>
      </c>
      <c r="F231" s="147" t="s">
        <v>487</v>
      </c>
      <c r="G231" s="147">
        <v>51</v>
      </c>
      <c r="H231" s="148">
        <v>32</v>
      </c>
      <c r="I231" s="149">
        <f t="shared" si="3"/>
        <v>1632</v>
      </c>
      <c r="J231" s="150" t="s">
        <v>472</v>
      </c>
      <c r="K231" s="151">
        <v>35.904000000000003</v>
      </c>
      <c r="L231">
        <f>Table13[[#This Row],[Price]]*Table13[[#This Row],[Units]]</f>
        <v>1632</v>
      </c>
    </row>
    <row r="232" spans="1:12" x14ac:dyDescent="0.35">
      <c r="A232" s="145">
        <v>45607</v>
      </c>
      <c r="B232" s="146" t="s">
        <v>736</v>
      </c>
      <c r="C232" s="147" t="s">
        <v>469</v>
      </c>
      <c r="D232" s="147" t="s">
        <v>490</v>
      </c>
      <c r="E232" s="147" t="s">
        <v>315</v>
      </c>
      <c r="F232" s="147" t="s">
        <v>528</v>
      </c>
      <c r="G232" s="147">
        <v>33</v>
      </c>
      <c r="H232" s="148">
        <v>43</v>
      </c>
      <c r="I232" s="149">
        <f t="shared" si="3"/>
        <v>1419</v>
      </c>
      <c r="J232" s="150" t="s">
        <v>466</v>
      </c>
      <c r="K232" s="151">
        <v>38.313000000000002</v>
      </c>
      <c r="L232">
        <f>Table13[[#This Row],[Price]]*Table13[[#This Row],[Units]]</f>
        <v>1419</v>
      </c>
    </row>
    <row r="233" spans="1:12" x14ac:dyDescent="0.35">
      <c r="A233" s="145">
        <v>45607</v>
      </c>
      <c r="B233" s="146" t="s">
        <v>737</v>
      </c>
      <c r="C233" s="147" t="s">
        <v>322</v>
      </c>
      <c r="D233" s="147" t="s">
        <v>486</v>
      </c>
      <c r="E233" s="147" t="s">
        <v>390</v>
      </c>
      <c r="F233" s="147" t="s">
        <v>500</v>
      </c>
      <c r="G233" s="147">
        <v>47</v>
      </c>
      <c r="H233" s="148">
        <v>55</v>
      </c>
      <c r="I233" s="149">
        <f t="shared" si="3"/>
        <v>2585</v>
      </c>
      <c r="J233" s="150" t="s">
        <v>466</v>
      </c>
      <c r="K233" s="151">
        <v>59.454999999999998</v>
      </c>
      <c r="L233">
        <f>Table13[[#This Row],[Price]]*Table13[[#This Row],[Units]]</f>
        <v>2585</v>
      </c>
    </row>
    <row r="234" spans="1:12" x14ac:dyDescent="0.35">
      <c r="A234" s="145">
        <v>45607</v>
      </c>
      <c r="B234" s="146" t="s">
        <v>738</v>
      </c>
      <c r="C234" s="147" t="s">
        <v>489</v>
      </c>
      <c r="D234" s="147" t="s">
        <v>490</v>
      </c>
      <c r="E234" s="147" t="s">
        <v>333</v>
      </c>
      <c r="F234" s="147" t="s">
        <v>567</v>
      </c>
      <c r="G234" s="147">
        <v>27</v>
      </c>
      <c r="H234" s="148">
        <v>38</v>
      </c>
      <c r="I234" s="149">
        <f t="shared" si="3"/>
        <v>1026</v>
      </c>
      <c r="J234" s="150" t="s">
        <v>472</v>
      </c>
      <c r="K234" s="151">
        <v>22.571999999999999</v>
      </c>
      <c r="L234">
        <f>Table13[[#This Row],[Price]]*Table13[[#This Row],[Units]]</f>
        <v>1026</v>
      </c>
    </row>
    <row r="235" spans="1:12" x14ac:dyDescent="0.35">
      <c r="A235" s="145">
        <v>45607</v>
      </c>
      <c r="B235" s="146" t="s">
        <v>739</v>
      </c>
      <c r="C235" s="147" t="s">
        <v>489</v>
      </c>
      <c r="D235" s="147" t="s">
        <v>486</v>
      </c>
      <c r="E235" s="147" t="s">
        <v>324</v>
      </c>
      <c r="F235" s="147" t="s">
        <v>536</v>
      </c>
      <c r="G235" s="147">
        <v>48</v>
      </c>
      <c r="H235" s="148">
        <v>44</v>
      </c>
      <c r="I235" s="149">
        <f t="shared" si="3"/>
        <v>2112</v>
      </c>
      <c r="J235" s="150" t="s">
        <v>466</v>
      </c>
      <c r="K235" s="151">
        <v>52.8</v>
      </c>
      <c r="L235">
        <f>Table13[[#This Row],[Price]]*Table13[[#This Row],[Units]]</f>
        <v>2112</v>
      </c>
    </row>
    <row r="236" spans="1:12" x14ac:dyDescent="0.35">
      <c r="A236" s="145">
        <v>45607</v>
      </c>
      <c r="B236" s="146" t="s">
        <v>740</v>
      </c>
      <c r="C236" s="147" t="s">
        <v>492</v>
      </c>
      <c r="D236" s="147" t="s">
        <v>477</v>
      </c>
      <c r="E236" s="147" t="s">
        <v>320</v>
      </c>
      <c r="F236" s="147" t="s">
        <v>567</v>
      </c>
      <c r="G236" s="147">
        <v>40</v>
      </c>
      <c r="H236" s="148">
        <v>25</v>
      </c>
      <c r="I236" s="149">
        <f t="shared" si="3"/>
        <v>1000</v>
      </c>
      <c r="J236" s="150" t="s">
        <v>472</v>
      </c>
      <c r="K236" s="151">
        <v>28</v>
      </c>
      <c r="L236">
        <f>Table13[[#This Row],[Price]]*Table13[[#This Row],[Units]]</f>
        <v>1000</v>
      </c>
    </row>
    <row r="237" spans="1:12" x14ac:dyDescent="0.35">
      <c r="A237" s="145">
        <v>45607</v>
      </c>
      <c r="B237" s="146" t="s">
        <v>741</v>
      </c>
      <c r="C237" s="147" t="s">
        <v>464</v>
      </c>
      <c r="D237" s="147" t="s">
        <v>477</v>
      </c>
      <c r="E237" s="147" t="s">
        <v>324</v>
      </c>
      <c r="F237" s="147" t="s">
        <v>520</v>
      </c>
      <c r="G237" s="147">
        <v>40</v>
      </c>
      <c r="H237" s="148">
        <v>36</v>
      </c>
      <c r="I237" s="149">
        <f t="shared" si="3"/>
        <v>1440</v>
      </c>
      <c r="J237" s="150" t="s">
        <v>515</v>
      </c>
      <c r="K237" s="151">
        <v>28.8</v>
      </c>
      <c r="L237">
        <f>Table13[[#This Row],[Price]]*Table13[[#This Row],[Units]]</f>
        <v>1440</v>
      </c>
    </row>
    <row r="238" spans="1:12" x14ac:dyDescent="0.35">
      <c r="A238" s="145">
        <v>45607</v>
      </c>
      <c r="B238" s="146" t="s">
        <v>742</v>
      </c>
      <c r="C238" s="147" t="s">
        <v>492</v>
      </c>
      <c r="D238" s="147" t="s">
        <v>470</v>
      </c>
      <c r="E238" s="147" t="s">
        <v>390</v>
      </c>
      <c r="F238" s="147" t="s">
        <v>536</v>
      </c>
      <c r="G238" s="147">
        <v>31</v>
      </c>
      <c r="H238" s="148">
        <v>50</v>
      </c>
      <c r="I238" s="149">
        <f t="shared" si="3"/>
        <v>1550</v>
      </c>
      <c r="J238" s="150" t="s">
        <v>515</v>
      </c>
      <c r="K238" s="151">
        <v>34.1</v>
      </c>
      <c r="L238">
        <f>Table13[[#This Row],[Price]]*Table13[[#This Row],[Units]]</f>
        <v>1550</v>
      </c>
    </row>
    <row r="239" spans="1:12" x14ac:dyDescent="0.35">
      <c r="A239" s="145">
        <v>45607</v>
      </c>
      <c r="B239" s="146" t="s">
        <v>743</v>
      </c>
      <c r="C239" s="147" t="s">
        <v>476</v>
      </c>
      <c r="D239" s="147" t="s">
        <v>486</v>
      </c>
      <c r="E239" s="147" t="s">
        <v>324</v>
      </c>
      <c r="F239" s="147" t="s">
        <v>536</v>
      </c>
      <c r="G239" s="147">
        <v>38</v>
      </c>
      <c r="H239" s="148">
        <v>29</v>
      </c>
      <c r="I239" s="149">
        <f t="shared" si="3"/>
        <v>1102</v>
      </c>
      <c r="J239" s="150" t="s">
        <v>472</v>
      </c>
      <c r="K239" s="151">
        <v>26.448</v>
      </c>
      <c r="L239">
        <f>Table13[[#This Row],[Price]]*Table13[[#This Row],[Units]]</f>
        <v>1102</v>
      </c>
    </row>
    <row r="240" spans="1:12" x14ac:dyDescent="0.35">
      <c r="A240" s="145">
        <v>45607</v>
      </c>
      <c r="B240" s="146" t="s">
        <v>744</v>
      </c>
      <c r="C240" s="147" t="s">
        <v>476</v>
      </c>
      <c r="D240" s="147" t="s">
        <v>477</v>
      </c>
      <c r="E240" s="147" t="s">
        <v>483</v>
      </c>
      <c r="F240" s="147" t="s">
        <v>497</v>
      </c>
      <c r="G240" s="147">
        <v>17</v>
      </c>
      <c r="H240" s="148">
        <v>51</v>
      </c>
      <c r="I240" s="149">
        <f t="shared" si="3"/>
        <v>867</v>
      </c>
      <c r="J240" s="150" t="s">
        <v>472</v>
      </c>
      <c r="K240" s="151">
        <v>24.276</v>
      </c>
      <c r="L240">
        <f>Table13[[#This Row],[Price]]*Table13[[#This Row],[Units]]</f>
        <v>867</v>
      </c>
    </row>
    <row r="241" spans="1:12" x14ac:dyDescent="0.35">
      <c r="A241" s="145">
        <v>45607</v>
      </c>
      <c r="B241" s="146" t="s">
        <v>745</v>
      </c>
      <c r="C241" s="147" t="s">
        <v>469</v>
      </c>
      <c r="D241" s="147" t="s">
        <v>519</v>
      </c>
      <c r="E241" s="147" t="s">
        <v>315</v>
      </c>
      <c r="F241" s="147" t="s">
        <v>491</v>
      </c>
      <c r="G241" s="147">
        <v>42</v>
      </c>
      <c r="H241" s="148">
        <v>46</v>
      </c>
      <c r="I241" s="149">
        <f t="shared" si="3"/>
        <v>1932</v>
      </c>
      <c r="J241" s="150" t="s">
        <v>472</v>
      </c>
      <c r="K241" s="151">
        <v>52.164000000000001</v>
      </c>
      <c r="L241">
        <f>Table13[[#This Row],[Price]]*Table13[[#This Row],[Units]]</f>
        <v>1932</v>
      </c>
    </row>
    <row r="242" spans="1:12" x14ac:dyDescent="0.35">
      <c r="A242" s="145">
        <v>45607</v>
      </c>
      <c r="B242" s="146" t="s">
        <v>746</v>
      </c>
      <c r="C242" s="147" t="s">
        <v>469</v>
      </c>
      <c r="D242" s="147" t="s">
        <v>512</v>
      </c>
      <c r="E242" s="147" t="s">
        <v>483</v>
      </c>
      <c r="F242" s="147" t="s">
        <v>491</v>
      </c>
      <c r="G242" s="147">
        <v>27</v>
      </c>
      <c r="H242" s="148">
        <v>48</v>
      </c>
      <c r="I242" s="149">
        <f t="shared" si="3"/>
        <v>1296</v>
      </c>
      <c r="J242" s="150" t="s">
        <v>466</v>
      </c>
      <c r="K242" s="151">
        <v>34.991999999999997</v>
      </c>
      <c r="L242">
        <f>Table13[[#This Row],[Price]]*Table13[[#This Row],[Units]]</f>
        <v>1296</v>
      </c>
    </row>
    <row r="243" spans="1:12" x14ac:dyDescent="0.35">
      <c r="A243" s="145">
        <v>45608</v>
      </c>
      <c r="B243" s="146" t="s">
        <v>747</v>
      </c>
      <c r="C243" s="147" t="s">
        <v>492</v>
      </c>
      <c r="D243" s="147" t="s">
        <v>470</v>
      </c>
      <c r="E243" s="147" t="s">
        <v>320</v>
      </c>
      <c r="F243" s="147" t="s">
        <v>491</v>
      </c>
      <c r="G243" s="147">
        <v>11</v>
      </c>
      <c r="H243" s="148">
        <v>50</v>
      </c>
      <c r="I243" s="149">
        <f t="shared" si="3"/>
        <v>550</v>
      </c>
      <c r="J243" s="150" t="s">
        <v>472</v>
      </c>
      <c r="K243" s="151">
        <v>13.2</v>
      </c>
      <c r="L243">
        <f>Table13[[#This Row],[Price]]*Table13[[#This Row],[Units]]</f>
        <v>550</v>
      </c>
    </row>
    <row r="244" spans="1:12" x14ac:dyDescent="0.35">
      <c r="A244" s="145">
        <v>45609</v>
      </c>
      <c r="B244" s="146" t="s">
        <v>748</v>
      </c>
      <c r="C244" s="147" t="s">
        <v>494</v>
      </c>
      <c r="D244" s="147" t="s">
        <v>465</v>
      </c>
      <c r="E244" s="147" t="s">
        <v>320</v>
      </c>
      <c r="F244" s="147" t="s">
        <v>567</v>
      </c>
      <c r="G244" s="147">
        <v>32</v>
      </c>
      <c r="H244" s="148">
        <v>49</v>
      </c>
      <c r="I244" s="149">
        <f t="shared" si="3"/>
        <v>1568</v>
      </c>
      <c r="J244" s="150" t="s">
        <v>466</v>
      </c>
      <c r="K244" s="151">
        <v>45.472000000000001</v>
      </c>
      <c r="L244">
        <f>Table13[[#This Row],[Price]]*Table13[[#This Row],[Units]]</f>
        <v>1568</v>
      </c>
    </row>
    <row r="245" spans="1:12" x14ac:dyDescent="0.35">
      <c r="A245" s="145">
        <v>45609</v>
      </c>
      <c r="B245" s="146" t="s">
        <v>749</v>
      </c>
      <c r="C245" s="147" t="s">
        <v>489</v>
      </c>
      <c r="D245" s="147" t="s">
        <v>465</v>
      </c>
      <c r="E245" s="147" t="s">
        <v>390</v>
      </c>
      <c r="F245" s="147" t="s">
        <v>520</v>
      </c>
      <c r="G245" s="147">
        <v>47</v>
      </c>
      <c r="H245" s="148">
        <v>28</v>
      </c>
      <c r="I245" s="149">
        <f t="shared" si="3"/>
        <v>1316</v>
      </c>
      <c r="J245" s="150" t="s">
        <v>515</v>
      </c>
      <c r="K245" s="151">
        <v>28.952000000000002</v>
      </c>
      <c r="L245">
        <f>Table13[[#This Row],[Price]]*Table13[[#This Row],[Units]]</f>
        <v>1316</v>
      </c>
    </row>
    <row r="246" spans="1:12" x14ac:dyDescent="0.35">
      <c r="A246" s="145">
        <v>45610</v>
      </c>
      <c r="B246" s="146" t="s">
        <v>750</v>
      </c>
      <c r="C246" s="147" t="s">
        <v>489</v>
      </c>
      <c r="D246" s="147" t="s">
        <v>512</v>
      </c>
      <c r="E246" s="147" t="s">
        <v>483</v>
      </c>
      <c r="F246" s="147" t="s">
        <v>513</v>
      </c>
      <c r="G246" s="147">
        <v>16</v>
      </c>
      <c r="H246" s="148">
        <v>35</v>
      </c>
      <c r="I246" s="149">
        <f t="shared" si="3"/>
        <v>560</v>
      </c>
      <c r="J246" s="150" t="s">
        <v>466</v>
      </c>
      <c r="K246" s="151">
        <v>14</v>
      </c>
      <c r="L246">
        <f>Table13[[#This Row],[Price]]*Table13[[#This Row],[Units]]</f>
        <v>560</v>
      </c>
    </row>
    <row r="247" spans="1:12" x14ac:dyDescent="0.35">
      <c r="A247" s="145">
        <v>45610</v>
      </c>
      <c r="B247" s="146" t="s">
        <v>751</v>
      </c>
      <c r="C247" s="147" t="s">
        <v>322</v>
      </c>
      <c r="D247" s="147" t="s">
        <v>477</v>
      </c>
      <c r="E247" s="147" t="s">
        <v>315</v>
      </c>
      <c r="F247" s="147" t="s">
        <v>500</v>
      </c>
      <c r="G247" s="147">
        <v>29</v>
      </c>
      <c r="H247" s="148">
        <v>21</v>
      </c>
      <c r="I247" s="149">
        <f t="shared" si="3"/>
        <v>609</v>
      </c>
      <c r="J247" s="150" t="s">
        <v>515</v>
      </c>
      <c r="K247" s="151">
        <v>12.789</v>
      </c>
      <c r="L247">
        <f>Table13[[#This Row],[Price]]*Table13[[#This Row],[Units]]</f>
        <v>609</v>
      </c>
    </row>
    <row r="248" spans="1:12" x14ac:dyDescent="0.35">
      <c r="A248" s="145">
        <v>45610</v>
      </c>
      <c r="B248" s="146" t="s">
        <v>752</v>
      </c>
      <c r="C248" s="147" t="s">
        <v>484</v>
      </c>
      <c r="D248" s="147" t="s">
        <v>477</v>
      </c>
      <c r="E248" s="147" t="s">
        <v>324</v>
      </c>
      <c r="F248" s="147" t="s">
        <v>497</v>
      </c>
      <c r="G248" s="147">
        <v>50</v>
      </c>
      <c r="H248" s="148">
        <v>27</v>
      </c>
      <c r="I248" s="149">
        <f t="shared" si="3"/>
        <v>1350</v>
      </c>
      <c r="J248" s="150" t="s">
        <v>472</v>
      </c>
      <c r="K248" s="151">
        <v>40.5</v>
      </c>
      <c r="L248">
        <f>Table13[[#This Row],[Price]]*Table13[[#This Row],[Units]]</f>
        <v>1350</v>
      </c>
    </row>
    <row r="249" spans="1:12" x14ac:dyDescent="0.35">
      <c r="A249" s="145">
        <v>45610</v>
      </c>
      <c r="B249" s="146" t="s">
        <v>753</v>
      </c>
      <c r="C249" s="147" t="s">
        <v>469</v>
      </c>
      <c r="D249" s="147" t="s">
        <v>477</v>
      </c>
      <c r="E249" s="147" t="s">
        <v>333</v>
      </c>
      <c r="F249" s="147" t="s">
        <v>567</v>
      </c>
      <c r="G249" s="147">
        <v>53</v>
      </c>
      <c r="H249" s="148">
        <v>50</v>
      </c>
      <c r="I249" s="149">
        <f t="shared" si="3"/>
        <v>2650</v>
      </c>
      <c r="J249" s="150" t="s">
        <v>466</v>
      </c>
      <c r="K249" s="151">
        <v>68.900000000000006</v>
      </c>
      <c r="L249">
        <f>Table13[[#This Row],[Price]]*Table13[[#This Row],[Units]]</f>
        <v>2650</v>
      </c>
    </row>
    <row r="250" spans="1:12" x14ac:dyDescent="0.35">
      <c r="A250" s="145">
        <v>45610</v>
      </c>
      <c r="B250" s="146" t="s">
        <v>754</v>
      </c>
      <c r="C250" s="147" t="s">
        <v>322</v>
      </c>
      <c r="D250" s="147" t="s">
        <v>512</v>
      </c>
      <c r="E250" s="147" t="s">
        <v>390</v>
      </c>
      <c r="F250" s="147" t="s">
        <v>528</v>
      </c>
      <c r="G250" s="147">
        <v>22</v>
      </c>
      <c r="H250" s="148">
        <v>45</v>
      </c>
      <c r="I250" s="149">
        <f t="shared" si="3"/>
        <v>990</v>
      </c>
      <c r="J250" s="150" t="s">
        <v>515</v>
      </c>
      <c r="K250" s="151">
        <v>26.73</v>
      </c>
      <c r="L250">
        <f>Table13[[#This Row],[Price]]*Table13[[#This Row],[Units]]</f>
        <v>990</v>
      </c>
    </row>
    <row r="251" spans="1:12" x14ac:dyDescent="0.35">
      <c r="A251" s="145">
        <v>45610</v>
      </c>
      <c r="B251" s="146" t="s">
        <v>755</v>
      </c>
      <c r="C251" s="147" t="s">
        <v>484</v>
      </c>
      <c r="D251" s="147" t="s">
        <v>519</v>
      </c>
      <c r="E251" s="147" t="s">
        <v>412</v>
      </c>
      <c r="F251" s="147" t="s">
        <v>505</v>
      </c>
      <c r="G251" s="147">
        <v>57</v>
      </c>
      <c r="H251" s="148">
        <v>60</v>
      </c>
      <c r="I251" s="149">
        <f t="shared" si="3"/>
        <v>3420</v>
      </c>
      <c r="J251" s="150" t="s">
        <v>466</v>
      </c>
      <c r="K251" s="151">
        <v>92.34</v>
      </c>
      <c r="L251">
        <f>Table13[[#This Row],[Price]]*Table13[[#This Row],[Units]]</f>
        <v>3420</v>
      </c>
    </row>
    <row r="252" spans="1:12" x14ac:dyDescent="0.35">
      <c r="A252" s="145">
        <v>45610</v>
      </c>
      <c r="B252" s="146" t="s">
        <v>756</v>
      </c>
      <c r="C252" s="147" t="s">
        <v>464</v>
      </c>
      <c r="D252" s="147" t="s">
        <v>486</v>
      </c>
      <c r="E252" s="147" t="s">
        <v>390</v>
      </c>
      <c r="F252" s="147" t="s">
        <v>454</v>
      </c>
      <c r="G252" s="147">
        <v>46</v>
      </c>
      <c r="H252" s="148">
        <v>26</v>
      </c>
      <c r="I252" s="149">
        <f t="shared" si="3"/>
        <v>1196</v>
      </c>
      <c r="J252" s="150" t="s">
        <v>466</v>
      </c>
      <c r="K252" s="151">
        <v>28.704000000000001</v>
      </c>
      <c r="L252">
        <f>Table13[[#This Row],[Price]]*Table13[[#This Row],[Units]]</f>
        <v>1196</v>
      </c>
    </row>
    <row r="253" spans="1:12" x14ac:dyDescent="0.35">
      <c r="A253" s="145">
        <v>45610</v>
      </c>
      <c r="B253" s="146" t="s">
        <v>757</v>
      </c>
      <c r="C253" s="147" t="s">
        <v>501</v>
      </c>
      <c r="D253" s="147" t="s">
        <v>486</v>
      </c>
      <c r="E253" s="147" t="s">
        <v>483</v>
      </c>
      <c r="F253" s="147" t="s">
        <v>491</v>
      </c>
      <c r="G253" s="147">
        <v>60</v>
      </c>
      <c r="H253" s="148">
        <v>59</v>
      </c>
      <c r="I253" s="149">
        <f t="shared" si="3"/>
        <v>3540</v>
      </c>
      <c r="J253" s="150" t="s">
        <v>472</v>
      </c>
      <c r="K253" s="151">
        <v>77.88</v>
      </c>
      <c r="L253">
        <f>Table13[[#This Row],[Price]]*Table13[[#This Row],[Units]]</f>
        <v>3540</v>
      </c>
    </row>
    <row r="254" spans="1:12" x14ac:dyDescent="0.35">
      <c r="A254" s="145">
        <v>45610</v>
      </c>
      <c r="B254" s="146" t="s">
        <v>758</v>
      </c>
      <c r="C254" s="147" t="s">
        <v>464</v>
      </c>
      <c r="D254" s="147" t="s">
        <v>470</v>
      </c>
      <c r="E254" s="147" t="s">
        <v>315</v>
      </c>
      <c r="F254" s="147" t="s">
        <v>478</v>
      </c>
      <c r="G254" s="147">
        <v>27</v>
      </c>
      <c r="H254" s="148">
        <v>22</v>
      </c>
      <c r="I254" s="149">
        <f t="shared" si="3"/>
        <v>594</v>
      </c>
      <c r="J254" s="150" t="s">
        <v>515</v>
      </c>
      <c r="K254" s="151">
        <v>14.256</v>
      </c>
      <c r="L254">
        <f>Table13[[#This Row],[Price]]*Table13[[#This Row],[Units]]</f>
        <v>594</v>
      </c>
    </row>
    <row r="255" spans="1:12" x14ac:dyDescent="0.35">
      <c r="A255" s="145">
        <v>45610</v>
      </c>
      <c r="B255" s="146" t="s">
        <v>759</v>
      </c>
      <c r="C255" s="147" t="s">
        <v>322</v>
      </c>
      <c r="D255" s="147" t="s">
        <v>486</v>
      </c>
      <c r="E255" s="147" t="s">
        <v>412</v>
      </c>
      <c r="F255" s="147" t="s">
        <v>520</v>
      </c>
      <c r="G255" s="147">
        <v>40</v>
      </c>
      <c r="H255" s="148">
        <v>57</v>
      </c>
      <c r="I255" s="149">
        <f t="shared" si="3"/>
        <v>2280</v>
      </c>
      <c r="J255" s="150" t="s">
        <v>466</v>
      </c>
      <c r="K255" s="151">
        <v>68.400000000000006</v>
      </c>
      <c r="L255">
        <f>Table13[[#This Row],[Price]]*Table13[[#This Row],[Units]]</f>
        <v>2280</v>
      </c>
    </row>
    <row r="256" spans="1:12" x14ac:dyDescent="0.35">
      <c r="A256" s="145">
        <v>45610</v>
      </c>
      <c r="B256" s="146" t="s">
        <v>760</v>
      </c>
      <c r="C256" s="147" t="s">
        <v>492</v>
      </c>
      <c r="D256" s="147" t="s">
        <v>512</v>
      </c>
      <c r="E256" s="147" t="s">
        <v>333</v>
      </c>
      <c r="F256" s="147" t="s">
        <v>471</v>
      </c>
      <c r="G256" s="147">
        <v>50</v>
      </c>
      <c r="H256" s="148">
        <v>21</v>
      </c>
      <c r="I256" s="149">
        <f t="shared" si="3"/>
        <v>1050</v>
      </c>
      <c r="J256" s="150" t="s">
        <v>472</v>
      </c>
      <c r="K256" s="151">
        <v>30.45</v>
      </c>
      <c r="L256">
        <f>Table13[[#This Row],[Price]]*Table13[[#This Row],[Units]]</f>
        <v>1050</v>
      </c>
    </row>
    <row r="257" spans="1:12" x14ac:dyDescent="0.35">
      <c r="A257" s="145">
        <v>45610</v>
      </c>
      <c r="B257" s="146" t="s">
        <v>761</v>
      </c>
      <c r="C257" s="147" t="s">
        <v>494</v>
      </c>
      <c r="D257" s="147" t="s">
        <v>490</v>
      </c>
      <c r="E257" s="147" t="s">
        <v>324</v>
      </c>
      <c r="F257" s="147" t="s">
        <v>567</v>
      </c>
      <c r="G257" s="147">
        <v>54</v>
      </c>
      <c r="H257" s="148">
        <v>38</v>
      </c>
      <c r="I257" s="149">
        <f t="shared" si="3"/>
        <v>2052</v>
      </c>
      <c r="J257" s="150" t="s">
        <v>466</v>
      </c>
      <c r="K257" s="151">
        <v>53.351999999999997</v>
      </c>
      <c r="L257">
        <f>Table13[[#This Row],[Price]]*Table13[[#This Row],[Units]]</f>
        <v>2052</v>
      </c>
    </row>
    <row r="258" spans="1:12" x14ac:dyDescent="0.35">
      <c r="A258" s="145">
        <v>45610</v>
      </c>
      <c r="B258" s="146" t="s">
        <v>762</v>
      </c>
      <c r="C258" s="147" t="s">
        <v>501</v>
      </c>
      <c r="D258" s="147" t="s">
        <v>490</v>
      </c>
      <c r="E258" s="147" t="s">
        <v>320</v>
      </c>
      <c r="F258" s="147" t="s">
        <v>510</v>
      </c>
      <c r="G258" s="147">
        <v>58</v>
      </c>
      <c r="H258" s="148">
        <v>51</v>
      </c>
      <c r="I258" s="149">
        <f t="shared" si="3"/>
        <v>2958</v>
      </c>
      <c r="J258" s="150" t="s">
        <v>466</v>
      </c>
      <c r="K258" s="151">
        <v>62.118000000000002</v>
      </c>
      <c r="L258">
        <f>Table13[[#This Row],[Price]]*Table13[[#This Row],[Units]]</f>
        <v>2958</v>
      </c>
    </row>
    <row r="259" spans="1:12" x14ac:dyDescent="0.35">
      <c r="A259" s="145">
        <v>45610</v>
      </c>
      <c r="B259" s="146" t="s">
        <v>763</v>
      </c>
      <c r="C259" s="147" t="s">
        <v>494</v>
      </c>
      <c r="D259" s="147" t="s">
        <v>477</v>
      </c>
      <c r="E259" s="147" t="s">
        <v>320</v>
      </c>
      <c r="F259" s="147" t="s">
        <v>513</v>
      </c>
      <c r="G259" s="147">
        <v>53</v>
      </c>
      <c r="H259" s="148">
        <v>58</v>
      </c>
      <c r="I259" s="149">
        <f t="shared" ref="I259:I322" si="4">G259*H259</f>
        <v>3074</v>
      </c>
      <c r="J259" s="150" t="s">
        <v>472</v>
      </c>
      <c r="K259" s="151">
        <v>86.072000000000003</v>
      </c>
      <c r="L259">
        <f>Table13[[#This Row],[Price]]*Table13[[#This Row],[Units]]</f>
        <v>3074</v>
      </c>
    </row>
    <row r="260" spans="1:12" x14ac:dyDescent="0.35">
      <c r="A260" s="145">
        <v>45610</v>
      </c>
      <c r="B260" s="146" t="s">
        <v>764</v>
      </c>
      <c r="C260" s="147" t="s">
        <v>494</v>
      </c>
      <c r="D260" s="147" t="s">
        <v>519</v>
      </c>
      <c r="E260" s="147" t="s">
        <v>333</v>
      </c>
      <c r="F260" s="147" t="s">
        <v>510</v>
      </c>
      <c r="G260" s="147">
        <v>39</v>
      </c>
      <c r="H260" s="148">
        <v>44</v>
      </c>
      <c r="I260" s="149">
        <f t="shared" si="4"/>
        <v>1716</v>
      </c>
      <c r="J260" s="150" t="s">
        <v>466</v>
      </c>
      <c r="K260" s="151">
        <v>44.616</v>
      </c>
      <c r="L260">
        <f>Table13[[#This Row],[Price]]*Table13[[#This Row],[Units]]</f>
        <v>1716</v>
      </c>
    </row>
    <row r="261" spans="1:12" x14ac:dyDescent="0.35">
      <c r="A261" s="145">
        <v>45610</v>
      </c>
      <c r="B261" s="146" t="s">
        <v>765</v>
      </c>
      <c r="C261" s="147" t="s">
        <v>489</v>
      </c>
      <c r="D261" s="147" t="s">
        <v>477</v>
      </c>
      <c r="E261" s="147" t="s">
        <v>324</v>
      </c>
      <c r="F261" s="147" t="s">
        <v>517</v>
      </c>
      <c r="G261" s="147">
        <v>36</v>
      </c>
      <c r="H261" s="148">
        <v>24</v>
      </c>
      <c r="I261" s="149">
        <f t="shared" si="4"/>
        <v>864</v>
      </c>
      <c r="J261" s="150" t="s">
        <v>472</v>
      </c>
      <c r="K261" s="151">
        <v>25.056000000000001</v>
      </c>
      <c r="L261">
        <f>Table13[[#This Row],[Price]]*Table13[[#This Row],[Units]]</f>
        <v>864</v>
      </c>
    </row>
    <row r="262" spans="1:12" x14ac:dyDescent="0.35">
      <c r="A262" s="145">
        <v>45610</v>
      </c>
      <c r="B262" s="146" t="s">
        <v>766</v>
      </c>
      <c r="C262" s="147" t="s">
        <v>469</v>
      </c>
      <c r="D262" s="147" t="s">
        <v>477</v>
      </c>
      <c r="E262" s="147" t="s">
        <v>390</v>
      </c>
      <c r="F262" s="147" t="s">
        <v>567</v>
      </c>
      <c r="G262" s="147">
        <v>49</v>
      </c>
      <c r="H262" s="148">
        <v>41</v>
      </c>
      <c r="I262" s="149">
        <f t="shared" si="4"/>
        <v>2009</v>
      </c>
      <c r="J262" s="150" t="s">
        <v>472</v>
      </c>
      <c r="K262" s="151">
        <v>56.252000000000002</v>
      </c>
      <c r="L262">
        <f>Table13[[#This Row],[Price]]*Table13[[#This Row],[Units]]</f>
        <v>2009</v>
      </c>
    </row>
    <row r="263" spans="1:12" x14ac:dyDescent="0.35">
      <c r="A263" s="145">
        <v>45610</v>
      </c>
      <c r="B263" s="146" t="s">
        <v>767</v>
      </c>
      <c r="C263" s="147" t="s">
        <v>492</v>
      </c>
      <c r="D263" s="147" t="s">
        <v>470</v>
      </c>
      <c r="E263" s="147" t="s">
        <v>390</v>
      </c>
      <c r="F263" s="147" t="s">
        <v>505</v>
      </c>
      <c r="G263" s="147">
        <v>24</v>
      </c>
      <c r="H263" s="148">
        <v>38</v>
      </c>
      <c r="I263" s="149">
        <f t="shared" si="4"/>
        <v>912</v>
      </c>
      <c r="J263" s="150" t="s">
        <v>472</v>
      </c>
      <c r="K263" s="151">
        <v>21.888000000000002</v>
      </c>
      <c r="L263">
        <f>Table13[[#This Row],[Price]]*Table13[[#This Row],[Units]]</f>
        <v>912</v>
      </c>
    </row>
    <row r="264" spans="1:12" x14ac:dyDescent="0.35">
      <c r="A264" s="145">
        <v>45610</v>
      </c>
      <c r="B264" s="146" t="s">
        <v>768</v>
      </c>
      <c r="C264" s="147" t="s">
        <v>484</v>
      </c>
      <c r="D264" s="147" t="s">
        <v>465</v>
      </c>
      <c r="E264" s="147" t="s">
        <v>333</v>
      </c>
      <c r="F264" s="147" t="s">
        <v>536</v>
      </c>
      <c r="G264" s="147">
        <v>17</v>
      </c>
      <c r="H264" s="148">
        <v>23</v>
      </c>
      <c r="I264" s="149">
        <f t="shared" si="4"/>
        <v>391</v>
      </c>
      <c r="J264" s="150" t="s">
        <v>472</v>
      </c>
      <c r="K264" s="151">
        <v>9.3840000000000003</v>
      </c>
      <c r="L264">
        <f>Table13[[#This Row],[Price]]*Table13[[#This Row],[Units]]</f>
        <v>391</v>
      </c>
    </row>
    <row r="265" spans="1:12" x14ac:dyDescent="0.35">
      <c r="A265" s="145">
        <v>45610</v>
      </c>
      <c r="B265" s="146" t="s">
        <v>769</v>
      </c>
      <c r="C265" s="147" t="s">
        <v>476</v>
      </c>
      <c r="D265" s="147" t="s">
        <v>486</v>
      </c>
      <c r="E265" s="147" t="s">
        <v>483</v>
      </c>
      <c r="F265" s="147" t="s">
        <v>487</v>
      </c>
      <c r="G265" s="147">
        <v>14</v>
      </c>
      <c r="H265" s="148">
        <v>52</v>
      </c>
      <c r="I265" s="149">
        <f t="shared" si="4"/>
        <v>728</v>
      </c>
      <c r="J265" s="150" t="s">
        <v>466</v>
      </c>
      <c r="K265" s="151">
        <v>20.384</v>
      </c>
      <c r="L265">
        <f>Table13[[#This Row],[Price]]*Table13[[#This Row],[Units]]</f>
        <v>728</v>
      </c>
    </row>
    <row r="266" spans="1:12" x14ac:dyDescent="0.35">
      <c r="A266" s="145">
        <v>45610</v>
      </c>
      <c r="B266" s="146" t="s">
        <v>770</v>
      </c>
      <c r="C266" s="147" t="s">
        <v>469</v>
      </c>
      <c r="D266" s="147" t="s">
        <v>477</v>
      </c>
      <c r="E266" s="147" t="s">
        <v>324</v>
      </c>
      <c r="F266" s="147" t="s">
        <v>528</v>
      </c>
      <c r="G266" s="147">
        <v>47</v>
      </c>
      <c r="H266" s="148">
        <v>46</v>
      </c>
      <c r="I266" s="149">
        <f t="shared" si="4"/>
        <v>2162</v>
      </c>
      <c r="J266" s="150" t="s">
        <v>466</v>
      </c>
      <c r="K266" s="151">
        <v>58.374000000000002</v>
      </c>
      <c r="L266">
        <f>Table13[[#This Row],[Price]]*Table13[[#This Row],[Units]]</f>
        <v>2162</v>
      </c>
    </row>
    <row r="267" spans="1:12" x14ac:dyDescent="0.35">
      <c r="A267" s="145">
        <v>45610</v>
      </c>
      <c r="B267" s="146" t="s">
        <v>771</v>
      </c>
      <c r="C267" s="147" t="s">
        <v>322</v>
      </c>
      <c r="D267" s="147" t="s">
        <v>465</v>
      </c>
      <c r="E267" s="147" t="s">
        <v>320</v>
      </c>
      <c r="F267" s="147" t="s">
        <v>491</v>
      </c>
      <c r="G267" s="147">
        <v>14</v>
      </c>
      <c r="H267" s="148">
        <v>39</v>
      </c>
      <c r="I267" s="149">
        <f t="shared" si="4"/>
        <v>546</v>
      </c>
      <c r="J267" s="150" t="s">
        <v>503</v>
      </c>
      <c r="K267" s="151">
        <v>16.38</v>
      </c>
      <c r="L267">
        <f>Table13[[#This Row],[Price]]*Table13[[#This Row],[Units]]</f>
        <v>546</v>
      </c>
    </row>
    <row r="268" spans="1:12" x14ac:dyDescent="0.35">
      <c r="A268" s="145">
        <v>45610</v>
      </c>
      <c r="B268" s="146" t="s">
        <v>772</v>
      </c>
      <c r="C268" s="147" t="s">
        <v>484</v>
      </c>
      <c r="D268" s="147" t="s">
        <v>470</v>
      </c>
      <c r="E268" s="147" t="s">
        <v>333</v>
      </c>
      <c r="F268" s="147" t="s">
        <v>539</v>
      </c>
      <c r="G268" s="147">
        <v>21</v>
      </c>
      <c r="H268" s="148">
        <v>29</v>
      </c>
      <c r="I268" s="149">
        <f t="shared" si="4"/>
        <v>609</v>
      </c>
      <c r="J268" s="150" t="s">
        <v>466</v>
      </c>
      <c r="K268" s="151">
        <v>18.27</v>
      </c>
      <c r="L268">
        <f>Table13[[#This Row],[Price]]*Table13[[#This Row],[Units]]</f>
        <v>609</v>
      </c>
    </row>
    <row r="269" spans="1:12" x14ac:dyDescent="0.35">
      <c r="A269" s="145">
        <v>45611</v>
      </c>
      <c r="B269" s="146" t="s">
        <v>773</v>
      </c>
      <c r="C269" s="147" t="s">
        <v>469</v>
      </c>
      <c r="D269" s="147" t="s">
        <v>470</v>
      </c>
      <c r="E269" s="147" t="s">
        <v>483</v>
      </c>
      <c r="F269" s="147" t="s">
        <v>500</v>
      </c>
      <c r="G269" s="147">
        <v>17</v>
      </c>
      <c r="H269" s="148">
        <v>58</v>
      </c>
      <c r="I269" s="149">
        <f t="shared" si="4"/>
        <v>986</v>
      </c>
      <c r="J269" s="150" t="s">
        <v>515</v>
      </c>
      <c r="K269" s="151">
        <v>24.65</v>
      </c>
      <c r="L269">
        <f>Table13[[#This Row],[Price]]*Table13[[#This Row],[Units]]</f>
        <v>986</v>
      </c>
    </row>
    <row r="270" spans="1:12" x14ac:dyDescent="0.35">
      <c r="A270" s="145">
        <v>45611</v>
      </c>
      <c r="B270" s="146" t="s">
        <v>774</v>
      </c>
      <c r="C270" s="147" t="s">
        <v>464</v>
      </c>
      <c r="D270" s="147" t="s">
        <v>486</v>
      </c>
      <c r="E270" s="147" t="s">
        <v>390</v>
      </c>
      <c r="F270" s="147" t="s">
        <v>517</v>
      </c>
      <c r="G270" s="147">
        <v>58</v>
      </c>
      <c r="H270" s="148">
        <v>60</v>
      </c>
      <c r="I270" s="149">
        <f t="shared" si="4"/>
        <v>3480</v>
      </c>
      <c r="J270" s="150" t="s">
        <v>466</v>
      </c>
      <c r="K270" s="151">
        <v>87</v>
      </c>
      <c r="L270">
        <f>Table13[[#This Row],[Price]]*Table13[[#This Row],[Units]]</f>
        <v>3480</v>
      </c>
    </row>
    <row r="271" spans="1:12" x14ac:dyDescent="0.35">
      <c r="A271" s="145">
        <v>45612</v>
      </c>
      <c r="B271" s="146" t="s">
        <v>775</v>
      </c>
      <c r="C271" s="147" t="s">
        <v>489</v>
      </c>
      <c r="D271" s="147" t="s">
        <v>477</v>
      </c>
      <c r="E271" s="147" t="s">
        <v>315</v>
      </c>
      <c r="F271" s="147" t="s">
        <v>528</v>
      </c>
      <c r="G271" s="147">
        <v>56</v>
      </c>
      <c r="H271" s="148">
        <v>48</v>
      </c>
      <c r="I271" s="149">
        <f t="shared" si="4"/>
        <v>2688</v>
      </c>
      <c r="J271" s="150" t="s">
        <v>466</v>
      </c>
      <c r="K271" s="151">
        <v>53.76</v>
      </c>
      <c r="L271">
        <f>Table13[[#This Row],[Price]]*Table13[[#This Row],[Units]]</f>
        <v>2688</v>
      </c>
    </row>
    <row r="272" spans="1:12" x14ac:dyDescent="0.35">
      <c r="A272" s="145">
        <v>45612</v>
      </c>
      <c r="B272" s="146" t="s">
        <v>776</v>
      </c>
      <c r="C272" s="147" t="s">
        <v>476</v>
      </c>
      <c r="D272" s="147" t="s">
        <v>470</v>
      </c>
      <c r="E272" s="147" t="s">
        <v>320</v>
      </c>
      <c r="F272" s="147" t="s">
        <v>454</v>
      </c>
      <c r="G272" s="147">
        <v>20</v>
      </c>
      <c r="H272" s="148">
        <v>23</v>
      </c>
      <c r="I272" s="149">
        <f t="shared" si="4"/>
        <v>460</v>
      </c>
      <c r="J272" s="150" t="s">
        <v>472</v>
      </c>
      <c r="K272" s="151">
        <v>11.5</v>
      </c>
      <c r="L272">
        <f>Table13[[#This Row],[Price]]*Table13[[#This Row],[Units]]</f>
        <v>460</v>
      </c>
    </row>
    <row r="273" spans="1:12" x14ac:dyDescent="0.35">
      <c r="A273" s="145">
        <v>45612</v>
      </c>
      <c r="B273" s="146" t="s">
        <v>777</v>
      </c>
      <c r="C273" s="147" t="s">
        <v>464</v>
      </c>
      <c r="D273" s="147" t="s">
        <v>470</v>
      </c>
      <c r="E273" s="147" t="s">
        <v>333</v>
      </c>
      <c r="F273" s="147" t="s">
        <v>528</v>
      </c>
      <c r="G273" s="147">
        <v>13</v>
      </c>
      <c r="H273" s="148">
        <v>47</v>
      </c>
      <c r="I273" s="149">
        <f t="shared" si="4"/>
        <v>611</v>
      </c>
      <c r="J273" s="150" t="s">
        <v>466</v>
      </c>
      <c r="K273" s="151">
        <v>13.442</v>
      </c>
      <c r="L273">
        <f>Table13[[#This Row],[Price]]*Table13[[#This Row],[Units]]</f>
        <v>611</v>
      </c>
    </row>
    <row r="274" spans="1:12" x14ac:dyDescent="0.35">
      <c r="A274" s="145">
        <v>45612</v>
      </c>
      <c r="B274" s="146" t="s">
        <v>778</v>
      </c>
      <c r="C274" s="147" t="s">
        <v>322</v>
      </c>
      <c r="D274" s="147" t="s">
        <v>512</v>
      </c>
      <c r="E274" s="147" t="s">
        <v>333</v>
      </c>
      <c r="F274" s="147" t="s">
        <v>471</v>
      </c>
      <c r="G274" s="147">
        <v>18</v>
      </c>
      <c r="H274" s="148">
        <v>55</v>
      </c>
      <c r="I274" s="149">
        <f t="shared" si="4"/>
        <v>990</v>
      </c>
      <c r="J274" s="150" t="s">
        <v>472</v>
      </c>
      <c r="K274" s="151">
        <v>29.7</v>
      </c>
      <c r="L274">
        <f>Table13[[#This Row],[Price]]*Table13[[#This Row],[Units]]</f>
        <v>990</v>
      </c>
    </row>
    <row r="275" spans="1:12" x14ac:dyDescent="0.35">
      <c r="A275" s="145">
        <v>45612</v>
      </c>
      <c r="B275" s="146" t="s">
        <v>779</v>
      </c>
      <c r="C275" s="147" t="s">
        <v>494</v>
      </c>
      <c r="D275" s="147" t="s">
        <v>477</v>
      </c>
      <c r="E275" s="147" t="s">
        <v>324</v>
      </c>
      <c r="F275" s="147" t="s">
        <v>500</v>
      </c>
      <c r="G275" s="147">
        <v>19</v>
      </c>
      <c r="H275" s="148">
        <v>39</v>
      </c>
      <c r="I275" s="149">
        <f t="shared" si="4"/>
        <v>741</v>
      </c>
      <c r="J275" s="150" t="s">
        <v>472</v>
      </c>
      <c r="K275" s="151">
        <v>17.042999999999999</v>
      </c>
      <c r="L275">
        <f>Table13[[#This Row],[Price]]*Table13[[#This Row],[Units]]</f>
        <v>741</v>
      </c>
    </row>
    <row r="276" spans="1:12" x14ac:dyDescent="0.35">
      <c r="A276" s="145">
        <v>45613</v>
      </c>
      <c r="B276" s="146" t="s">
        <v>780</v>
      </c>
      <c r="C276" s="147" t="s">
        <v>492</v>
      </c>
      <c r="D276" s="147" t="s">
        <v>470</v>
      </c>
      <c r="E276" s="147" t="s">
        <v>333</v>
      </c>
      <c r="F276" s="147" t="s">
        <v>528</v>
      </c>
      <c r="G276" s="147">
        <v>35</v>
      </c>
      <c r="H276" s="148">
        <v>40</v>
      </c>
      <c r="I276" s="149">
        <f t="shared" si="4"/>
        <v>1400</v>
      </c>
      <c r="J276" s="150" t="s">
        <v>466</v>
      </c>
      <c r="K276" s="151">
        <v>30.8</v>
      </c>
      <c r="L276">
        <f>Table13[[#This Row],[Price]]*Table13[[#This Row],[Units]]</f>
        <v>1400</v>
      </c>
    </row>
    <row r="277" spans="1:12" x14ac:dyDescent="0.35">
      <c r="A277" s="145">
        <v>45613</v>
      </c>
      <c r="B277" s="146" t="s">
        <v>781</v>
      </c>
      <c r="C277" s="147" t="s">
        <v>494</v>
      </c>
      <c r="D277" s="147" t="s">
        <v>519</v>
      </c>
      <c r="E277" s="147" t="s">
        <v>333</v>
      </c>
      <c r="F277" s="147" t="s">
        <v>487</v>
      </c>
      <c r="G277" s="147">
        <v>19</v>
      </c>
      <c r="H277" s="148">
        <v>28</v>
      </c>
      <c r="I277" s="149">
        <f t="shared" si="4"/>
        <v>532</v>
      </c>
      <c r="J277" s="150" t="s">
        <v>472</v>
      </c>
      <c r="K277" s="151">
        <v>14.364000000000001</v>
      </c>
      <c r="L277">
        <f>Table13[[#This Row],[Price]]*Table13[[#This Row],[Units]]</f>
        <v>532</v>
      </c>
    </row>
    <row r="278" spans="1:12" x14ac:dyDescent="0.35">
      <c r="A278" s="145">
        <v>45613</v>
      </c>
      <c r="B278" s="146" t="s">
        <v>782</v>
      </c>
      <c r="C278" s="147" t="s">
        <v>494</v>
      </c>
      <c r="D278" s="147" t="s">
        <v>470</v>
      </c>
      <c r="E278" s="147" t="s">
        <v>390</v>
      </c>
      <c r="F278" s="147" t="s">
        <v>536</v>
      </c>
      <c r="G278" s="147">
        <v>36</v>
      </c>
      <c r="H278" s="148">
        <v>31</v>
      </c>
      <c r="I278" s="149">
        <f t="shared" si="4"/>
        <v>1116</v>
      </c>
      <c r="J278" s="150" t="s">
        <v>466</v>
      </c>
      <c r="K278" s="151">
        <v>31.248000000000001</v>
      </c>
      <c r="L278">
        <f>Table13[[#This Row],[Price]]*Table13[[#This Row],[Units]]</f>
        <v>1116</v>
      </c>
    </row>
    <row r="279" spans="1:12" x14ac:dyDescent="0.35">
      <c r="A279" s="145">
        <v>45614</v>
      </c>
      <c r="B279" s="146" t="s">
        <v>783</v>
      </c>
      <c r="C279" s="147" t="s">
        <v>322</v>
      </c>
      <c r="D279" s="147" t="s">
        <v>470</v>
      </c>
      <c r="E279" s="147" t="s">
        <v>324</v>
      </c>
      <c r="F279" s="147" t="s">
        <v>500</v>
      </c>
      <c r="G279" s="147">
        <v>34</v>
      </c>
      <c r="H279" s="148">
        <v>28</v>
      </c>
      <c r="I279" s="149">
        <f t="shared" si="4"/>
        <v>952</v>
      </c>
      <c r="J279" s="150" t="s">
        <v>472</v>
      </c>
      <c r="K279" s="151">
        <v>22.847999999999999</v>
      </c>
      <c r="L279">
        <f>Table13[[#This Row],[Price]]*Table13[[#This Row],[Units]]</f>
        <v>952</v>
      </c>
    </row>
    <row r="280" spans="1:12" x14ac:dyDescent="0.35">
      <c r="A280" s="145">
        <v>45614</v>
      </c>
      <c r="B280" s="146" t="s">
        <v>784</v>
      </c>
      <c r="C280" s="147" t="s">
        <v>489</v>
      </c>
      <c r="D280" s="147" t="s">
        <v>465</v>
      </c>
      <c r="E280" s="147" t="s">
        <v>315</v>
      </c>
      <c r="F280" s="147" t="s">
        <v>539</v>
      </c>
      <c r="G280" s="147">
        <v>47</v>
      </c>
      <c r="H280" s="148">
        <v>43</v>
      </c>
      <c r="I280" s="149">
        <f t="shared" si="4"/>
        <v>2021</v>
      </c>
      <c r="J280" s="150" t="s">
        <v>472</v>
      </c>
      <c r="K280" s="151">
        <v>40.42</v>
      </c>
      <c r="L280">
        <f>Table13[[#This Row],[Price]]*Table13[[#This Row],[Units]]</f>
        <v>2021</v>
      </c>
    </row>
    <row r="281" spans="1:12" x14ac:dyDescent="0.35">
      <c r="A281" s="145">
        <v>45614</v>
      </c>
      <c r="B281" s="146" t="s">
        <v>785</v>
      </c>
      <c r="C281" s="147" t="s">
        <v>489</v>
      </c>
      <c r="D281" s="147" t="s">
        <v>477</v>
      </c>
      <c r="E281" s="147" t="s">
        <v>320</v>
      </c>
      <c r="F281" s="147" t="s">
        <v>510</v>
      </c>
      <c r="G281" s="147">
        <v>30</v>
      </c>
      <c r="H281" s="148">
        <v>49</v>
      </c>
      <c r="I281" s="149">
        <f t="shared" si="4"/>
        <v>1470</v>
      </c>
      <c r="J281" s="150" t="s">
        <v>472</v>
      </c>
      <c r="K281" s="151">
        <v>32.340000000000003</v>
      </c>
      <c r="L281">
        <f>Table13[[#This Row],[Price]]*Table13[[#This Row],[Units]]</f>
        <v>1470</v>
      </c>
    </row>
    <row r="282" spans="1:12" x14ac:dyDescent="0.35">
      <c r="A282" s="145">
        <v>45614</v>
      </c>
      <c r="B282" s="146" t="s">
        <v>786</v>
      </c>
      <c r="C282" s="147" t="s">
        <v>484</v>
      </c>
      <c r="D282" s="147" t="s">
        <v>490</v>
      </c>
      <c r="E282" s="147" t="s">
        <v>315</v>
      </c>
      <c r="F282" s="147" t="s">
        <v>497</v>
      </c>
      <c r="G282" s="147">
        <v>20</v>
      </c>
      <c r="H282" s="148">
        <v>49</v>
      </c>
      <c r="I282" s="149">
        <f t="shared" si="4"/>
        <v>980</v>
      </c>
      <c r="J282" s="150" t="s">
        <v>503</v>
      </c>
      <c r="K282" s="151">
        <v>19.600000000000001</v>
      </c>
      <c r="L282">
        <f>Table13[[#This Row],[Price]]*Table13[[#This Row],[Units]]</f>
        <v>980</v>
      </c>
    </row>
    <row r="283" spans="1:12" x14ac:dyDescent="0.35">
      <c r="A283" s="145">
        <v>45614</v>
      </c>
      <c r="B283" s="146" t="s">
        <v>787</v>
      </c>
      <c r="C283" s="147" t="s">
        <v>501</v>
      </c>
      <c r="D283" s="147" t="s">
        <v>519</v>
      </c>
      <c r="E283" s="147" t="s">
        <v>483</v>
      </c>
      <c r="F283" s="147" t="s">
        <v>491</v>
      </c>
      <c r="G283" s="147">
        <v>23</v>
      </c>
      <c r="H283" s="148">
        <v>27</v>
      </c>
      <c r="I283" s="149">
        <f t="shared" si="4"/>
        <v>621</v>
      </c>
      <c r="J283" s="150" t="s">
        <v>466</v>
      </c>
      <c r="K283" s="151">
        <v>16.766999999999999</v>
      </c>
      <c r="L283">
        <f>Table13[[#This Row],[Price]]*Table13[[#This Row],[Units]]</f>
        <v>621</v>
      </c>
    </row>
    <row r="284" spans="1:12" x14ac:dyDescent="0.35">
      <c r="A284" s="145">
        <v>45614</v>
      </c>
      <c r="B284" s="146" t="s">
        <v>788</v>
      </c>
      <c r="C284" s="147" t="s">
        <v>322</v>
      </c>
      <c r="D284" s="147" t="s">
        <v>470</v>
      </c>
      <c r="E284" s="147" t="s">
        <v>324</v>
      </c>
      <c r="F284" s="147" t="s">
        <v>528</v>
      </c>
      <c r="G284" s="147">
        <v>15</v>
      </c>
      <c r="H284" s="148">
        <v>50</v>
      </c>
      <c r="I284" s="149">
        <f t="shared" si="4"/>
        <v>750</v>
      </c>
      <c r="J284" s="150" t="s">
        <v>466</v>
      </c>
      <c r="K284" s="151">
        <v>15.75</v>
      </c>
      <c r="L284">
        <f>Table13[[#This Row],[Price]]*Table13[[#This Row],[Units]]</f>
        <v>750</v>
      </c>
    </row>
    <row r="285" spans="1:12" x14ac:dyDescent="0.35">
      <c r="A285" s="145">
        <v>45614</v>
      </c>
      <c r="B285" s="146" t="s">
        <v>789</v>
      </c>
      <c r="C285" s="147" t="s">
        <v>494</v>
      </c>
      <c r="D285" s="147" t="s">
        <v>465</v>
      </c>
      <c r="E285" s="147" t="s">
        <v>333</v>
      </c>
      <c r="F285" s="147" t="s">
        <v>539</v>
      </c>
      <c r="G285" s="147">
        <v>55</v>
      </c>
      <c r="H285" s="148">
        <v>20</v>
      </c>
      <c r="I285" s="149">
        <f t="shared" si="4"/>
        <v>1100</v>
      </c>
      <c r="J285" s="150" t="s">
        <v>515</v>
      </c>
      <c r="K285" s="151">
        <v>26.4</v>
      </c>
      <c r="L285">
        <f>Table13[[#This Row],[Price]]*Table13[[#This Row],[Units]]</f>
        <v>1100</v>
      </c>
    </row>
    <row r="286" spans="1:12" x14ac:dyDescent="0.35">
      <c r="A286" s="145">
        <v>45614</v>
      </c>
      <c r="B286" s="146" t="s">
        <v>790</v>
      </c>
      <c r="C286" s="147" t="s">
        <v>476</v>
      </c>
      <c r="D286" s="147" t="s">
        <v>512</v>
      </c>
      <c r="E286" s="147" t="s">
        <v>320</v>
      </c>
      <c r="F286" s="147" t="s">
        <v>491</v>
      </c>
      <c r="G286" s="147">
        <v>54</v>
      </c>
      <c r="H286" s="148">
        <v>25</v>
      </c>
      <c r="I286" s="149">
        <f t="shared" si="4"/>
        <v>1350</v>
      </c>
      <c r="J286" s="150" t="s">
        <v>472</v>
      </c>
      <c r="K286" s="151">
        <v>35.1</v>
      </c>
      <c r="L286">
        <f>Table13[[#This Row],[Price]]*Table13[[#This Row],[Units]]</f>
        <v>1350</v>
      </c>
    </row>
    <row r="287" spans="1:12" x14ac:dyDescent="0.35">
      <c r="A287" s="145">
        <v>45614</v>
      </c>
      <c r="B287" s="146" t="s">
        <v>791</v>
      </c>
      <c r="C287" s="147" t="s">
        <v>476</v>
      </c>
      <c r="D287" s="147" t="s">
        <v>486</v>
      </c>
      <c r="E287" s="147" t="s">
        <v>315</v>
      </c>
      <c r="F287" s="147" t="s">
        <v>513</v>
      </c>
      <c r="G287" s="147">
        <v>10</v>
      </c>
      <c r="H287" s="148">
        <v>40</v>
      </c>
      <c r="I287" s="149">
        <f t="shared" si="4"/>
        <v>400</v>
      </c>
      <c r="J287" s="150" t="s">
        <v>466</v>
      </c>
      <c r="K287" s="151">
        <v>11.2</v>
      </c>
      <c r="L287">
        <f>Table13[[#This Row],[Price]]*Table13[[#This Row],[Units]]</f>
        <v>400</v>
      </c>
    </row>
    <row r="288" spans="1:12" x14ac:dyDescent="0.35">
      <c r="A288" s="145">
        <v>45614</v>
      </c>
      <c r="B288" s="146" t="s">
        <v>792</v>
      </c>
      <c r="C288" s="147" t="s">
        <v>464</v>
      </c>
      <c r="D288" s="147" t="s">
        <v>470</v>
      </c>
      <c r="E288" s="147" t="s">
        <v>320</v>
      </c>
      <c r="F288" s="147" t="s">
        <v>497</v>
      </c>
      <c r="G288" s="147">
        <v>51</v>
      </c>
      <c r="H288" s="148">
        <v>49</v>
      </c>
      <c r="I288" s="149">
        <f t="shared" si="4"/>
        <v>2499</v>
      </c>
      <c r="J288" s="150" t="s">
        <v>466</v>
      </c>
      <c r="K288" s="151">
        <v>49.98</v>
      </c>
      <c r="L288">
        <f>Table13[[#This Row],[Price]]*Table13[[#This Row],[Units]]</f>
        <v>2499</v>
      </c>
    </row>
    <row r="289" spans="1:12" x14ac:dyDescent="0.35">
      <c r="A289" s="145">
        <v>45614</v>
      </c>
      <c r="B289" s="146" t="s">
        <v>793</v>
      </c>
      <c r="C289" s="147" t="s">
        <v>484</v>
      </c>
      <c r="D289" s="147" t="s">
        <v>470</v>
      </c>
      <c r="E289" s="147" t="s">
        <v>320</v>
      </c>
      <c r="F289" s="147" t="s">
        <v>487</v>
      </c>
      <c r="G289" s="147">
        <v>44</v>
      </c>
      <c r="H289" s="148">
        <v>22</v>
      </c>
      <c r="I289" s="149">
        <f t="shared" si="4"/>
        <v>968</v>
      </c>
      <c r="J289" s="150" t="s">
        <v>466</v>
      </c>
      <c r="K289" s="151">
        <v>24.2</v>
      </c>
      <c r="L289">
        <f>Table13[[#This Row],[Price]]*Table13[[#This Row],[Units]]</f>
        <v>968</v>
      </c>
    </row>
    <row r="290" spans="1:12" x14ac:dyDescent="0.35">
      <c r="A290" s="145">
        <v>45615</v>
      </c>
      <c r="B290" s="146" t="s">
        <v>794</v>
      </c>
      <c r="C290" s="147" t="s">
        <v>322</v>
      </c>
      <c r="D290" s="147" t="s">
        <v>470</v>
      </c>
      <c r="E290" s="147" t="s">
        <v>333</v>
      </c>
      <c r="F290" s="147" t="s">
        <v>523</v>
      </c>
      <c r="G290" s="147">
        <v>39</v>
      </c>
      <c r="H290" s="148">
        <v>59</v>
      </c>
      <c r="I290" s="149">
        <f t="shared" si="4"/>
        <v>2301</v>
      </c>
      <c r="J290" s="150" t="s">
        <v>503</v>
      </c>
      <c r="K290" s="151">
        <v>48.320999999999998</v>
      </c>
      <c r="L290">
        <f>Table13[[#This Row],[Price]]*Table13[[#This Row],[Units]]</f>
        <v>2301</v>
      </c>
    </row>
    <row r="291" spans="1:12" x14ac:dyDescent="0.35">
      <c r="A291" s="145">
        <v>45615</v>
      </c>
      <c r="B291" s="146" t="s">
        <v>795</v>
      </c>
      <c r="C291" s="147" t="s">
        <v>322</v>
      </c>
      <c r="D291" s="147" t="s">
        <v>519</v>
      </c>
      <c r="E291" s="147" t="s">
        <v>333</v>
      </c>
      <c r="F291" s="147" t="s">
        <v>528</v>
      </c>
      <c r="G291" s="147">
        <v>20</v>
      </c>
      <c r="H291" s="148">
        <v>26</v>
      </c>
      <c r="I291" s="149">
        <f t="shared" si="4"/>
        <v>520</v>
      </c>
      <c r="J291" s="150" t="s">
        <v>466</v>
      </c>
      <c r="K291" s="151">
        <v>15.6</v>
      </c>
      <c r="L291">
        <f>Table13[[#This Row],[Price]]*Table13[[#This Row],[Units]]</f>
        <v>520</v>
      </c>
    </row>
    <row r="292" spans="1:12" x14ac:dyDescent="0.35">
      <c r="A292" s="145">
        <v>45615</v>
      </c>
      <c r="B292" s="146" t="s">
        <v>796</v>
      </c>
      <c r="C292" s="147" t="s">
        <v>322</v>
      </c>
      <c r="D292" s="147" t="s">
        <v>470</v>
      </c>
      <c r="E292" s="147" t="s">
        <v>315</v>
      </c>
      <c r="F292" s="147" t="s">
        <v>523</v>
      </c>
      <c r="G292" s="147">
        <v>23</v>
      </c>
      <c r="H292" s="148">
        <v>50</v>
      </c>
      <c r="I292" s="149">
        <f t="shared" si="4"/>
        <v>1150</v>
      </c>
      <c r="J292" s="150" t="s">
        <v>466</v>
      </c>
      <c r="K292" s="151">
        <v>34.5</v>
      </c>
      <c r="L292">
        <f>Table13[[#This Row],[Price]]*Table13[[#This Row],[Units]]</f>
        <v>1150</v>
      </c>
    </row>
    <row r="293" spans="1:12" x14ac:dyDescent="0.35">
      <c r="A293" s="145">
        <v>45615</v>
      </c>
      <c r="B293" s="146" t="s">
        <v>797</v>
      </c>
      <c r="C293" s="147" t="s">
        <v>464</v>
      </c>
      <c r="D293" s="147" t="s">
        <v>465</v>
      </c>
      <c r="E293" s="147" t="s">
        <v>320</v>
      </c>
      <c r="F293" s="147" t="s">
        <v>523</v>
      </c>
      <c r="G293" s="147">
        <v>22</v>
      </c>
      <c r="H293" s="148">
        <v>57</v>
      </c>
      <c r="I293" s="149">
        <f t="shared" si="4"/>
        <v>1254</v>
      </c>
      <c r="J293" s="150" t="s">
        <v>515</v>
      </c>
      <c r="K293" s="151">
        <v>30.096</v>
      </c>
      <c r="L293">
        <f>Table13[[#This Row],[Price]]*Table13[[#This Row],[Units]]</f>
        <v>1254</v>
      </c>
    </row>
    <row r="294" spans="1:12" x14ac:dyDescent="0.35">
      <c r="A294" s="145">
        <v>45615</v>
      </c>
      <c r="B294" s="146" t="s">
        <v>798</v>
      </c>
      <c r="C294" s="147" t="s">
        <v>464</v>
      </c>
      <c r="D294" s="147" t="s">
        <v>477</v>
      </c>
      <c r="E294" s="147" t="s">
        <v>333</v>
      </c>
      <c r="F294" s="147" t="s">
        <v>454</v>
      </c>
      <c r="G294" s="147">
        <v>44</v>
      </c>
      <c r="H294" s="148">
        <v>35</v>
      </c>
      <c r="I294" s="149">
        <f t="shared" si="4"/>
        <v>1540</v>
      </c>
      <c r="J294" s="150" t="s">
        <v>466</v>
      </c>
      <c r="K294" s="151">
        <v>38.5</v>
      </c>
      <c r="L294">
        <f>Table13[[#This Row],[Price]]*Table13[[#This Row],[Units]]</f>
        <v>1540</v>
      </c>
    </row>
    <row r="295" spans="1:12" x14ac:dyDescent="0.35">
      <c r="A295" s="145">
        <v>45615</v>
      </c>
      <c r="B295" s="146" t="s">
        <v>799</v>
      </c>
      <c r="C295" s="147" t="s">
        <v>484</v>
      </c>
      <c r="D295" s="147" t="s">
        <v>470</v>
      </c>
      <c r="E295" s="147" t="s">
        <v>315</v>
      </c>
      <c r="F295" s="147" t="s">
        <v>536</v>
      </c>
      <c r="G295" s="147">
        <v>12</v>
      </c>
      <c r="H295" s="148">
        <v>38</v>
      </c>
      <c r="I295" s="149">
        <f t="shared" si="4"/>
        <v>456</v>
      </c>
      <c r="J295" s="150" t="s">
        <v>466</v>
      </c>
      <c r="K295" s="151">
        <v>10.488</v>
      </c>
      <c r="L295">
        <f>Table13[[#This Row],[Price]]*Table13[[#This Row],[Units]]</f>
        <v>456</v>
      </c>
    </row>
    <row r="296" spans="1:12" x14ac:dyDescent="0.35">
      <c r="A296" s="145">
        <v>45616</v>
      </c>
      <c r="B296" s="146" t="s">
        <v>800</v>
      </c>
      <c r="C296" s="147" t="s">
        <v>322</v>
      </c>
      <c r="D296" s="147" t="s">
        <v>477</v>
      </c>
      <c r="E296" s="147" t="s">
        <v>333</v>
      </c>
      <c r="F296" s="147" t="s">
        <v>513</v>
      </c>
      <c r="G296" s="147">
        <v>25</v>
      </c>
      <c r="H296" s="148">
        <v>57</v>
      </c>
      <c r="I296" s="149">
        <f t="shared" si="4"/>
        <v>1425</v>
      </c>
      <c r="J296" s="150" t="s">
        <v>472</v>
      </c>
      <c r="K296" s="151">
        <v>28.5</v>
      </c>
      <c r="L296">
        <f>Table13[[#This Row],[Price]]*Table13[[#This Row],[Units]]</f>
        <v>1425</v>
      </c>
    </row>
    <row r="297" spans="1:12" x14ac:dyDescent="0.35">
      <c r="A297" s="145">
        <v>45616</v>
      </c>
      <c r="B297" s="146" t="s">
        <v>801</v>
      </c>
      <c r="C297" s="147" t="s">
        <v>492</v>
      </c>
      <c r="D297" s="147" t="s">
        <v>486</v>
      </c>
      <c r="E297" s="147" t="s">
        <v>320</v>
      </c>
      <c r="F297" s="147" t="s">
        <v>497</v>
      </c>
      <c r="G297" s="147">
        <v>56</v>
      </c>
      <c r="H297" s="148">
        <v>30</v>
      </c>
      <c r="I297" s="149">
        <f t="shared" si="4"/>
        <v>1680</v>
      </c>
      <c r="J297" s="150" t="s">
        <v>472</v>
      </c>
      <c r="K297" s="151">
        <v>42</v>
      </c>
      <c r="L297">
        <f>Table13[[#This Row],[Price]]*Table13[[#This Row],[Units]]</f>
        <v>1680</v>
      </c>
    </row>
    <row r="298" spans="1:12" x14ac:dyDescent="0.35">
      <c r="A298" s="145">
        <v>45616</v>
      </c>
      <c r="B298" s="146" t="s">
        <v>802</v>
      </c>
      <c r="C298" s="147" t="s">
        <v>322</v>
      </c>
      <c r="D298" s="147" t="s">
        <v>465</v>
      </c>
      <c r="E298" s="147" t="s">
        <v>324</v>
      </c>
      <c r="F298" s="147" t="s">
        <v>497</v>
      </c>
      <c r="G298" s="147">
        <v>23</v>
      </c>
      <c r="H298" s="148">
        <v>37</v>
      </c>
      <c r="I298" s="149">
        <f t="shared" si="4"/>
        <v>851</v>
      </c>
      <c r="J298" s="150" t="s">
        <v>472</v>
      </c>
      <c r="K298" s="151">
        <v>18.722000000000001</v>
      </c>
      <c r="L298">
        <f>Table13[[#This Row],[Price]]*Table13[[#This Row],[Units]]</f>
        <v>851</v>
      </c>
    </row>
    <row r="299" spans="1:12" x14ac:dyDescent="0.35">
      <c r="A299" s="145">
        <v>45616</v>
      </c>
      <c r="B299" s="146" t="s">
        <v>803</v>
      </c>
      <c r="C299" s="147" t="s">
        <v>476</v>
      </c>
      <c r="D299" s="147" t="s">
        <v>477</v>
      </c>
      <c r="E299" s="147" t="s">
        <v>333</v>
      </c>
      <c r="F299" s="147" t="s">
        <v>567</v>
      </c>
      <c r="G299" s="147">
        <v>20</v>
      </c>
      <c r="H299" s="148">
        <v>46</v>
      </c>
      <c r="I299" s="149">
        <f t="shared" si="4"/>
        <v>920</v>
      </c>
      <c r="J299" s="150" t="s">
        <v>515</v>
      </c>
      <c r="K299" s="151">
        <v>21.16</v>
      </c>
      <c r="L299">
        <f>Table13[[#This Row],[Price]]*Table13[[#This Row],[Units]]</f>
        <v>920</v>
      </c>
    </row>
    <row r="300" spans="1:12" x14ac:dyDescent="0.35">
      <c r="A300" s="145">
        <v>45616</v>
      </c>
      <c r="B300" s="146" t="s">
        <v>804</v>
      </c>
      <c r="C300" s="147" t="s">
        <v>484</v>
      </c>
      <c r="D300" s="147" t="s">
        <v>490</v>
      </c>
      <c r="E300" s="147" t="s">
        <v>333</v>
      </c>
      <c r="F300" s="147" t="s">
        <v>536</v>
      </c>
      <c r="G300" s="147">
        <v>48</v>
      </c>
      <c r="H300" s="148">
        <v>38</v>
      </c>
      <c r="I300" s="149">
        <f t="shared" si="4"/>
        <v>1824</v>
      </c>
      <c r="J300" s="150" t="s">
        <v>472</v>
      </c>
      <c r="K300" s="151">
        <v>54.72</v>
      </c>
      <c r="L300">
        <f>Table13[[#This Row],[Price]]*Table13[[#This Row],[Units]]</f>
        <v>1824</v>
      </c>
    </row>
    <row r="301" spans="1:12" x14ac:dyDescent="0.35">
      <c r="A301" s="145">
        <v>45616</v>
      </c>
      <c r="B301" s="146" t="s">
        <v>805</v>
      </c>
      <c r="C301" s="147" t="s">
        <v>322</v>
      </c>
      <c r="D301" s="147" t="s">
        <v>477</v>
      </c>
      <c r="E301" s="147" t="s">
        <v>315</v>
      </c>
      <c r="F301" s="147" t="s">
        <v>500</v>
      </c>
      <c r="G301" s="147">
        <v>50</v>
      </c>
      <c r="H301" s="148">
        <v>57</v>
      </c>
      <c r="I301" s="149">
        <f t="shared" si="4"/>
        <v>2850</v>
      </c>
      <c r="J301" s="150" t="s">
        <v>466</v>
      </c>
      <c r="K301" s="151">
        <v>82.65</v>
      </c>
      <c r="L301">
        <f>Table13[[#This Row],[Price]]*Table13[[#This Row],[Units]]</f>
        <v>2850</v>
      </c>
    </row>
    <row r="302" spans="1:12" x14ac:dyDescent="0.35">
      <c r="A302" s="145">
        <v>45617</v>
      </c>
      <c r="B302" s="146" t="s">
        <v>806</v>
      </c>
      <c r="C302" s="147" t="s">
        <v>322</v>
      </c>
      <c r="D302" s="147" t="s">
        <v>470</v>
      </c>
      <c r="E302" s="147" t="s">
        <v>333</v>
      </c>
      <c r="F302" s="147" t="s">
        <v>487</v>
      </c>
      <c r="G302" s="147">
        <v>43</v>
      </c>
      <c r="H302" s="148">
        <v>34</v>
      </c>
      <c r="I302" s="149">
        <f t="shared" si="4"/>
        <v>1462</v>
      </c>
      <c r="J302" s="150" t="s">
        <v>466</v>
      </c>
      <c r="K302" s="151">
        <v>43.86</v>
      </c>
      <c r="L302">
        <f>Table13[[#This Row],[Price]]*Table13[[#This Row],[Units]]</f>
        <v>1462</v>
      </c>
    </row>
    <row r="303" spans="1:12" x14ac:dyDescent="0.35">
      <c r="A303" s="145">
        <v>45617</v>
      </c>
      <c r="B303" s="146" t="s">
        <v>807</v>
      </c>
      <c r="C303" s="147" t="s">
        <v>492</v>
      </c>
      <c r="D303" s="147" t="s">
        <v>465</v>
      </c>
      <c r="E303" s="147" t="s">
        <v>483</v>
      </c>
      <c r="F303" s="147" t="s">
        <v>510</v>
      </c>
      <c r="G303" s="147">
        <v>32</v>
      </c>
      <c r="H303" s="148">
        <v>20</v>
      </c>
      <c r="I303" s="149">
        <f t="shared" si="4"/>
        <v>640</v>
      </c>
      <c r="J303" s="150" t="s">
        <v>472</v>
      </c>
      <c r="K303" s="151">
        <v>16</v>
      </c>
      <c r="L303">
        <f>Table13[[#This Row],[Price]]*Table13[[#This Row],[Units]]</f>
        <v>640</v>
      </c>
    </row>
    <row r="304" spans="1:12" x14ac:dyDescent="0.35">
      <c r="A304" s="145">
        <v>45617</v>
      </c>
      <c r="B304" s="146" t="s">
        <v>808</v>
      </c>
      <c r="C304" s="147" t="s">
        <v>322</v>
      </c>
      <c r="D304" s="147" t="s">
        <v>477</v>
      </c>
      <c r="E304" s="147" t="s">
        <v>315</v>
      </c>
      <c r="F304" s="147" t="s">
        <v>454</v>
      </c>
      <c r="G304" s="147">
        <v>27</v>
      </c>
      <c r="H304" s="148">
        <v>21</v>
      </c>
      <c r="I304" s="149">
        <f t="shared" si="4"/>
        <v>567</v>
      </c>
      <c r="J304" s="150" t="s">
        <v>472</v>
      </c>
      <c r="K304" s="151">
        <v>13.608000000000001</v>
      </c>
      <c r="L304">
        <f>Table13[[#This Row],[Price]]*Table13[[#This Row],[Units]]</f>
        <v>567</v>
      </c>
    </row>
    <row r="305" spans="1:12" x14ac:dyDescent="0.35">
      <c r="A305" s="145">
        <v>45618</v>
      </c>
      <c r="B305" s="146" t="s">
        <v>809</v>
      </c>
      <c r="C305" s="147" t="s">
        <v>492</v>
      </c>
      <c r="D305" s="147" t="s">
        <v>486</v>
      </c>
      <c r="E305" s="147" t="s">
        <v>315</v>
      </c>
      <c r="F305" s="147" t="s">
        <v>567</v>
      </c>
      <c r="G305" s="147">
        <v>42</v>
      </c>
      <c r="H305" s="148">
        <v>34</v>
      </c>
      <c r="I305" s="149">
        <f t="shared" si="4"/>
        <v>1428</v>
      </c>
      <c r="J305" s="150" t="s">
        <v>472</v>
      </c>
      <c r="K305" s="151">
        <v>29.988</v>
      </c>
      <c r="L305">
        <f>Table13[[#This Row],[Price]]*Table13[[#This Row],[Units]]</f>
        <v>1428</v>
      </c>
    </row>
    <row r="306" spans="1:12" x14ac:dyDescent="0.35">
      <c r="A306" s="145">
        <v>45618</v>
      </c>
      <c r="B306" s="146" t="s">
        <v>810</v>
      </c>
      <c r="C306" s="147" t="s">
        <v>492</v>
      </c>
      <c r="D306" s="147" t="s">
        <v>477</v>
      </c>
      <c r="E306" s="147" t="s">
        <v>320</v>
      </c>
      <c r="F306" s="147" t="s">
        <v>487</v>
      </c>
      <c r="G306" s="147">
        <v>15</v>
      </c>
      <c r="H306" s="148">
        <v>40</v>
      </c>
      <c r="I306" s="149">
        <f t="shared" si="4"/>
        <v>600</v>
      </c>
      <c r="J306" s="150" t="s">
        <v>472</v>
      </c>
      <c r="K306" s="151">
        <v>13.2</v>
      </c>
      <c r="L306">
        <f>Table13[[#This Row],[Price]]*Table13[[#This Row],[Units]]</f>
        <v>600</v>
      </c>
    </row>
    <row r="307" spans="1:12" x14ac:dyDescent="0.35">
      <c r="A307" s="145">
        <v>45618</v>
      </c>
      <c r="B307" s="146" t="s">
        <v>811</v>
      </c>
      <c r="C307" s="147" t="s">
        <v>494</v>
      </c>
      <c r="D307" s="147" t="s">
        <v>512</v>
      </c>
      <c r="E307" s="147" t="s">
        <v>390</v>
      </c>
      <c r="F307" s="147" t="s">
        <v>471</v>
      </c>
      <c r="G307" s="147">
        <v>54</v>
      </c>
      <c r="H307" s="148">
        <v>45</v>
      </c>
      <c r="I307" s="149">
        <f t="shared" si="4"/>
        <v>2430</v>
      </c>
      <c r="J307" s="150" t="s">
        <v>515</v>
      </c>
      <c r="K307" s="151">
        <v>60.75</v>
      </c>
      <c r="L307">
        <f>Table13[[#This Row],[Price]]*Table13[[#This Row],[Units]]</f>
        <v>2430</v>
      </c>
    </row>
    <row r="308" spans="1:12" x14ac:dyDescent="0.35">
      <c r="A308" s="145">
        <v>45618</v>
      </c>
      <c r="B308" s="146" t="s">
        <v>812</v>
      </c>
      <c r="C308" s="147" t="s">
        <v>489</v>
      </c>
      <c r="D308" s="147" t="s">
        <v>486</v>
      </c>
      <c r="E308" s="147" t="s">
        <v>483</v>
      </c>
      <c r="F308" s="147" t="s">
        <v>513</v>
      </c>
      <c r="G308" s="147">
        <v>57</v>
      </c>
      <c r="H308" s="148">
        <v>22</v>
      </c>
      <c r="I308" s="149">
        <f t="shared" si="4"/>
        <v>1254</v>
      </c>
      <c r="J308" s="150" t="s">
        <v>466</v>
      </c>
      <c r="K308" s="151">
        <v>28.841999999999999</v>
      </c>
      <c r="L308">
        <f>Table13[[#This Row],[Price]]*Table13[[#This Row],[Units]]</f>
        <v>1254</v>
      </c>
    </row>
    <row r="309" spans="1:12" x14ac:dyDescent="0.35">
      <c r="A309" s="145">
        <v>45618</v>
      </c>
      <c r="B309" s="146" t="s">
        <v>813</v>
      </c>
      <c r="C309" s="147" t="s">
        <v>322</v>
      </c>
      <c r="D309" s="147" t="s">
        <v>486</v>
      </c>
      <c r="E309" s="147" t="s">
        <v>333</v>
      </c>
      <c r="F309" s="147" t="s">
        <v>454</v>
      </c>
      <c r="G309" s="147">
        <v>45</v>
      </c>
      <c r="H309" s="148">
        <v>33</v>
      </c>
      <c r="I309" s="149">
        <f t="shared" si="4"/>
        <v>1485</v>
      </c>
      <c r="J309" s="150" t="s">
        <v>472</v>
      </c>
      <c r="K309" s="151">
        <v>43.064999999999998</v>
      </c>
      <c r="L309">
        <f>Table13[[#This Row],[Price]]*Table13[[#This Row],[Units]]</f>
        <v>1485</v>
      </c>
    </row>
    <row r="310" spans="1:12" x14ac:dyDescent="0.35">
      <c r="A310" s="145">
        <v>45619</v>
      </c>
      <c r="B310" s="146" t="s">
        <v>814</v>
      </c>
      <c r="C310" s="147" t="s">
        <v>494</v>
      </c>
      <c r="D310" s="147" t="s">
        <v>477</v>
      </c>
      <c r="E310" s="147" t="s">
        <v>390</v>
      </c>
      <c r="F310" s="147" t="s">
        <v>491</v>
      </c>
      <c r="G310" s="147">
        <v>46</v>
      </c>
      <c r="H310" s="148">
        <v>31</v>
      </c>
      <c r="I310" s="149">
        <f t="shared" si="4"/>
        <v>1426</v>
      </c>
      <c r="J310" s="150" t="s">
        <v>515</v>
      </c>
      <c r="K310" s="151">
        <v>42.78</v>
      </c>
      <c r="L310">
        <f>Table13[[#This Row],[Price]]*Table13[[#This Row],[Units]]</f>
        <v>1426</v>
      </c>
    </row>
    <row r="311" spans="1:12" x14ac:dyDescent="0.35">
      <c r="A311" s="145">
        <v>45619</v>
      </c>
      <c r="B311" s="146" t="s">
        <v>815</v>
      </c>
      <c r="C311" s="147" t="s">
        <v>476</v>
      </c>
      <c r="D311" s="147" t="s">
        <v>470</v>
      </c>
      <c r="E311" s="147" t="s">
        <v>333</v>
      </c>
      <c r="F311" s="147" t="s">
        <v>454</v>
      </c>
      <c r="G311" s="147">
        <v>33</v>
      </c>
      <c r="H311" s="148">
        <v>33</v>
      </c>
      <c r="I311" s="149">
        <f t="shared" si="4"/>
        <v>1089</v>
      </c>
      <c r="J311" s="150" t="s">
        <v>472</v>
      </c>
      <c r="K311" s="151">
        <v>22.869</v>
      </c>
      <c r="L311">
        <f>Table13[[#This Row],[Price]]*Table13[[#This Row],[Units]]</f>
        <v>1089</v>
      </c>
    </row>
    <row r="312" spans="1:12" x14ac:dyDescent="0.35">
      <c r="A312" s="145">
        <v>45619</v>
      </c>
      <c r="B312" s="146" t="s">
        <v>816</v>
      </c>
      <c r="C312" s="147" t="s">
        <v>501</v>
      </c>
      <c r="D312" s="147" t="s">
        <v>470</v>
      </c>
      <c r="E312" s="147" t="s">
        <v>315</v>
      </c>
      <c r="F312" s="147" t="s">
        <v>528</v>
      </c>
      <c r="G312" s="147">
        <v>34</v>
      </c>
      <c r="H312" s="148">
        <v>40</v>
      </c>
      <c r="I312" s="149">
        <f t="shared" si="4"/>
        <v>1360</v>
      </c>
      <c r="J312" s="150" t="s">
        <v>472</v>
      </c>
      <c r="K312" s="151">
        <v>28.56</v>
      </c>
      <c r="L312">
        <f>Table13[[#This Row],[Price]]*Table13[[#This Row],[Units]]</f>
        <v>1360</v>
      </c>
    </row>
    <row r="313" spans="1:12" x14ac:dyDescent="0.35">
      <c r="A313" s="145">
        <v>45619</v>
      </c>
      <c r="B313" s="146" t="s">
        <v>817</v>
      </c>
      <c r="C313" s="147" t="s">
        <v>489</v>
      </c>
      <c r="D313" s="147" t="s">
        <v>490</v>
      </c>
      <c r="E313" s="147" t="s">
        <v>483</v>
      </c>
      <c r="F313" s="147" t="s">
        <v>567</v>
      </c>
      <c r="G313" s="147">
        <v>52</v>
      </c>
      <c r="H313" s="148">
        <v>22</v>
      </c>
      <c r="I313" s="149">
        <f t="shared" si="4"/>
        <v>1144</v>
      </c>
      <c r="J313" s="150" t="s">
        <v>466</v>
      </c>
      <c r="K313" s="151">
        <v>24.024000000000001</v>
      </c>
      <c r="L313">
        <f>Table13[[#This Row],[Price]]*Table13[[#This Row],[Units]]</f>
        <v>1144</v>
      </c>
    </row>
    <row r="314" spans="1:12" x14ac:dyDescent="0.35">
      <c r="A314" s="145">
        <v>45619</v>
      </c>
      <c r="B314" s="146" t="s">
        <v>818</v>
      </c>
      <c r="C314" s="147" t="s">
        <v>494</v>
      </c>
      <c r="D314" s="147" t="s">
        <v>470</v>
      </c>
      <c r="E314" s="147" t="s">
        <v>483</v>
      </c>
      <c r="F314" s="147" t="s">
        <v>500</v>
      </c>
      <c r="G314" s="147">
        <v>21</v>
      </c>
      <c r="H314" s="148">
        <v>54</v>
      </c>
      <c r="I314" s="149">
        <f t="shared" si="4"/>
        <v>1134</v>
      </c>
      <c r="J314" s="150" t="s">
        <v>515</v>
      </c>
      <c r="K314" s="151">
        <v>22.68</v>
      </c>
      <c r="L314">
        <f>Table13[[#This Row],[Price]]*Table13[[#This Row],[Units]]</f>
        <v>1134</v>
      </c>
    </row>
    <row r="315" spans="1:12" x14ac:dyDescent="0.35">
      <c r="A315" s="145">
        <v>45619</v>
      </c>
      <c r="B315" s="146" t="s">
        <v>819</v>
      </c>
      <c r="C315" s="147" t="s">
        <v>476</v>
      </c>
      <c r="D315" s="147" t="s">
        <v>470</v>
      </c>
      <c r="E315" s="147" t="s">
        <v>333</v>
      </c>
      <c r="F315" s="147" t="s">
        <v>539</v>
      </c>
      <c r="G315" s="147">
        <v>25</v>
      </c>
      <c r="H315" s="148">
        <v>58</v>
      </c>
      <c r="I315" s="149">
        <f t="shared" si="4"/>
        <v>1450</v>
      </c>
      <c r="J315" s="150" t="s">
        <v>472</v>
      </c>
      <c r="K315" s="151">
        <v>39.15</v>
      </c>
      <c r="L315">
        <f>Table13[[#This Row],[Price]]*Table13[[#This Row],[Units]]</f>
        <v>1450</v>
      </c>
    </row>
    <row r="316" spans="1:12" x14ac:dyDescent="0.35">
      <c r="A316" s="145">
        <v>45619</v>
      </c>
      <c r="B316" s="146" t="s">
        <v>820</v>
      </c>
      <c r="C316" s="147" t="s">
        <v>494</v>
      </c>
      <c r="D316" s="147" t="s">
        <v>470</v>
      </c>
      <c r="E316" s="147" t="s">
        <v>483</v>
      </c>
      <c r="F316" s="147" t="s">
        <v>497</v>
      </c>
      <c r="G316" s="147">
        <v>25</v>
      </c>
      <c r="H316" s="148">
        <v>43</v>
      </c>
      <c r="I316" s="149">
        <f t="shared" si="4"/>
        <v>1075</v>
      </c>
      <c r="J316" s="150" t="s">
        <v>472</v>
      </c>
      <c r="K316" s="151">
        <v>25.8</v>
      </c>
      <c r="L316">
        <f>Table13[[#This Row],[Price]]*Table13[[#This Row],[Units]]</f>
        <v>1075</v>
      </c>
    </row>
    <row r="317" spans="1:12" x14ac:dyDescent="0.35">
      <c r="A317" s="145">
        <v>45619</v>
      </c>
      <c r="B317" s="146" t="s">
        <v>821</v>
      </c>
      <c r="C317" s="147" t="s">
        <v>492</v>
      </c>
      <c r="D317" s="147" t="s">
        <v>486</v>
      </c>
      <c r="E317" s="147" t="s">
        <v>412</v>
      </c>
      <c r="F317" s="147" t="s">
        <v>505</v>
      </c>
      <c r="G317" s="147">
        <v>17</v>
      </c>
      <c r="H317" s="148">
        <v>22</v>
      </c>
      <c r="I317" s="149">
        <f t="shared" si="4"/>
        <v>374</v>
      </c>
      <c r="J317" s="150" t="s">
        <v>472</v>
      </c>
      <c r="K317" s="151">
        <v>11.22</v>
      </c>
      <c r="L317">
        <f>Table13[[#This Row],[Price]]*Table13[[#This Row],[Units]]</f>
        <v>374</v>
      </c>
    </row>
    <row r="318" spans="1:12" x14ac:dyDescent="0.35">
      <c r="A318" s="145">
        <v>45619</v>
      </c>
      <c r="B318" s="146" t="s">
        <v>822</v>
      </c>
      <c r="C318" s="147" t="s">
        <v>476</v>
      </c>
      <c r="D318" s="147" t="s">
        <v>477</v>
      </c>
      <c r="E318" s="147" t="s">
        <v>483</v>
      </c>
      <c r="F318" s="147" t="s">
        <v>517</v>
      </c>
      <c r="G318" s="147">
        <v>11</v>
      </c>
      <c r="H318" s="148">
        <v>33</v>
      </c>
      <c r="I318" s="149">
        <f t="shared" si="4"/>
        <v>363</v>
      </c>
      <c r="J318" s="150" t="s">
        <v>466</v>
      </c>
      <c r="K318" s="151">
        <v>10.526999999999999</v>
      </c>
      <c r="L318">
        <f>Table13[[#This Row],[Price]]*Table13[[#This Row],[Units]]</f>
        <v>363</v>
      </c>
    </row>
    <row r="319" spans="1:12" x14ac:dyDescent="0.35">
      <c r="A319" s="145">
        <v>45619</v>
      </c>
      <c r="B319" s="146" t="s">
        <v>823</v>
      </c>
      <c r="C319" s="147" t="s">
        <v>494</v>
      </c>
      <c r="D319" s="147" t="s">
        <v>512</v>
      </c>
      <c r="E319" s="147" t="s">
        <v>412</v>
      </c>
      <c r="F319" s="147" t="s">
        <v>497</v>
      </c>
      <c r="G319" s="147">
        <v>11</v>
      </c>
      <c r="H319" s="148">
        <v>31</v>
      </c>
      <c r="I319" s="149">
        <f t="shared" si="4"/>
        <v>341</v>
      </c>
      <c r="J319" s="150" t="s">
        <v>472</v>
      </c>
      <c r="K319" s="151">
        <v>9.8889999999999993</v>
      </c>
      <c r="L319">
        <f>Table13[[#This Row],[Price]]*Table13[[#This Row],[Units]]</f>
        <v>341</v>
      </c>
    </row>
    <row r="320" spans="1:12" x14ac:dyDescent="0.35">
      <c r="A320" s="145">
        <v>45619</v>
      </c>
      <c r="B320" s="146" t="s">
        <v>824</v>
      </c>
      <c r="C320" s="147" t="s">
        <v>322</v>
      </c>
      <c r="D320" s="147" t="s">
        <v>490</v>
      </c>
      <c r="E320" s="147" t="s">
        <v>390</v>
      </c>
      <c r="F320" s="147" t="s">
        <v>487</v>
      </c>
      <c r="G320" s="147">
        <v>29</v>
      </c>
      <c r="H320" s="148">
        <v>31</v>
      </c>
      <c r="I320" s="149">
        <f t="shared" si="4"/>
        <v>899</v>
      </c>
      <c r="J320" s="150" t="s">
        <v>466</v>
      </c>
      <c r="K320" s="151">
        <v>22.475000000000001</v>
      </c>
      <c r="L320">
        <f>Table13[[#This Row],[Price]]*Table13[[#This Row],[Units]]</f>
        <v>899</v>
      </c>
    </row>
    <row r="321" spans="1:12" x14ac:dyDescent="0.35">
      <c r="A321" s="145">
        <v>45619</v>
      </c>
      <c r="B321" s="146" t="s">
        <v>825</v>
      </c>
      <c r="C321" s="147" t="s">
        <v>484</v>
      </c>
      <c r="D321" s="147" t="s">
        <v>477</v>
      </c>
      <c r="E321" s="147" t="s">
        <v>412</v>
      </c>
      <c r="F321" s="147" t="s">
        <v>471</v>
      </c>
      <c r="G321" s="147">
        <v>42</v>
      </c>
      <c r="H321" s="148">
        <v>58</v>
      </c>
      <c r="I321" s="149">
        <f t="shared" si="4"/>
        <v>2436</v>
      </c>
      <c r="J321" s="150" t="s">
        <v>515</v>
      </c>
      <c r="K321" s="151">
        <v>48.72</v>
      </c>
      <c r="L321">
        <f>Table13[[#This Row],[Price]]*Table13[[#This Row],[Units]]</f>
        <v>2436</v>
      </c>
    </row>
    <row r="322" spans="1:12" x14ac:dyDescent="0.35">
      <c r="A322" s="145">
        <v>45619</v>
      </c>
      <c r="B322" s="146" t="s">
        <v>826</v>
      </c>
      <c r="C322" s="147" t="s">
        <v>322</v>
      </c>
      <c r="D322" s="147" t="s">
        <v>519</v>
      </c>
      <c r="E322" s="147" t="s">
        <v>324</v>
      </c>
      <c r="F322" s="147" t="s">
        <v>567</v>
      </c>
      <c r="G322" s="147">
        <v>13</v>
      </c>
      <c r="H322" s="148">
        <v>48</v>
      </c>
      <c r="I322" s="149">
        <f t="shared" si="4"/>
        <v>624</v>
      </c>
      <c r="J322" s="150" t="s">
        <v>466</v>
      </c>
      <c r="K322" s="151">
        <v>13.728</v>
      </c>
      <c r="L322">
        <f>Table13[[#This Row],[Price]]*Table13[[#This Row],[Units]]</f>
        <v>624</v>
      </c>
    </row>
    <row r="323" spans="1:12" x14ac:dyDescent="0.35">
      <c r="A323" s="145">
        <v>45619</v>
      </c>
      <c r="B323" s="146" t="s">
        <v>827</v>
      </c>
      <c r="C323" s="147" t="s">
        <v>322</v>
      </c>
      <c r="D323" s="147" t="s">
        <v>470</v>
      </c>
      <c r="E323" s="147" t="s">
        <v>320</v>
      </c>
      <c r="F323" s="147" t="s">
        <v>497</v>
      </c>
      <c r="G323" s="147">
        <v>58</v>
      </c>
      <c r="H323" s="148">
        <v>49</v>
      </c>
      <c r="I323" s="149">
        <f t="shared" ref="I323:I386" si="5">G323*H323</f>
        <v>2842</v>
      </c>
      <c r="J323" s="150" t="s">
        <v>472</v>
      </c>
      <c r="K323" s="151">
        <v>71.05</v>
      </c>
      <c r="L323">
        <f>Table13[[#This Row],[Price]]*Table13[[#This Row],[Units]]</f>
        <v>2842</v>
      </c>
    </row>
    <row r="324" spans="1:12" x14ac:dyDescent="0.35">
      <c r="A324" s="145">
        <v>45619</v>
      </c>
      <c r="B324" s="146" t="s">
        <v>828</v>
      </c>
      <c r="C324" s="147" t="s">
        <v>476</v>
      </c>
      <c r="D324" s="147" t="s">
        <v>477</v>
      </c>
      <c r="E324" s="147" t="s">
        <v>390</v>
      </c>
      <c r="F324" s="147" t="s">
        <v>454</v>
      </c>
      <c r="G324" s="147">
        <v>57</v>
      </c>
      <c r="H324" s="148">
        <v>27</v>
      </c>
      <c r="I324" s="149">
        <f t="shared" si="5"/>
        <v>1539</v>
      </c>
      <c r="J324" s="150" t="s">
        <v>472</v>
      </c>
      <c r="K324" s="151">
        <v>41.552999999999997</v>
      </c>
      <c r="L324">
        <f>Table13[[#This Row],[Price]]*Table13[[#This Row],[Units]]</f>
        <v>1539</v>
      </c>
    </row>
    <row r="325" spans="1:12" x14ac:dyDescent="0.35">
      <c r="A325" s="145">
        <v>45619</v>
      </c>
      <c r="B325" s="146" t="s">
        <v>829</v>
      </c>
      <c r="C325" s="147" t="s">
        <v>464</v>
      </c>
      <c r="D325" s="147" t="s">
        <v>519</v>
      </c>
      <c r="E325" s="147" t="s">
        <v>333</v>
      </c>
      <c r="F325" s="147" t="s">
        <v>497</v>
      </c>
      <c r="G325" s="147">
        <v>43</v>
      </c>
      <c r="H325" s="148">
        <v>23</v>
      </c>
      <c r="I325" s="149">
        <f t="shared" si="5"/>
        <v>989</v>
      </c>
      <c r="J325" s="150" t="s">
        <v>466</v>
      </c>
      <c r="K325" s="151">
        <v>27.692</v>
      </c>
      <c r="L325">
        <f>Table13[[#This Row],[Price]]*Table13[[#This Row],[Units]]</f>
        <v>989</v>
      </c>
    </row>
    <row r="326" spans="1:12" x14ac:dyDescent="0.35">
      <c r="A326" s="145">
        <v>45619</v>
      </c>
      <c r="B326" s="146" t="s">
        <v>830</v>
      </c>
      <c r="C326" s="147" t="s">
        <v>464</v>
      </c>
      <c r="D326" s="147" t="s">
        <v>470</v>
      </c>
      <c r="E326" s="147" t="s">
        <v>315</v>
      </c>
      <c r="F326" s="147" t="s">
        <v>520</v>
      </c>
      <c r="G326" s="147">
        <v>58</v>
      </c>
      <c r="H326" s="148">
        <v>52</v>
      </c>
      <c r="I326" s="149">
        <f t="shared" si="5"/>
        <v>3016</v>
      </c>
      <c r="J326" s="150" t="s">
        <v>503</v>
      </c>
      <c r="K326" s="151">
        <v>87.463999999999999</v>
      </c>
      <c r="L326">
        <f>Table13[[#This Row],[Price]]*Table13[[#This Row],[Units]]</f>
        <v>3016</v>
      </c>
    </row>
    <row r="327" spans="1:12" x14ac:dyDescent="0.35">
      <c r="A327" s="145">
        <v>45619</v>
      </c>
      <c r="B327" s="146" t="s">
        <v>831</v>
      </c>
      <c r="C327" s="147" t="s">
        <v>492</v>
      </c>
      <c r="D327" s="147" t="s">
        <v>470</v>
      </c>
      <c r="E327" s="147" t="s">
        <v>390</v>
      </c>
      <c r="F327" s="147" t="s">
        <v>517</v>
      </c>
      <c r="G327" s="147">
        <v>60</v>
      </c>
      <c r="H327" s="148">
        <v>60</v>
      </c>
      <c r="I327" s="149">
        <f t="shared" si="5"/>
        <v>3600</v>
      </c>
      <c r="J327" s="150" t="s">
        <v>466</v>
      </c>
      <c r="K327" s="151">
        <v>82.8</v>
      </c>
      <c r="L327">
        <f>Table13[[#This Row],[Price]]*Table13[[#This Row],[Units]]</f>
        <v>3600</v>
      </c>
    </row>
    <row r="328" spans="1:12" x14ac:dyDescent="0.35">
      <c r="A328" s="145">
        <v>45619</v>
      </c>
      <c r="B328" s="146" t="s">
        <v>832</v>
      </c>
      <c r="C328" s="147" t="s">
        <v>476</v>
      </c>
      <c r="D328" s="147" t="s">
        <v>477</v>
      </c>
      <c r="E328" s="147" t="s">
        <v>320</v>
      </c>
      <c r="F328" s="147" t="s">
        <v>454</v>
      </c>
      <c r="G328" s="147">
        <v>32</v>
      </c>
      <c r="H328" s="148">
        <v>60</v>
      </c>
      <c r="I328" s="149">
        <f t="shared" si="5"/>
        <v>1920</v>
      </c>
      <c r="J328" s="150" t="s">
        <v>466</v>
      </c>
      <c r="K328" s="151">
        <v>51.84</v>
      </c>
      <c r="L328">
        <f>Table13[[#This Row],[Price]]*Table13[[#This Row],[Units]]</f>
        <v>1920</v>
      </c>
    </row>
    <row r="329" spans="1:12" x14ac:dyDescent="0.35">
      <c r="A329" s="145">
        <v>45619</v>
      </c>
      <c r="B329" s="146" t="s">
        <v>833</v>
      </c>
      <c r="C329" s="147" t="s">
        <v>501</v>
      </c>
      <c r="D329" s="147" t="s">
        <v>486</v>
      </c>
      <c r="E329" s="147" t="s">
        <v>324</v>
      </c>
      <c r="F329" s="147" t="s">
        <v>454</v>
      </c>
      <c r="G329" s="147">
        <v>20</v>
      </c>
      <c r="H329" s="148">
        <v>57</v>
      </c>
      <c r="I329" s="149">
        <f t="shared" si="5"/>
        <v>1140</v>
      </c>
      <c r="J329" s="150" t="s">
        <v>503</v>
      </c>
      <c r="K329" s="151">
        <v>23.94</v>
      </c>
      <c r="L329">
        <f>Table13[[#This Row],[Price]]*Table13[[#This Row],[Units]]</f>
        <v>1140</v>
      </c>
    </row>
    <row r="330" spans="1:12" x14ac:dyDescent="0.35">
      <c r="A330" s="145">
        <v>45619</v>
      </c>
      <c r="B330" s="146" t="s">
        <v>834</v>
      </c>
      <c r="C330" s="147" t="s">
        <v>501</v>
      </c>
      <c r="D330" s="147" t="s">
        <v>465</v>
      </c>
      <c r="E330" s="147" t="s">
        <v>390</v>
      </c>
      <c r="F330" s="147" t="s">
        <v>567</v>
      </c>
      <c r="G330" s="147">
        <v>27</v>
      </c>
      <c r="H330" s="148">
        <v>53</v>
      </c>
      <c r="I330" s="149">
        <f t="shared" si="5"/>
        <v>1431</v>
      </c>
      <c r="J330" s="150" t="s">
        <v>466</v>
      </c>
      <c r="K330" s="151">
        <v>30.050999999999998</v>
      </c>
      <c r="L330">
        <f>Table13[[#This Row],[Price]]*Table13[[#This Row],[Units]]</f>
        <v>1431</v>
      </c>
    </row>
    <row r="331" spans="1:12" x14ac:dyDescent="0.35">
      <c r="A331" s="145">
        <v>45620</v>
      </c>
      <c r="B331" s="146" t="s">
        <v>835</v>
      </c>
      <c r="C331" s="147" t="s">
        <v>494</v>
      </c>
      <c r="D331" s="147" t="s">
        <v>470</v>
      </c>
      <c r="E331" s="147" t="s">
        <v>333</v>
      </c>
      <c r="F331" s="147" t="s">
        <v>497</v>
      </c>
      <c r="G331" s="147">
        <v>28</v>
      </c>
      <c r="H331" s="148">
        <v>25</v>
      </c>
      <c r="I331" s="149">
        <f t="shared" si="5"/>
        <v>700</v>
      </c>
      <c r="J331" s="150" t="s">
        <v>515</v>
      </c>
      <c r="K331" s="151">
        <v>20.3</v>
      </c>
      <c r="L331">
        <f>Table13[[#This Row],[Price]]*Table13[[#This Row],[Units]]</f>
        <v>700</v>
      </c>
    </row>
    <row r="332" spans="1:12" x14ac:dyDescent="0.35">
      <c r="A332" s="145">
        <v>45620</v>
      </c>
      <c r="B332" s="146" t="s">
        <v>836</v>
      </c>
      <c r="C332" s="147" t="s">
        <v>484</v>
      </c>
      <c r="D332" s="147" t="s">
        <v>465</v>
      </c>
      <c r="E332" s="147" t="s">
        <v>320</v>
      </c>
      <c r="F332" s="147" t="s">
        <v>487</v>
      </c>
      <c r="G332" s="147">
        <v>27</v>
      </c>
      <c r="H332" s="148">
        <v>37</v>
      </c>
      <c r="I332" s="149">
        <f t="shared" si="5"/>
        <v>999</v>
      </c>
      <c r="J332" s="150" t="s">
        <v>472</v>
      </c>
      <c r="K332" s="151">
        <v>23.975999999999999</v>
      </c>
      <c r="L332">
        <f>Table13[[#This Row],[Price]]*Table13[[#This Row],[Units]]</f>
        <v>999</v>
      </c>
    </row>
    <row r="333" spans="1:12" x14ac:dyDescent="0.35">
      <c r="A333" s="145">
        <v>45621</v>
      </c>
      <c r="B333" s="146" t="s">
        <v>837</v>
      </c>
      <c r="C333" s="147" t="s">
        <v>322</v>
      </c>
      <c r="D333" s="147" t="s">
        <v>470</v>
      </c>
      <c r="E333" s="147" t="s">
        <v>315</v>
      </c>
      <c r="F333" s="147" t="s">
        <v>567</v>
      </c>
      <c r="G333" s="147">
        <v>48</v>
      </c>
      <c r="H333" s="148">
        <v>28</v>
      </c>
      <c r="I333" s="149">
        <f t="shared" si="5"/>
        <v>1344</v>
      </c>
      <c r="J333" s="150" t="s">
        <v>472</v>
      </c>
      <c r="K333" s="151">
        <v>38.975999999999999</v>
      </c>
      <c r="L333">
        <f>Table13[[#This Row],[Price]]*Table13[[#This Row],[Units]]</f>
        <v>1344</v>
      </c>
    </row>
    <row r="334" spans="1:12" x14ac:dyDescent="0.35">
      <c r="A334" s="145">
        <v>45621</v>
      </c>
      <c r="B334" s="146" t="s">
        <v>838</v>
      </c>
      <c r="C334" s="147" t="s">
        <v>469</v>
      </c>
      <c r="D334" s="147" t="s">
        <v>477</v>
      </c>
      <c r="E334" s="147" t="s">
        <v>320</v>
      </c>
      <c r="F334" s="147" t="s">
        <v>520</v>
      </c>
      <c r="G334" s="147">
        <v>20</v>
      </c>
      <c r="H334" s="148">
        <v>47</v>
      </c>
      <c r="I334" s="149">
        <f t="shared" si="5"/>
        <v>940</v>
      </c>
      <c r="J334" s="150" t="s">
        <v>503</v>
      </c>
      <c r="K334" s="151">
        <v>26.32</v>
      </c>
      <c r="L334">
        <f>Table13[[#This Row],[Price]]*Table13[[#This Row],[Units]]</f>
        <v>940</v>
      </c>
    </row>
    <row r="335" spans="1:12" x14ac:dyDescent="0.35">
      <c r="A335" s="145">
        <v>45621</v>
      </c>
      <c r="B335" s="146" t="s">
        <v>839</v>
      </c>
      <c r="C335" s="147" t="s">
        <v>322</v>
      </c>
      <c r="D335" s="147" t="s">
        <v>490</v>
      </c>
      <c r="E335" s="147" t="s">
        <v>333</v>
      </c>
      <c r="F335" s="147" t="s">
        <v>523</v>
      </c>
      <c r="G335" s="147">
        <v>60</v>
      </c>
      <c r="H335" s="148">
        <v>46</v>
      </c>
      <c r="I335" s="149">
        <f t="shared" si="5"/>
        <v>2760</v>
      </c>
      <c r="J335" s="150" t="s">
        <v>515</v>
      </c>
      <c r="K335" s="151">
        <v>82.8</v>
      </c>
      <c r="L335">
        <f>Table13[[#This Row],[Price]]*Table13[[#This Row],[Units]]</f>
        <v>2760</v>
      </c>
    </row>
    <row r="336" spans="1:12" x14ac:dyDescent="0.35">
      <c r="A336" s="145">
        <v>45622</v>
      </c>
      <c r="B336" s="146" t="s">
        <v>840</v>
      </c>
      <c r="C336" s="147" t="s">
        <v>492</v>
      </c>
      <c r="D336" s="147" t="s">
        <v>512</v>
      </c>
      <c r="E336" s="147" t="s">
        <v>412</v>
      </c>
      <c r="F336" s="147" t="s">
        <v>528</v>
      </c>
      <c r="G336" s="147">
        <v>11</v>
      </c>
      <c r="H336" s="148">
        <v>45</v>
      </c>
      <c r="I336" s="149">
        <f t="shared" si="5"/>
        <v>495</v>
      </c>
      <c r="J336" s="150" t="s">
        <v>466</v>
      </c>
      <c r="K336" s="151">
        <v>13.86</v>
      </c>
      <c r="L336">
        <f>Table13[[#This Row],[Price]]*Table13[[#This Row],[Units]]</f>
        <v>495</v>
      </c>
    </row>
    <row r="337" spans="1:12" x14ac:dyDescent="0.35">
      <c r="A337" s="145">
        <v>45622</v>
      </c>
      <c r="B337" s="146" t="s">
        <v>841</v>
      </c>
      <c r="C337" s="147" t="s">
        <v>322</v>
      </c>
      <c r="D337" s="147" t="s">
        <v>470</v>
      </c>
      <c r="E337" s="147" t="s">
        <v>333</v>
      </c>
      <c r="F337" s="147" t="s">
        <v>497</v>
      </c>
      <c r="G337" s="147">
        <v>58</v>
      </c>
      <c r="H337" s="148">
        <v>38</v>
      </c>
      <c r="I337" s="149">
        <f t="shared" si="5"/>
        <v>2204</v>
      </c>
      <c r="J337" s="150" t="s">
        <v>466</v>
      </c>
      <c r="K337" s="151">
        <v>63.915999999999997</v>
      </c>
      <c r="L337">
        <f>Table13[[#This Row],[Price]]*Table13[[#This Row],[Units]]</f>
        <v>2204</v>
      </c>
    </row>
    <row r="338" spans="1:12" x14ac:dyDescent="0.35">
      <c r="A338" s="145">
        <v>45622</v>
      </c>
      <c r="B338" s="146" t="s">
        <v>842</v>
      </c>
      <c r="C338" s="147" t="s">
        <v>501</v>
      </c>
      <c r="D338" s="147" t="s">
        <v>519</v>
      </c>
      <c r="E338" s="147" t="s">
        <v>390</v>
      </c>
      <c r="F338" s="147" t="s">
        <v>539</v>
      </c>
      <c r="G338" s="147">
        <v>24</v>
      </c>
      <c r="H338" s="148">
        <v>55</v>
      </c>
      <c r="I338" s="149">
        <f t="shared" si="5"/>
        <v>1320</v>
      </c>
      <c r="J338" s="150" t="s">
        <v>503</v>
      </c>
      <c r="K338" s="151">
        <v>27.72</v>
      </c>
      <c r="L338">
        <f>Table13[[#This Row],[Price]]*Table13[[#This Row],[Units]]</f>
        <v>1320</v>
      </c>
    </row>
    <row r="339" spans="1:12" x14ac:dyDescent="0.35">
      <c r="A339" s="145">
        <v>45622</v>
      </c>
      <c r="B339" s="146" t="s">
        <v>843</v>
      </c>
      <c r="C339" s="147" t="s">
        <v>464</v>
      </c>
      <c r="D339" s="147" t="s">
        <v>477</v>
      </c>
      <c r="E339" s="147" t="s">
        <v>483</v>
      </c>
      <c r="F339" s="147" t="s">
        <v>523</v>
      </c>
      <c r="G339" s="147">
        <v>16</v>
      </c>
      <c r="H339" s="148">
        <v>38</v>
      </c>
      <c r="I339" s="149">
        <f t="shared" si="5"/>
        <v>608</v>
      </c>
      <c r="J339" s="150" t="s">
        <v>466</v>
      </c>
      <c r="K339" s="151">
        <v>14.592000000000001</v>
      </c>
      <c r="L339">
        <f>Table13[[#This Row],[Price]]*Table13[[#This Row],[Units]]</f>
        <v>608</v>
      </c>
    </row>
    <row r="340" spans="1:12" x14ac:dyDescent="0.35">
      <c r="A340" s="145">
        <v>45622</v>
      </c>
      <c r="B340" s="146" t="s">
        <v>844</v>
      </c>
      <c r="C340" s="147" t="s">
        <v>464</v>
      </c>
      <c r="D340" s="147" t="s">
        <v>486</v>
      </c>
      <c r="E340" s="147" t="s">
        <v>315</v>
      </c>
      <c r="F340" s="147" t="s">
        <v>513</v>
      </c>
      <c r="G340" s="147">
        <v>37</v>
      </c>
      <c r="H340" s="148">
        <v>43</v>
      </c>
      <c r="I340" s="149">
        <f t="shared" si="5"/>
        <v>1591</v>
      </c>
      <c r="J340" s="150" t="s">
        <v>466</v>
      </c>
      <c r="K340" s="151">
        <v>33.411000000000001</v>
      </c>
      <c r="L340">
        <f>Table13[[#This Row],[Price]]*Table13[[#This Row],[Units]]</f>
        <v>1591</v>
      </c>
    </row>
    <row r="341" spans="1:12" x14ac:dyDescent="0.35">
      <c r="A341" s="145">
        <v>45623</v>
      </c>
      <c r="B341" s="146" t="s">
        <v>845</v>
      </c>
      <c r="C341" s="147" t="s">
        <v>494</v>
      </c>
      <c r="D341" s="147" t="s">
        <v>512</v>
      </c>
      <c r="E341" s="147" t="s">
        <v>324</v>
      </c>
      <c r="F341" s="147" t="s">
        <v>497</v>
      </c>
      <c r="G341" s="147">
        <v>18</v>
      </c>
      <c r="H341" s="148">
        <v>20</v>
      </c>
      <c r="I341" s="149">
        <f t="shared" si="5"/>
        <v>360</v>
      </c>
      <c r="J341" s="150" t="s">
        <v>503</v>
      </c>
      <c r="K341" s="151">
        <v>10.8</v>
      </c>
      <c r="L341">
        <f>Table13[[#This Row],[Price]]*Table13[[#This Row],[Units]]</f>
        <v>360</v>
      </c>
    </row>
    <row r="342" spans="1:12" x14ac:dyDescent="0.35">
      <c r="A342" s="145">
        <v>45624</v>
      </c>
      <c r="B342" s="146" t="s">
        <v>846</v>
      </c>
      <c r="C342" s="147" t="s">
        <v>492</v>
      </c>
      <c r="D342" s="147" t="s">
        <v>470</v>
      </c>
      <c r="E342" s="147" t="s">
        <v>320</v>
      </c>
      <c r="F342" s="147" t="s">
        <v>517</v>
      </c>
      <c r="G342" s="147">
        <v>45</v>
      </c>
      <c r="H342" s="148">
        <v>58</v>
      </c>
      <c r="I342" s="149">
        <f t="shared" si="5"/>
        <v>2610</v>
      </c>
      <c r="J342" s="150" t="s">
        <v>472</v>
      </c>
      <c r="K342" s="151">
        <v>52.2</v>
      </c>
      <c r="L342">
        <f>Table13[[#This Row],[Price]]*Table13[[#This Row],[Units]]</f>
        <v>2610</v>
      </c>
    </row>
    <row r="343" spans="1:12" x14ac:dyDescent="0.35">
      <c r="A343" s="145">
        <v>45625</v>
      </c>
      <c r="B343" s="146" t="s">
        <v>847</v>
      </c>
      <c r="C343" s="147" t="s">
        <v>322</v>
      </c>
      <c r="D343" s="147" t="s">
        <v>470</v>
      </c>
      <c r="E343" s="147" t="s">
        <v>412</v>
      </c>
      <c r="F343" s="147" t="s">
        <v>497</v>
      </c>
      <c r="G343" s="147">
        <v>23</v>
      </c>
      <c r="H343" s="148">
        <v>44</v>
      </c>
      <c r="I343" s="149">
        <f t="shared" si="5"/>
        <v>1012</v>
      </c>
      <c r="J343" s="150" t="s">
        <v>466</v>
      </c>
      <c r="K343" s="151">
        <v>23.276</v>
      </c>
      <c r="L343">
        <f>Table13[[#This Row],[Price]]*Table13[[#This Row],[Units]]</f>
        <v>1012</v>
      </c>
    </row>
    <row r="344" spans="1:12" x14ac:dyDescent="0.35">
      <c r="A344" s="145">
        <v>45625</v>
      </c>
      <c r="B344" s="146" t="s">
        <v>848</v>
      </c>
      <c r="C344" s="147" t="s">
        <v>494</v>
      </c>
      <c r="D344" s="147" t="s">
        <v>477</v>
      </c>
      <c r="E344" s="147" t="s">
        <v>333</v>
      </c>
      <c r="F344" s="147" t="s">
        <v>517</v>
      </c>
      <c r="G344" s="147">
        <v>39</v>
      </c>
      <c r="H344" s="148">
        <v>53</v>
      </c>
      <c r="I344" s="149">
        <f t="shared" si="5"/>
        <v>2067</v>
      </c>
      <c r="J344" s="150" t="s">
        <v>472</v>
      </c>
      <c r="K344" s="151">
        <v>47.540999999999997</v>
      </c>
      <c r="L344">
        <f>Table13[[#This Row],[Price]]*Table13[[#This Row],[Units]]</f>
        <v>2067</v>
      </c>
    </row>
    <row r="345" spans="1:12" x14ac:dyDescent="0.35">
      <c r="A345" s="145">
        <v>45625</v>
      </c>
      <c r="B345" s="146" t="s">
        <v>849</v>
      </c>
      <c r="C345" s="147" t="s">
        <v>469</v>
      </c>
      <c r="D345" s="147" t="s">
        <v>519</v>
      </c>
      <c r="E345" s="147" t="s">
        <v>315</v>
      </c>
      <c r="F345" s="147" t="s">
        <v>471</v>
      </c>
      <c r="G345" s="147">
        <v>22</v>
      </c>
      <c r="H345" s="148">
        <v>20</v>
      </c>
      <c r="I345" s="149">
        <f t="shared" si="5"/>
        <v>440</v>
      </c>
      <c r="J345" s="150" t="s">
        <v>503</v>
      </c>
      <c r="K345" s="151">
        <v>10.56</v>
      </c>
      <c r="L345">
        <f>Table13[[#This Row],[Price]]*Table13[[#This Row],[Units]]</f>
        <v>440</v>
      </c>
    </row>
    <row r="346" spans="1:12" x14ac:dyDescent="0.35">
      <c r="A346" s="145">
        <v>45625</v>
      </c>
      <c r="B346" s="146" t="s">
        <v>850</v>
      </c>
      <c r="C346" s="147" t="s">
        <v>464</v>
      </c>
      <c r="D346" s="147" t="s">
        <v>477</v>
      </c>
      <c r="E346" s="147" t="s">
        <v>315</v>
      </c>
      <c r="F346" s="147" t="s">
        <v>523</v>
      </c>
      <c r="G346" s="147">
        <v>38</v>
      </c>
      <c r="H346" s="148">
        <v>43</v>
      </c>
      <c r="I346" s="149">
        <f t="shared" si="5"/>
        <v>1634</v>
      </c>
      <c r="J346" s="150" t="s">
        <v>503</v>
      </c>
      <c r="K346" s="151">
        <v>42.484000000000002</v>
      </c>
      <c r="L346">
        <f>Table13[[#This Row],[Price]]*Table13[[#This Row],[Units]]</f>
        <v>1634</v>
      </c>
    </row>
    <row r="347" spans="1:12" x14ac:dyDescent="0.35">
      <c r="A347" s="145">
        <v>45626</v>
      </c>
      <c r="B347" s="146" t="s">
        <v>851</v>
      </c>
      <c r="C347" s="147" t="s">
        <v>476</v>
      </c>
      <c r="D347" s="147" t="s">
        <v>470</v>
      </c>
      <c r="E347" s="147" t="s">
        <v>333</v>
      </c>
      <c r="F347" s="147" t="s">
        <v>454</v>
      </c>
      <c r="G347" s="147">
        <v>27</v>
      </c>
      <c r="H347" s="148">
        <v>26</v>
      </c>
      <c r="I347" s="149">
        <f t="shared" si="5"/>
        <v>702</v>
      </c>
      <c r="J347" s="150" t="s">
        <v>472</v>
      </c>
      <c r="K347" s="151">
        <v>19.655999999999999</v>
      </c>
      <c r="L347">
        <f>Table13[[#This Row],[Price]]*Table13[[#This Row],[Units]]</f>
        <v>702</v>
      </c>
    </row>
    <row r="348" spans="1:12" x14ac:dyDescent="0.35">
      <c r="A348" s="145">
        <v>45627</v>
      </c>
      <c r="B348" s="146" t="s">
        <v>852</v>
      </c>
      <c r="C348" s="147" t="s">
        <v>322</v>
      </c>
      <c r="D348" s="147" t="s">
        <v>486</v>
      </c>
      <c r="E348" s="147" t="s">
        <v>483</v>
      </c>
      <c r="F348" s="147" t="s">
        <v>510</v>
      </c>
      <c r="G348" s="147">
        <v>51</v>
      </c>
      <c r="H348" s="148">
        <v>28</v>
      </c>
      <c r="I348" s="149">
        <f t="shared" si="5"/>
        <v>1428</v>
      </c>
      <c r="J348" s="150" t="s">
        <v>515</v>
      </c>
      <c r="K348" s="151">
        <v>38.555999999999997</v>
      </c>
      <c r="L348">
        <f>Table13[[#This Row],[Price]]*Table13[[#This Row],[Units]]</f>
        <v>1428</v>
      </c>
    </row>
    <row r="349" spans="1:12" x14ac:dyDescent="0.35">
      <c r="A349" s="145">
        <v>45627</v>
      </c>
      <c r="B349" s="146" t="s">
        <v>853</v>
      </c>
      <c r="C349" s="147" t="s">
        <v>501</v>
      </c>
      <c r="D349" s="147" t="s">
        <v>490</v>
      </c>
      <c r="E349" s="147" t="s">
        <v>412</v>
      </c>
      <c r="F349" s="147" t="s">
        <v>510</v>
      </c>
      <c r="G349" s="147">
        <v>19</v>
      </c>
      <c r="H349" s="148">
        <v>52</v>
      </c>
      <c r="I349" s="149">
        <f t="shared" si="5"/>
        <v>988</v>
      </c>
      <c r="J349" s="150" t="s">
        <v>472</v>
      </c>
      <c r="K349" s="151">
        <v>26.675999999999998</v>
      </c>
      <c r="L349">
        <f>Table13[[#This Row],[Price]]*Table13[[#This Row],[Units]]</f>
        <v>988</v>
      </c>
    </row>
    <row r="350" spans="1:12" x14ac:dyDescent="0.35">
      <c r="A350" s="145">
        <v>45627</v>
      </c>
      <c r="B350" s="146" t="s">
        <v>854</v>
      </c>
      <c r="C350" s="147" t="s">
        <v>322</v>
      </c>
      <c r="D350" s="147" t="s">
        <v>477</v>
      </c>
      <c r="E350" s="147" t="s">
        <v>483</v>
      </c>
      <c r="F350" s="147" t="s">
        <v>567</v>
      </c>
      <c r="G350" s="147">
        <v>30</v>
      </c>
      <c r="H350" s="148">
        <v>25</v>
      </c>
      <c r="I350" s="149">
        <f t="shared" si="5"/>
        <v>750</v>
      </c>
      <c r="J350" s="150" t="s">
        <v>515</v>
      </c>
      <c r="K350" s="151">
        <v>21.75</v>
      </c>
      <c r="L350">
        <f>Table13[[#This Row],[Price]]*Table13[[#This Row],[Units]]</f>
        <v>750</v>
      </c>
    </row>
    <row r="351" spans="1:12" x14ac:dyDescent="0.35">
      <c r="A351" s="145">
        <v>45627</v>
      </c>
      <c r="B351" s="146" t="s">
        <v>855</v>
      </c>
      <c r="C351" s="147" t="s">
        <v>469</v>
      </c>
      <c r="D351" s="147" t="s">
        <v>519</v>
      </c>
      <c r="E351" s="147" t="s">
        <v>333</v>
      </c>
      <c r="F351" s="147" t="s">
        <v>497</v>
      </c>
      <c r="G351" s="147">
        <v>44</v>
      </c>
      <c r="H351" s="148">
        <v>60</v>
      </c>
      <c r="I351" s="149">
        <f t="shared" si="5"/>
        <v>2640</v>
      </c>
      <c r="J351" s="150" t="s">
        <v>466</v>
      </c>
      <c r="K351" s="151">
        <v>60.72</v>
      </c>
      <c r="L351">
        <f>Table13[[#This Row],[Price]]*Table13[[#This Row],[Units]]</f>
        <v>2640</v>
      </c>
    </row>
    <row r="352" spans="1:12" x14ac:dyDescent="0.35">
      <c r="A352" s="145">
        <v>45627</v>
      </c>
      <c r="B352" s="146" t="s">
        <v>856</v>
      </c>
      <c r="C352" s="147" t="s">
        <v>484</v>
      </c>
      <c r="D352" s="147" t="s">
        <v>465</v>
      </c>
      <c r="E352" s="147" t="s">
        <v>333</v>
      </c>
      <c r="F352" s="147" t="s">
        <v>491</v>
      </c>
      <c r="G352" s="147">
        <v>21</v>
      </c>
      <c r="H352" s="148">
        <v>48</v>
      </c>
      <c r="I352" s="149">
        <f t="shared" si="5"/>
        <v>1008</v>
      </c>
      <c r="J352" s="150" t="s">
        <v>472</v>
      </c>
      <c r="K352" s="151">
        <v>25.2</v>
      </c>
      <c r="L352">
        <f>Table13[[#This Row],[Price]]*Table13[[#This Row],[Units]]</f>
        <v>1008</v>
      </c>
    </row>
    <row r="353" spans="1:12" x14ac:dyDescent="0.35">
      <c r="A353" s="145">
        <v>45627</v>
      </c>
      <c r="B353" s="146" t="s">
        <v>857</v>
      </c>
      <c r="C353" s="147" t="s">
        <v>322</v>
      </c>
      <c r="D353" s="147" t="s">
        <v>470</v>
      </c>
      <c r="E353" s="147" t="s">
        <v>315</v>
      </c>
      <c r="F353" s="147" t="s">
        <v>471</v>
      </c>
      <c r="G353" s="147">
        <v>18</v>
      </c>
      <c r="H353" s="148">
        <v>58</v>
      </c>
      <c r="I353" s="149">
        <f t="shared" si="5"/>
        <v>1044</v>
      </c>
      <c r="J353" s="150" t="s">
        <v>472</v>
      </c>
      <c r="K353" s="151">
        <v>26.1</v>
      </c>
      <c r="L353">
        <f>Table13[[#This Row],[Price]]*Table13[[#This Row],[Units]]</f>
        <v>1044</v>
      </c>
    </row>
    <row r="354" spans="1:12" x14ac:dyDescent="0.35">
      <c r="A354" s="145">
        <v>45627</v>
      </c>
      <c r="B354" s="146" t="s">
        <v>858</v>
      </c>
      <c r="C354" s="147" t="s">
        <v>322</v>
      </c>
      <c r="D354" s="147" t="s">
        <v>486</v>
      </c>
      <c r="E354" s="147" t="s">
        <v>412</v>
      </c>
      <c r="F354" s="147" t="s">
        <v>500</v>
      </c>
      <c r="G354" s="147">
        <v>26</v>
      </c>
      <c r="H354" s="148">
        <v>32</v>
      </c>
      <c r="I354" s="149">
        <f t="shared" si="5"/>
        <v>832</v>
      </c>
      <c r="J354" s="150" t="s">
        <v>472</v>
      </c>
      <c r="K354" s="151">
        <v>17.472000000000001</v>
      </c>
      <c r="L354">
        <f>Table13[[#This Row],[Price]]*Table13[[#This Row],[Units]]</f>
        <v>832</v>
      </c>
    </row>
    <row r="355" spans="1:12" x14ac:dyDescent="0.35">
      <c r="A355" s="145">
        <v>45627</v>
      </c>
      <c r="B355" s="146" t="s">
        <v>859</v>
      </c>
      <c r="C355" s="147" t="s">
        <v>489</v>
      </c>
      <c r="D355" s="147" t="s">
        <v>477</v>
      </c>
      <c r="E355" s="147" t="s">
        <v>324</v>
      </c>
      <c r="F355" s="147" t="s">
        <v>510</v>
      </c>
      <c r="G355" s="147">
        <v>36</v>
      </c>
      <c r="H355" s="148">
        <v>30</v>
      </c>
      <c r="I355" s="149">
        <f t="shared" si="5"/>
        <v>1080</v>
      </c>
      <c r="J355" s="150" t="s">
        <v>466</v>
      </c>
      <c r="K355" s="151">
        <v>29.16</v>
      </c>
      <c r="L355">
        <f>Table13[[#This Row],[Price]]*Table13[[#This Row],[Units]]</f>
        <v>1080</v>
      </c>
    </row>
    <row r="356" spans="1:12" x14ac:dyDescent="0.35">
      <c r="A356" s="145">
        <v>45627</v>
      </c>
      <c r="B356" s="146" t="s">
        <v>860</v>
      </c>
      <c r="C356" s="147" t="s">
        <v>484</v>
      </c>
      <c r="D356" s="147" t="s">
        <v>490</v>
      </c>
      <c r="E356" s="147" t="s">
        <v>483</v>
      </c>
      <c r="F356" s="147" t="s">
        <v>497</v>
      </c>
      <c r="G356" s="147">
        <v>60</v>
      </c>
      <c r="H356" s="148">
        <v>23</v>
      </c>
      <c r="I356" s="149">
        <f t="shared" si="5"/>
        <v>1380</v>
      </c>
      <c r="J356" s="150" t="s">
        <v>466</v>
      </c>
      <c r="K356" s="151">
        <v>41.4</v>
      </c>
      <c r="L356">
        <f>Table13[[#This Row],[Price]]*Table13[[#This Row],[Units]]</f>
        <v>1380</v>
      </c>
    </row>
    <row r="357" spans="1:12" x14ac:dyDescent="0.35">
      <c r="A357" s="145">
        <v>45627</v>
      </c>
      <c r="B357" s="146" t="s">
        <v>861</v>
      </c>
      <c r="C357" s="147" t="s">
        <v>469</v>
      </c>
      <c r="D357" s="147" t="s">
        <v>470</v>
      </c>
      <c r="E357" s="147" t="s">
        <v>390</v>
      </c>
      <c r="F357" s="147" t="s">
        <v>510</v>
      </c>
      <c r="G357" s="147">
        <v>49</v>
      </c>
      <c r="H357" s="148">
        <v>52</v>
      </c>
      <c r="I357" s="149">
        <f t="shared" si="5"/>
        <v>2548</v>
      </c>
      <c r="J357" s="150" t="s">
        <v>466</v>
      </c>
      <c r="K357" s="151">
        <v>73.891999999999996</v>
      </c>
      <c r="L357">
        <f>Table13[[#This Row],[Price]]*Table13[[#This Row],[Units]]</f>
        <v>2548</v>
      </c>
    </row>
    <row r="358" spans="1:12" x14ac:dyDescent="0.35">
      <c r="A358" s="145">
        <v>45627</v>
      </c>
      <c r="B358" s="146" t="s">
        <v>862</v>
      </c>
      <c r="C358" s="147" t="s">
        <v>484</v>
      </c>
      <c r="D358" s="147" t="s">
        <v>477</v>
      </c>
      <c r="E358" s="147" t="s">
        <v>315</v>
      </c>
      <c r="F358" s="147" t="s">
        <v>497</v>
      </c>
      <c r="G358" s="147">
        <v>49</v>
      </c>
      <c r="H358" s="148">
        <v>53</v>
      </c>
      <c r="I358" s="149">
        <f t="shared" si="5"/>
        <v>2597</v>
      </c>
      <c r="J358" s="150" t="s">
        <v>466</v>
      </c>
      <c r="K358" s="151">
        <v>54.536999999999999</v>
      </c>
      <c r="L358">
        <f>Table13[[#This Row],[Price]]*Table13[[#This Row],[Units]]</f>
        <v>2597</v>
      </c>
    </row>
    <row r="359" spans="1:12" x14ac:dyDescent="0.35">
      <c r="A359" s="145">
        <v>45627</v>
      </c>
      <c r="B359" s="146" t="s">
        <v>863</v>
      </c>
      <c r="C359" s="147" t="s">
        <v>322</v>
      </c>
      <c r="D359" s="147" t="s">
        <v>470</v>
      </c>
      <c r="E359" s="147" t="s">
        <v>390</v>
      </c>
      <c r="F359" s="147" t="s">
        <v>497</v>
      </c>
      <c r="G359" s="147">
        <v>51</v>
      </c>
      <c r="H359" s="148">
        <v>32</v>
      </c>
      <c r="I359" s="149">
        <f t="shared" si="5"/>
        <v>1632</v>
      </c>
      <c r="J359" s="150" t="s">
        <v>472</v>
      </c>
      <c r="K359" s="151">
        <v>48.96</v>
      </c>
      <c r="L359">
        <f>Table13[[#This Row],[Price]]*Table13[[#This Row],[Units]]</f>
        <v>1632</v>
      </c>
    </row>
    <row r="360" spans="1:12" x14ac:dyDescent="0.35">
      <c r="A360" s="145">
        <v>45627</v>
      </c>
      <c r="B360" s="146" t="s">
        <v>864</v>
      </c>
      <c r="C360" s="147" t="s">
        <v>476</v>
      </c>
      <c r="D360" s="147" t="s">
        <v>465</v>
      </c>
      <c r="E360" s="147" t="s">
        <v>483</v>
      </c>
      <c r="F360" s="147" t="s">
        <v>567</v>
      </c>
      <c r="G360" s="147">
        <v>36</v>
      </c>
      <c r="H360" s="148">
        <v>22</v>
      </c>
      <c r="I360" s="149">
        <f t="shared" si="5"/>
        <v>792</v>
      </c>
      <c r="J360" s="150" t="s">
        <v>466</v>
      </c>
      <c r="K360" s="151">
        <v>19.007999999999999</v>
      </c>
      <c r="L360">
        <f>Table13[[#This Row],[Price]]*Table13[[#This Row],[Units]]</f>
        <v>792</v>
      </c>
    </row>
    <row r="361" spans="1:12" x14ac:dyDescent="0.35">
      <c r="A361" s="145">
        <v>45627</v>
      </c>
      <c r="B361" s="146" t="s">
        <v>865</v>
      </c>
      <c r="C361" s="147" t="s">
        <v>489</v>
      </c>
      <c r="D361" s="147" t="s">
        <v>477</v>
      </c>
      <c r="E361" s="147" t="s">
        <v>324</v>
      </c>
      <c r="F361" s="147" t="s">
        <v>567</v>
      </c>
      <c r="G361" s="147">
        <v>32</v>
      </c>
      <c r="H361" s="148">
        <v>24</v>
      </c>
      <c r="I361" s="149">
        <f t="shared" si="5"/>
        <v>768</v>
      </c>
      <c r="J361" s="150" t="s">
        <v>466</v>
      </c>
      <c r="K361" s="151">
        <v>16.128</v>
      </c>
      <c r="L361">
        <f>Table13[[#This Row],[Price]]*Table13[[#This Row],[Units]]</f>
        <v>768</v>
      </c>
    </row>
    <row r="362" spans="1:12" x14ac:dyDescent="0.35">
      <c r="A362" s="145">
        <v>45627</v>
      </c>
      <c r="B362" s="146" t="s">
        <v>866</v>
      </c>
      <c r="C362" s="147" t="s">
        <v>494</v>
      </c>
      <c r="D362" s="147" t="s">
        <v>470</v>
      </c>
      <c r="E362" s="147" t="s">
        <v>390</v>
      </c>
      <c r="F362" s="147" t="s">
        <v>491</v>
      </c>
      <c r="G362" s="147">
        <v>40</v>
      </c>
      <c r="H362" s="148">
        <v>35</v>
      </c>
      <c r="I362" s="149">
        <f t="shared" si="5"/>
        <v>1400</v>
      </c>
      <c r="J362" s="150" t="s">
        <v>503</v>
      </c>
      <c r="K362" s="151">
        <v>30.8</v>
      </c>
      <c r="L362">
        <f>Table13[[#This Row],[Price]]*Table13[[#This Row],[Units]]</f>
        <v>1400</v>
      </c>
    </row>
    <row r="363" spans="1:12" x14ac:dyDescent="0.35">
      <c r="A363" s="145">
        <v>45627</v>
      </c>
      <c r="B363" s="146" t="s">
        <v>867</v>
      </c>
      <c r="C363" s="147" t="s">
        <v>492</v>
      </c>
      <c r="D363" s="147" t="s">
        <v>519</v>
      </c>
      <c r="E363" s="147" t="s">
        <v>320</v>
      </c>
      <c r="F363" s="147" t="s">
        <v>497</v>
      </c>
      <c r="G363" s="147">
        <v>19</v>
      </c>
      <c r="H363" s="148">
        <v>37</v>
      </c>
      <c r="I363" s="149">
        <f t="shared" si="5"/>
        <v>703</v>
      </c>
      <c r="J363" s="150" t="s">
        <v>472</v>
      </c>
      <c r="K363" s="151">
        <v>18.277999999999999</v>
      </c>
      <c r="L363">
        <f>Table13[[#This Row],[Price]]*Table13[[#This Row],[Units]]</f>
        <v>703</v>
      </c>
    </row>
    <row r="364" spans="1:12" x14ac:dyDescent="0.35">
      <c r="A364" s="145">
        <v>45627</v>
      </c>
      <c r="B364" s="146" t="s">
        <v>868</v>
      </c>
      <c r="C364" s="147" t="s">
        <v>501</v>
      </c>
      <c r="D364" s="147" t="s">
        <v>512</v>
      </c>
      <c r="E364" s="147" t="s">
        <v>333</v>
      </c>
      <c r="F364" s="147" t="s">
        <v>528</v>
      </c>
      <c r="G364" s="147">
        <v>34</v>
      </c>
      <c r="H364" s="148">
        <v>20</v>
      </c>
      <c r="I364" s="149">
        <f t="shared" si="5"/>
        <v>680</v>
      </c>
      <c r="J364" s="150" t="s">
        <v>472</v>
      </c>
      <c r="K364" s="151">
        <v>15.64</v>
      </c>
      <c r="L364">
        <f>Table13[[#This Row],[Price]]*Table13[[#This Row],[Units]]</f>
        <v>680</v>
      </c>
    </row>
    <row r="365" spans="1:12" x14ac:dyDescent="0.35">
      <c r="A365" s="145">
        <v>45627</v>
      </c>
      <c r="B365" s="146" t="s">
        <v>869</v>
      </c>
      <c r="C365" s="147" t="s">
        <v>494</v>
      </c>
      <c r="D365" s="147" t="s">
        <v>465</v>
      </c>
      <c r="E365" s="147" t="s">
        <v>315</v>
      </c>
      <c r="F365" s="147" t="s">
        <v>478</v>
      </c>
      <c r="G365" s="147">
        <v>56</v>
      </c>
      <c r="H365" s="148">
        <v>59</v>
      </c>
      <c r="I365" s="149">
        <f t="shared" si="5"/>
        <v>3304</v>
      </c>
      <c r="J365" s="150" t="s">
        <v>466</v>
      </c>
      <c r="K365" s="151">
        <v>92.512</v>
      </c>
      <c r="L365">
        <f>Table13[[#This Row],[Price]]*Table13[[#This Row],[Units]]</f>
        <v>3304</v>
      </c>
    </row>
    <row r="366" spans="1:12" x14ac:dyDescent="0.35">
      <c r="A366" s="145">
        <v>45628</v>
      </c>
      <c r="B366" s="146" t="s">
        <v>870</v>
      </c>
      <c r="C366" s="147" t="s">
        <v>464</v>
      </c>
      <c r="D366" s="147" t="s">
        <v>486</v>
      </c>
      <c r="E366" s="147" t="s">
        <v>324</v>
      </c>
      <c r="F366" s="147" t="s">
        <v>500</v>
      </c>
      <c r="G366" s="147">
        <v>44</v>
      </c>
      <c r="H366" s="148">
        <v>46</v>
      </c>
      <c r="I366" s="149">
        <f t="shared" si="5"/>
        <v>2024</v>
      </c>
      <c r="J366" s="150" t="s">
        <v>472</v>
      </c>
      <c r="K366" s="151">
        <v>56.671999999999997</v>
      </c>
      <c r="L366">
        <f>Table13[[#This Row],[Price]]*Table13[[#This Row],[Units]]</f>
        <v>2024</v>
      </c>
    </row>
    <row r="367" spans="1:12" x14ac:dyDescent="0.35">
      <c r="A367" s="145">
        <v>45628</v>
      </c>
      <c r="B367" s="146" t="s">
        <v>871</v>
      </c>
      <c r="C367" s="147" t="s">
        <v>494</v>
      </c>
      <c r="D367" s="147" t="s">
        <v>477</v>
      </c>
      <c r="E367" s="147" t="s">
        <v>315</v>
      </c>
      <c r="F367" s="147" t="s">
        <v>523</v>
      </c>
      <c r="G367" s="147">
        <v>40</v>
      </c>
      <c r="H367" s="148">
        <v>21</v>
      </c>
      <c r="I367" s="149">
        <f t="shared" si="5"/>
        <v>840</v>
      </c>
      <c r="J367" s="150" t="s">
        <v>515</v>
      </c>
      <c r="K367" s="151">
        <v>21.84</v>
      </c>
      <c r="L367">
        <f>Table13[[#This Row],[Price]]*Table13[[#This Row],[Units]]</f>
        <v>840</v>
      </c>
    </row>
    <row r="368" spans="1:12" x14ac:dyDescent="0.35">
      <c r="A368" s="145">
        <v>45628</v>
      </c>
      <c r="B368" s="146" t="s">
        <v>872</v>
      </c>
      <c r="C368" s="147" t="s">
        <v>469</v>
      </c>
      <c r="D368" s="147" t="s">
        <v>470</v>
      </c>
      <c r="E368" s="147" t="s">
        <v>483</v>
      </c>
      <c r="F368" s="147" t="s">
        <v>520</v>
      </c>
      <c r="G368" s="147">
        <v>32</v>
      </c>
      <c r="H368" s="148">
        <v>27</v>
      </c>
      <c r="I368" s="149">
        <f t="shared" si="5"/>
        <v>864</v>
      </c>
      <c r="J368" s="150" t="s">
        <v>466</v>
      </c>
      <c r="K368" s="151">
        <v>23.327999999999999</v>
      </c>
      <c r="L368">
        <f>Table13[[#This Row],[Price]]*Table13[[#This Row],[Units]]</f>
        <v>864</v>
      </c>
    </row>
    <row r="369" spans="1:12" x14ac:dyDescent="0.35">
      <c r="A369" s="145">
        <v>45628</v>
      </c>
      <c r="B369" s="146" t="s">
        <v>873</v>
      </c>
      <c r="C369" s="147" t="s">
        <v>322</v>
      </c>
      <c r="D369" s="147" t="s">
        <v>512</v>
      </c>
      <c r="E369" s="147" t="s">
        <v>390</v>
      </c>
      <c r="F369" s="147" t="s">
        <v>520</v>
      </c>
      <c r="G369" s="147">
        <v>28</v>
      </c>
      <c r="H369" s="148">
        <v>40</v>
      </c>
      <c r="I369" s="149">
        <f t="shared" si="5"/>
        <v>1120</v>
      </c>
      <c r="J369" s="150" t="s">
        <v>472</v>
      </c>
      <c r="K369" s="151">
        <v>30.24</v>
      </c>
      <c r="L369">
        <f>Table13[[#This Row],[Price]]*Table13[[#This Row],[Units]]</f>
        <v>1120</v>
      </c>
    </row>
    <row r="370" spans="1:12" x14ac:dyDescent="0.35">
      <c r="A370" s="145">
        <v>45628</v>
      </c>
      <c r="B370" s="146" t="s">
        <v>874</v>
      </c>
      <c r="C370" s="147" t="s">
        <v>484</v>
      </c>
      <c r="D370" s="147" t="s">
        <v>470</v>
      </c>
      <c r="E370" s="147" t="s">
        <v>320</v>
      </c>
      <c r="F370" s="147" t="s">
        <v>539</v>
      </c>
      <c r="G370" s="147">
        <v>44</v>
      </c>
      <c r="H370" s="148">
        <v>29</v>
      </c>
      <c r="I370" s="149">
        <f t="shared" si="5"/>
        <v>1276</v>
      </c>
      <c r="J370" s="150" t="s">
        <v>466</v>
      </c>
      <c r="K370" s="151">
        <v>25.52</v>
      </c>
      <c r="L370">
        <f>Table13[[#This Row],[Price]]*Table13[[#This Row],[Units]]</f>
        <v>1276</v>
      </c>
    </row>
    <row r="371" spans="1:12" x14ac:dyDescent="0.35">
      <c r="A371" s="145">
        <v>45628</v>
      </c>
      <c r="B371" s="146" t="s">
        <v>875</v>
      </c>
      <c r="C371" s="147" t="s">
        <v>469</v>
      </c>
      <c r="D371" s="147" t="s">
        <v>465</v>
      </c>
      <c r="E371" s="147" t="s">
        <v>483</v>
      </c>
      <c r="F371" s="147" t="s">
        <v>510</v>
      </c>
      <c r="G371" s="147">
        <v>23</v>
      </c>
      <c r="H371" s="148">
        <v>48</v>
      </c>
      <c r="I371" s="149">
        <f t="shared" si="5"/>
        <v>1104</v>
      </c>
      <c r="J371" s="150" t="s">
        <v>466</v>
      </c>
      <c r="K371" s="151">
        <v>25.391999999999999</v>
      </c>
      <c r="L371">
        <f>Table13[[#This Row],[Price]]*Table13[[#This Row],[Units]]</f>
        <v>1104</v>
      </c>
    </row>
    <row r="372" spans="1:12" x14ac:dyDescent="0.35">
      <c r="A372" s="145">
        <v>45628</v>
      </c>
      <c r="B372" s="146" t="s">
        <v>876</v>
      </c>
      <c r="C372" s="147" t="s">
        <v>322</v>
      </c>
      <c r="D372" s="147" t="s">
        <v>465</v>
      </c>
      <c r="E372" s="147" t="s">
        <v>320</v>
      </c>
      <c r="F372" s="147" t="s">
        <v>471</v>
      </c>
      <c r="G372" s="147">
        <v>35</v>
      </c>
      <c r="H372" s="148">
        <v>54</v>
      </c>
      <c r="I372" s="149">
        <f t="shared" si="5"/>
        <v>1890</v>
      </c>
      <c r="J372" s="150" t="s">
        <v>466</v>
      </c>
      <c r="K372" s="151">
        <v>37.799999999999997</v>
      </c>
      <c r="L372">
        <f>Table13[[#This Row],[Price]]*Table13[[#This Row],[Units]]</f>
        <v>1890</v>
      </c>
    </row>
    <row r="373" spans="1:12" x14ac:dyDescent="0.35">
      <c r="A373" s="145">
        <v>45628</v>
      </c>
      <c r="B373" s="146" t="s">
        <v>877</v>
      </c>
      <c r="C373" s="147" t="s">
        <v>464</v>
      </c>
      <c r="D373" s="147" t="s">
        <v>477</v>
      </c>
      <c r="E373" s="147" t="s">
        <v>320</v>
      </c>
      <c r="F373" s="147" t="s">
        <v>478</v>
      </c>
      <c r="G373" s="147">
        <v>37</v>
      </c>
      <c r="H373" s="148">
        <v>53</v>
      </c>
      <c r="I373" s="149">
        <f t="shared" si="5"/>
        <v>1961</v>
      </c>
      <c r="J373" s="150" t="s">
        <v>466</v>
      </c>
      <c r="K373" s="151">
        <v>56.869</v>
      </c>
      <c r="L373">
        <f>Table13[[#This Row],[Price]]*Table13[[#This Row],[Units]]</f>
        <v>1961</v>
      </c>
    </row>
    <row r="374" spans="1:12" x14ac:dyDescent="0.35">
      <c r="A374" s="145">
        <v>45629</v>
      </c>
      <c r="B374" s="146" t="s">
        <v>878</v>
      </c>
      <c r="C374" s="147" t="s">
        <v>322</v>
      </c>
      <c r="D374" s="147" t="s">
        <v>470</v>
      </c>
      <c r="E374" s="147" t="s">
        <v>320</v>
      </c>
      <c r="F374" s="147" t="s">
        <v>491</v>
      </c>
      <c r="G374" s="147">
        <v>45</v>
      </c>
      <c r="H374" s="148">
        <v>29</v>
      </c>
      <c r="I374" s="149">
        <f t="shared" si="5"/>
        <v>1305</v>
      </c>
      <c r="J374" s="150" t="s">
        <v>466</v>
      </c>
      <c r="K374" s="151">
        <v>30.015000000000001</v>
      </c>
      <c r="L374">
        <f>Table13[[#This Row],[Price]]*Table13[[#This Row],[Units]]</f>
        <v>1305</v>
      </c>
    </row>
    <row r="375" spans="1:12" x14ac:dyDescent="0.35">
      <c r="A375" s="145">
        <v>45629</v>
      </c>
      <c r="B375" s="146" t="s">
        <v>879</v>
      </c>
      <c r="C375" s="147" t="s">
        <v>494</v>
      </c>
      <c r="D375" s="147" t="s">
        <v>477</v>
      </c>
      <c r="E375" s="147" t="s">
        <v>320</v>
      </c>
      <c r="F375" s="147" t="s">
        <v>505</v>
      </c>
      <c r="G375" s="147">
        <v>27</v>
      </c>
      <c r="H375" s="148">
        <v>20</v>
      </c>
      <c r="I375" s="149">
        <f t="shared" si="5"/>
        <v>540</v>
      </c>
      <c r="J375" s="150" t="s">
        <v>466</v>
      </c>
      <c r="K375" s="151">
        <v>11.88</v>
      </c>
      <c r="L375">
        <f>Table13[[#This Row],[Price]]*Table13[[#This Row],[Units]]</f>
        <v>540</v>
      </c>
    </row>
    <row r="376" spans="1:12" x14ac:dyDescent="0.35">
      <c r="A376" s="145">
        <v>45629</v>
      </c>
      <c r="B376" s="146" t="s">
        <v>880</v>
      </c>
      <c r="C376" s="147" t="s">
        <v>469</v>
      </c>
      <c r="D376" s="147" t="s">
        <v>490</v>
      </c>
      <c r="E376" s="147" t="s">
        <v>483</v>
      </c>
      <c r="F376" s="147" t="s">
        <v>513</v>
      </c>
      <c r="G376" s="147">
        <v>28</v>
      </c>
      <c r="H376" s="148">
        <v>47</v>
      </c>
      <c r="I376" s="149">
        <f t="shared" si="5"/>
        <v>1316</v>
      </c>
      <c r="J376" s="150" t="s">
        <v>466</v>
      </c>
      <c r="K376" s="151">
        <v>28.952000000000002</v>
      </c>
      <c r="L376">
        <f>Table13[[#This Row],[Price]]*Table13[[#This Row],[Units]]</f>
        <v>1316</v>
      </c>
    </row>
    <row r="377" spans="1:12" x14ac:dyDescent="0.35">
      <c r="A377" s="145">
        <v>45629</v>
      </c>
      <c r="B377" s="146" t="s">
        <v>881</v>
      </c>
      <c r="C377" s="147" t="s">
        <v>501</v>
      </c>
      <c r="D377" s="147" t="s">
        <v>519</v>
      </c>
      <c r="E377" s="147" t="s">
        <v>320</v>
      </c>
      <c r="F377" s="147" t="s">
        <v>567</v>
      </c>
      <c r="G377" s="147">
        <v>60</v>
      </c>
      <c r="H377" s="148">
        <v>23</v>
      </c>
      <c r="I377" s="149">
        <f t="shared" si="5"/>
        <v>1380</v>
      </c>
      <c r="J377" s="150" t="s">
        <v>472</v>
      </c>
      <c r="K377" s="151">
        <v>35.880000000000003</v>
      </c>
      <c r="L377">
        <f>Table13[[#This Row],[Price]]*Table13[[#This Row],[Units]]</f>
        <v>1380</v>
      </c>
    </row>
    <row r="378" spans="1:12" x14ac:dyDescent="0.35">
      <c r="A378" s="145">
        <v>45629</v>
      </c>
      <c r="B378" s="146" t="s">
        <v>882</v>
      </c>
      <c r="C378" s="147" t="s">
        <v>492</v>
      </c>
      <c r="D378" s="147" t="s">
        <v>470</v>
      </c>
      <c r="E378" s="147" t="s">
        <v>320</v>
      </c>
      <c r="F378" s="147" t="s">
        <v>491</v>
      </c>
      <c r="G378" s="147">
        <v>11</v>
      </c>
      <c r="H378" s="148">
        <v>59</v>
      </c>
      <c r="I378" s="149">
        <f t="shared" si="5"/>
        <v>649</v>
      </c>
      <c r="J378" s="150" t="s">
        <v>515</v>
      </c>
      <c r="K378" s="151">
        <v>15.576000000000001</v>
      </c>
      <c r="L378">
        <f>Table13[[#This Row],[Price]]*Table13[[#This Row],[Units]]</f>
        <v>649</v>
      </c>
    </row>
    <row r="379" spans="1:12" x14ac:dyDescent="0.35">
      <c r="A379" s="145">
        <v>45629</v>
      </c>
      <c r="B379" s="146" t="s">
        <v>883</v>
      </c>
      <c r="C379" s="147" t="s">
        <v>501</v>
      </c>
      <c r="D379" s="147" t="s">
        <v>486</v>
      </c>
      <c r="E379" s="147" t="s">
        <v>320</v>
      </c>
      <c r="F379" s="147" t="s">
        <v>505</v>
      </c>
      <c r="G379" s="147">
        <v>44</v>
      </c>
      <c r="H379" s="148">
        <v>42</v>
      </c>
      <c r="I379" s="149">
        <f t="shared" si="5"/>
        <v>1848</v>
      </c>
      <c r="J379" s="150" t="s">
        <v>466</v>
      </c>
      <c r="K379" s="151">
        <v>55.44</v>
      </c>
      <c r="L379">
        <f>Table13[[#This Row],[Price]]*Table13[[#This Row],[Units]]</f>
        <v>1848</v>
      </c>
    </row>
    <row r="380" spans="1:12" x14ac:dyDescent="0.35">
      <c r="A380" s="145">
        <v>45629</v>
      </c>
      <c r="B380" s="146" t="s">
        <v>884</v>
      </c>
      <c r="C380" s="147" t="s">
        <v>322</v>
      </c>
      <c r="D380" s="147" t="s">
        <v>465</v>
      </c>
      <c r="E380" s="147" t="s">
        <v>320</v>
      </c>
      <c r="F380" s="147" t="s">
        <v>567</v>
      </c>
      <c r="G380" s="147">
        <v>53</v>
      </c>
      <c r="H380" s="148">
        <v>26</v>
      </c>
      <c r="I380" s="149">
        <f t="shared" si="5"/>
        <v>1378</v>
      </c>
      <c r="J380" s="150" t="s">
        <v>503</v>
      </c>
      <c r="K380" s="151">
        <v>33.072000000000003</v>
      </c>
      <c r="L380">
        <f>Table13[[#This Row],[Price]]*Table13[[#This Row],[Units]]</f>
        <v>1378</v>
      </c>
    </row>
    <row r="381" spans="1:12" x14ac:dyDescent="0.35">
      <c r="A381" s="145">
        <v>45629</v>
      </c>
      <c r="B381" s="146" t="s">
        <v>885</v>
      </c>
      <c r="C381" s="147" t="s">
        <v>489</v>
      </c>
      <c r="D381" s="147" t="s">
        <v>470</v>
      </c>
      <c r="E381" s="147" t="s">
        <v>483</v>
      </c>
      <c r="F381" s="147" t="s">
        <v>454</v>
      </c>
      <c r="G381" s="147">
        <v>17</v>
      </c>
      <c r="H381" s="148">
        <v>32</v>
      </c>
      <c r="I381" s="149">
        <f t="shared" si="5"/>
        <v>544</v>
      </c>
      <c r="J381" s="150" t="s">
        <v>466</v>
      </c>
      <c r="K381" s="151">
        <v>13.6</v>
      </c>
      <c r="L381">
        <f>Table13[[#This Row],[Price]]*Table13[[#This Row],[Units]]</f>
        <v>544</v>
      </c>
    </row>
    <row r="382" spans="1:12" x14ac:dyDescent="0.35">
      <c r="A382" s="145">
        <v>45629</v>
      </c>
      <c r="B382" s="146" t="s">
        <v>886</v>
      </c>
      <c r="C382" s="147" t="s">
        <v>489</v>
      </c>
      <c r="D382" s="147" t="s">
        <v>470</v>
      </c>
      <c r="E382" s="147" t="s">
        <v>333</v>
      </c>
      <c r="F382" s="147" t="s">
        <v>520</v>
      </c>
      <c r="G382" s="147">
        <v>55</v>
      </c>
      <c r="H382" s="148">
        <v>26</v>
      </c>
      <c r="I382" s="149">
        <f t="shared" si="5"/>
        <v>1430</v>
      </c>
      <c r="J382" s="150" t="s">
        <v>472</v>
      </c>
      <c r="K382" s="151">
        <v>32.89</v>
      </c>
      <c r="L382">
        <f>Table13[[#This Row],[Price]]*Table13[[#This Row],[Units]]</f>
        <v>1430</v>
      </c>
    </row>
    <row r="383" spans="1:12" x14ac:dyDescent="0.35">
      <c r="A383" s="145">
        <v>45629</v>
      </c>
      <c r="B383" s="146" t="s">
        <v>887</v>
      </c>
      <c r="C383" s="147" t="s">
        <v>484</v>
      </c>
      <c r="D383" s="147" t="s">
        <v>470</v>
      </c>
      <c r="E383" s="147" t="s">
        <v>333</v>
      </c>
      <c r="F383" s="147" t="s">
        <v>536</v>
      </c>
      <c r="G383" s="147">
        <v>34</v>
      </c>
      <c r="H383" s="148">
        <v>56</v>
      </c>
      <c r="I383" s="149">
        <f t="shared" si="5"/>
        <v>1904</v>
      </c>
      <c r="J383" s="150" t="s">
        <v>472</v>
      </c>
      <c r="K383" s="151">
        <v>49.503999999999998</v>
      </c>
      <c r="L383">
        <f>Table13[[#This Row],[Price]]*Table13[[#This Row],[Units]]</f>
        <v>1904</v>
      </c>
    </row>
    <row r="384" spans="1:12" x14ac:dyDescent="0.35">
      <c r="A384" s="145">
        <v>45630</v>
      </c>
      <c r="B384" s="146" t="s">
        <v>888</v>
      </c>
      <c r="C384" s="147" t="s">
        <v>492</v>
      </c>
      <c r="D384" s="147" t="s">
        <v>470</v>
      </c>
      <c r="E384" s="147" t="s">
        <v>315</v>
      </c>
      <c r="F384" s="147" t="s">
        <v>513</v>
      </c>
      <c r="G384" s="147">
        <v>12</v>
      </c>
      <c r="H384" s="148">
        <v>52</v>
      </c>
      <c r="I384" s="149">
        <f t="shared" si="5"/>
        <v>624</v>
      </c>
      <c r="J384" s="150" t="s">
        <v>515</v>
      </c>
      <c r="K384" s="151">
        <v>13.728</v>
      </c>
      <c r="L384">
        <f>Table13[[#This Row],[Price]]*Table13[[#This Row],[Units]]</f>
        <v>624</v>
      </c>
    </row>
    <row r="385" spans="1:12" x14ac:dyDescent="0.35">
      <c r="A385" s="145">
        <v>45630</v>
      </c>
      <c r="B385" s="146" t="s">
        <v>889</v>
      </c>
      <c r="C385" s="147" t="s">
        <v>476</v>
      </c>
      <c r="D385" s="147" t="s">
        <v>486</v>
      </c>
      <c r="E385" s="147" t="s">
        <v>320</v>
      </c>
      <c r="F385" s="147" t="s">
        <v>536</v>
      </c>
      <c r="G385" s="147">
        <v>54</v>
      </c>
      <c r="H385" s="148">
        <v>57</v>
      </c>
      <c r="I385" s="149">
        <f t="shared" si="5"/>
        <v>3078</v>
      </c>
      <c r="J385" s="150" t="s">
        <v>472</v>
      </c>
      <c r="K385" s="151">
        <v>83.105999999999995</v>
      </c>
      <c r="L385">
        <f>Table13[[#This Row],[Price]]*Table13[[#This Row],[Units]]</f>
        <v>3078</v>
      </c>
    </row>
    <row r="386" spans="1:12" x14ac:dyDescent="0.35">
      <c r="A386" s="145">
        <v>45630</v>
      </c>
      <c r="B386" s="146" t="s">
        <v>890</v>
      </c>
      <c r="C386" s="147" t="s">
        <v>322</v>
      </c>
      <c r="D386" s="147" t="s">
        <v>470</v>
      </c>
      <c r="E386" s="147" t="s">
        <v>324</v>
      </c>
      <c r="F386" s="147" t="s">
        <v>510</v>
      </c>
      <c r="G386" s="147">
        <v>57</v>
      </c>
      <c r="H386" s="148">
        <v>52</v>
      </c>
      <c r="I386" s="149">
        <f t="shared" si="5"/>
        <v>2964</v>
      </c>
      <c r="J386" s="150" t="s">
        <v>466</v>
      </c>
      <c r="K386" s="151">
        <v>59.28</v>
      </c>
      <c r="L386">
        <f>Table13[[#This Row],[Price]]*Table13[[#This Row],[Units]]</f>
        <v>2964</v>
      </c>
    </row>
    <row r="387" spans="1:12" x14ac:dyDescent="0.35">
      <c r="A387" s="145">
        <v>45630</v>
      </c>
      <c r="B387" s="146" t="s">
        <v>891</v>
      </c>
      <c r="C387" s="147" t="s">
        <v>464</v>
      </c>
      <c r="D387" s="147" t="s">
        <v>470</v>
      </c>
      <c r="E387" s="147" t="s">
        <v>324</v>
      </c>
      <c r="F387" s="147" t="s">
        <v>491</v>
      </c>
      <c r="G387" s="147">
        <v>34</v>
      </c>
      <c r="H387" s="148">
        <v>36</v>
      </c>
      <c r="I387" s="149">
        <f t="shared" ref="I387:I450" si="6">G387*H387</f>
        <v>1224</v>
      </c>
      <c r="J387" s="150" t="s">
        <v>472</v>
      </c>
      <c r="K387" s="151">
        <v>36.72</v>
      </c>
      <c r="L387">
        <f>Table13[[#This Row],[Price]]*Table13[[#This Row],[Units]]</f>
        <v>1224</v>
      </c>
    </row>
    <row r="388" spans="1:12" x14ac:dyDescent="0.35">
      <c r="A388" s="145">
        <v>45630</v>
      </c>
      <c r="B388" s="146" t="s">
        <v>892</v>
      </c>
      <c r="C388" s="147" t="s">
        <v>322</v>
      </c>
      <c r="D388" s="147" t="s">
        <v>477</v>
      </c>
      <c r="E388" s="147" t="s">
        <v>483</v>
      </c>
      <c r="F388" s="147" t="s">
        <v>517</v>
      </c>
      <c r="G388" s="147">
        <v>38</v>
      </c>
      <c r="H388" s="148">
        <v>28</v>
      </c>
      <c r="I388" s="149">
        <f t="shared" si="6"/>
        <v>1064</v>
      </c>
      <c r="J388" s="150" t="s">
        <v>466</v>
      </c>
      <c r="K388" s="151">
        <v>24.472000000000001</v>
      </c>
      <c r="L388">
        <f>Table13[[#This Row],[Price]]*Table13[[#This Row],[Units]]</f>
        <v>1064</v>
      </c>
    </row>
    <row r="389" spans="1:12" x14ac:dyDescent="0.35">
      <c r="A389" s="145">
        <v>45630</v>
      </c>
      <c r="B389" s="146" t="s">
        <v>893</v>
      </c>
      <c r="C389" s="147" t="s">
        <v>501</v>
      </c>
      <c r="D389" s="147" t="s">
        <v>512</v>
      </c>
      <c r="E389" s="147" t="s">
        <v>320</v>
      </c>
      <c r="F389" s="147" t="s">
        <v>567</v>
      </c>
      <c r="G389" s="147">
        <v>29</v>
      </c>
      <c r="H389" s="148">
        <v>57</v>
      </c>
      <c r="I389" s="149">
        <f t="shared" si="6"/>
        <v>1653</v>
      </c>
      <c r="J389" s="150" t="s">
        <v>466</v>
      </c>
      <c r="K389" s="151">
        <v>47.936999999999998</v>
      </c>
      <c r="L389">
        <f>Table13[[#This Row],[Price]]*Table13[[#This Row],[Units]]</f>
        <v>1653</v>
      </c>
    </row>
    <row r="390" spans="1:12" x14ac:dyDescent="0.35">
      <c r="A390" s="145">
        <v>45630</v>
      </c>
      <c r="B390" s="146" t="s">
        <v>894</v>
      </c>
      <c r="C390" s="147" t="s">
        <v>492</v>
      </c>
      <c r="D390" s="147" t="s">
        <v>470</v>
      </c>
      <c r="E390" s="147" t="s">
        <v>315</v>
      </c>
      <c r="F390" s="147" t="s">
        <v>454</v>
      </c>
      <c r="G390" s="147">
        <v>19</v>
      </c>
      <c r="H390" s="148">
        <v>29</v>
      </c>
      <c r="I390" s="149">
        <f t="shared" si="6"/>
        <v>551</v>
      </c>
      <c r="J390" s="150" t="s">
        <v>466</v>
      </c>
      <c r="K390" s="151">
        <v>13.775</v>
      </c>
      <c r="L390">
        <f>Table13[[#This Row],[Price]]*Table13[[#This Row],[Units]]</f>
        <v>551</v>
      </c>
    </row>
    <row r="391" spans="1:12" x14ac:dyDescent="0.35">
      <c r="A391" s="145">
        <v>45630</v>
      </c>
      <c r="B391" s="146" t="s">
        <v>895</v>
      </c>
      <c r="C391" s="147" t="s">
        <v>494</v>
      </c>
      <c r="D391" s="147" t="s">
        <v>465</v>
      </c>
      <c r="E391" s="147" t="s">
        <v>324</v>
      </c>
      <c r="F391" s="147" t="s">
        <v>471</v>
      </c>
      <c r="G391" s="147">
        <v>30</v>
      </c>
      <c r="H391" s="148">
        <v>45</v>
      </c>
      <c r="I391" s="149">
        <f t="shared" si="6"/>
        <v>1350</v>
      </c>
      <c r="J391" s="150" t="s">
        <v>515</v>
      </c>
      <c r="K391" s="151">
        <v>36.450000000000003</v>
      </c>
      <c r="L391">
        <f>Table13[[#This Row],[Price]]*Table13[[#This Row],[Units]]</f>
        <v>1350</v>
      </c>
    </row>
    <row r="392" spans="1:12" x14ac:dyDescent="0.35">
      <c r="A392" s="145">
        <v>45630</v>
      </c>
      <c r="B392" s="146" t="s">
        <v>896</v>
      </c>
      <c r="C392" s="147" t="s">
        <v>322</v>
      </c>
      <c r="D392" s="147" t="s">
        <v>465</v>
      </c>
      <c r="E392" s="147" t="s">
        <v>412</v>
      </c>
      <c r="F392" s="147" t="s">
        <v>454</v>
      </c>
      <c r="G392" s="147">
        <v>46</v>
      </c>
      <c r="H392" s="148">
        <v>21</v>
      </c>
      <c r="I392" s="149">
        <f t="shared" si="6"/>
        <v>966</v>
      </c>
      <c r="J392" s="150" t="s">
        <v>472</v>
      </c>
      <c r="K392" s="151">
        <v>19.32</v>
      </c>
      <c r="L392">
        <f>Table13[[#This Row],[Price]]*Table13[[#This Row],[Units]]</f>
        <v>966</v>
      </c>
    </row>
    <row r="393" spans="1:12" x14ac:dyDescent="0.35">
      <c r="A393" s="145">
        <v>45631</v>
      </c>
      <c r="B393" s="146" t="s">
        <v>897</v>
      </c>
      <c r="C393" s="147" t="s">
        <v>489</v>
      </c>
      <c r="D393" s="147" t="s">
        <v>477</v>
      </c>
      <c r="E393" s="147" t="s">
        <v>324</v>
      </c>
      <c r="F393" s="147" t="s">
        <v>536</v>
      </c>
      <c r="G393" s="147">
        <v>33</v>
      </c>
      <c r="H393" s="148">
        <v>57</v>
      </c>
      <c r="I393" s="149">
        <f t="shared" si="6"/>
        <v>1881</v>
      </c>
      <c r="J393" s="150" t="s">
        <v>466</v>
      </c>
      <c r="K393" s="151">
        <v>37.619999999999997</v>
      </c>
      <c r="L393">
        <f>Table13[[#This Row],[Price]]*Table13[[#This Row],[Units]]</f>
        <v>1881</v>
      </c>
    </row>
    <row r="394" spans="1:12" x14ac:dyDescent="0.35">
      <c r="A394" s="145">
        <v>45631</v>
      </c>
      <c r="B394" s="146" t="s">
        <v>898</v>
      </c>
      <c r="C394" s="147" t="s">
        <v>484</v>
      </c>
      <c r="D394" s="147" t="s">
        <v>470</v>
      </c>
      <c r="E394" s="147" t="s">
        <v>483</v>
      </c>
      <c r="F394" s="147" t="s">
        <v>513</v>
      </c>
      <c r="G394" s="147">
        <v>25</v>
      </c>
      <c r="H394" s="148">
        <v>25</v>
      </c>
      <c r="I394" s="149">
        <f t="shared" si="6"/>
        <v>625</v>
      </c>
      <c r="J394" s="150" t="s">
        <v>466</v>
      </c>
      <c r="K394" s="151">
        <v>14.375</v>
      </c>
      <c r="L394">
        <f>Table13[[#This Row],[Price]]*Table13[[#This Row],[Units]]</f>
        <v>625</v>
      </c>
    </row>
    <row r="395" spans="1:12" x14ac:dyDescent="0.35">
      <c r="A395" s="145">
        <v>45631</v>
      </c>
      <c r="B395" s="146" t="s">
        <v>899</v>
      </c>
      <c r="C395" s="147" t="s">
        <v>476</v>
      </c>
      <c r="D395" s="147" t="s">
        <v>519</v>
      </c>
      <c r="E395" s="147" t="s">
        <v>320</v>
      </c>
      <c r="F395" s="147" t="s">
        <v>505</v>
      </c>
      <c r="G395" s="147">
        <v>28</v>
      </c>
      <c r="H395" s="148">
        <v>59</v>
      </c>
      <c r="I395" s="149">
        <f t="shared" si="6"/>
        <v>1652</v>
      </c>
      <c r="J395" s="150" t="s">
        <v>472</v>
      </c>
      <c r="K395" s="151">
        <v>46.256</v>
      </c>
      <c r="L395">
        <f>Table13[[#This Row],[Price]]*Table13[[#This Row],[Units]]</f>
        <v>1652</v>
      </c>
    </row>
    <row r="396" spans="1:12" x14ac:dyDescent="0.35">
      <c r="A396" s="145">
        <v>45632</v>
      </c>
      <c r="B396" s="146" t="s">
        <v>900</v>
      </c>
      <c r="C396" s="147" t="s">
        <v>494</v>
      </c>
      <c r="D396" s="147" t="s">
        <v>512</v>
      </c>
      <c r="E396" s="147" t="s">
        <v>412</v>
      </c>
      <c r="F396" s="147" t="s">
        <v>471</v>
      </c>
      <c r="G396" s="147">
        <v>40</v>
      </c>
      <c r="H396" s="148">
        <v>55</v>
      </c>
      <c r="I396" s="149">
        <f t="shared" si="6"/>
        <v>2200</v>
      </c>
      <c r="J396" s="150" t="s">
        <v>515</v>
      </c>
      <c r="K396" s="151">
        <v>63.8</v>
      </c>
      <c r="L396">
        <f>Table13[[#This Row],[Price]]*Table13[[#This Row],[Units]]</f>
        <v>2200</v>
      </c>
    </row>
    <row r="397" spans="1:12" x14ac:dyDescent="0.35">
      <c r="A397" s="145">
        <v>45632</v>
      </c>
      <c r="B397" s="146" t="s">
        <v>901</v>
      </c>
      <c r="C397" s="147" t="s">
        <v>322</v>
      </c>
      <c r="D397" s="147" t="s">
        <v>512</v>
      </c>
      <c r="E397" s="147" t="s">
        <v>333</v>
      </c>
      <c r="F397" s="147" t="s">
        <v>517</v>
      </c>
      <c r="G397" s="147">
        <v>11</v>
      </c>
      <c r="H397" s="148">
        <v>46</v>
      </c>
      <c r="I397" s="149">
        <f t="shared" si="6"/>
        <v>506</v>
      </c>
      <c r="J397" s="150" t="s">
        <v>515</v>
      </c>
      <c r="K397" s="151">
        <v>11.132</v>
      </c>
      <c r="L397">
        <f>Table13[[#This Row],[Price]]*Table13[[#This Row],[Units]]</f>
        <v>506</v>
      </c>
    </row>
    <row r="398" spans="1:12" x14ac:dyDescent="0.35">
      <c r="A398" s="145">
        <v>45632</v>
      </c>
      <c r="B398" s="146" t="s">
        <v>902</v>
      </c>
      <c r="C398" s="147" t="s">
        <v>492</v>
      </c>
      <c r="D398" s="147" t="s">
        <v>490</v>
      </c>
      <c r="E398" s="147" t="s">
        <v>333</v>
      </c>
      <c r="F398" s="147" t="s">
        <v>567</v>
      </c>
      <c r="G398" s="147">
        <v>21</v>
      </c>
      <c r="H398" s="148">
        <v>49</v>
      </c>
      <c r="I398" s="149">
        <f t="shared" si="6"/>
        <v>1029</v>
      </c>
      <c r="J398" s="150" t="s">
        <v>515</v>
      </c>
      <c r="K398" s="151">
        <v>29.841000000000001</v>
      </c>
      <c r="L398">
        <f>Table13[[#This Row],[Price]]*Table13[[#This Row],[Units]]</f>
        <v>1029</v>
      </c>
    </row>
    <row r="399" spans="1:12" x14ac:dyDescent="0.35">
      <c r="A399" s="145">
        <v>45632</v>
      </c>
      <c r="B399" s="146" t="s">
        <v>903</v>
      </c>
      <c r="C399" s="147" t="s">
        <v>464</v>
      </c>
      <c r="D399" s="147" t="s">
        <v>477</v>
      </c>
      <c r="E399" s="147" t="s">
        <v>390</v>
      </c>
      <c r="F399" s="147" t="s">
        <v>471</v>
      </c>
      <c r="G399" s="147">
        <v>12</v>
      </c>
      <c r="H399" s="148">
        <v>28</v>
      </c>
      <c r="I399" s="149">
        <f t="shared" si="6"/>
        <v>336</v>
      </c>
      <c r="J399" s="150" t="s">
        <v>472</v>
      </c>
      <c r="K399" s="151">
        <v>7.056</v>
      </c>
      <c r="L399">
        <f>Table13[[#This Row],[Price]]*Table13[[#This Row],[Units]]</f>
        <v>336</v>
      </c>
    </row>
    <row r="400" spans="1:12" x14ac:dyDescent="0.35">
      <c r="A400" s="145">
        <v>45632</v>
      </c>
      <c r="B400" s="146" t="s">
        <v>904</v>
      </c>
      <c r="C400" s="147" t="s">
        <v>484</v>
      </c>
      <c r="D400" s="147" t="s">
        <v>477</v>
      </c>
      <c r="E400" s="147" t="s">
        <v>390</v>
      </c>
      <c r="F400" s="147" t="s">
        <v>517</v>
      </c>
      <c r="G400" s="147">
        <v>11</v>
      </c>
      <c r="H400" s="148">
        <v>37</v>
      </c>
      <c r="I400" s="149">
        <f t="shared" si="6"/>
        <v>407</v>
      </c>
      <c r="J400" s="150" t="s">
        <v>466</v>
      </c>
      <c r="K400" s="151">
        <v>12.21</v>
      </c>
      <c r="L400">
        <f>Table13[[#This Row],[Price]]*Table13[[#This Row],[Units]]</f>
        <v>407</v>
      </c>
    </row>
    <row r="401" spans="1:12" x14ac:dyDescent="0.35">
      <c r="A401" s="145">
        <v>45632</v>
      </c>
      <c r="B401" s="146" t="s">
        <v>905</v>
      </c>
      <c r="C401" s="147" t="s">
        <v>501</v>
      </c>
      <c r="D401" s="147" t="s">
        <v>477</v>
      </c>
      <c r="E401" s="147" t="s">
        <v>333</v>
      </c>
      <c r="F401" s="147" t="s">
        <v>523</v>
      </c>
      <c r="G401" s="147">
        <v>51</v>
      </c>
      <c r="H401" s="148">
        <v>31</v>
      </c>
      <c r="I401" s="149">
        <f t="shared" si="6"/>
        <v>1581</v>
      </c>
      <c r="J401" s="150" t="s">
        <v>466</v>
      </c>
      <c r="K401" s="151">
        <v>42.686999999999998</v>
      </c>
      <c r="L401">
        <f>Table13[[#This Row],[Price]]*Table13[[#This Row],[Units]]</f>
        <v>1581</v>
      </c>
    </row>
    <row r="402" spans="1:12" x14ac:dyDescent="0.35">
      <c r="A402" s="145">
        <v>45633</v>
      </c>
      <c r="B402" s="146" t="s">
        <v>906</v>
      </c>
      <c r="C402" s="147" t="s">
        <v>322</v>
      </c>
      <c r="D402" s="147" t="s">
        <v>470</v>
      </c>
      <c r="E402" s="147" t="s">
        <v>483</v>
      </c>
      <c r="F402" s="147" t="s">
        <v>523</v>
      </c>
      <c r="G402" s="147">
        <v>35</v>
      </c>
      <c r="H402" s="148">
        <v>54</v>
      </c>
      <c r="I402" s="149">
        <f t="shared" si="6"/>
        <v>1890</v>
      </c>
      <c r="J402" s="150" t="s">
        <v>466</v>
      </c>
      <c r="K402" s="151">
        <v>47.25</v>
      </c>
      <c r="L402">
        <f>Table13[[#This Row],[Price]]*Table13[[#This Row],[Units]]</f>
        <v>1890</v>
      </c>
    </row>
    <row r="403" spans="1:12" x14ac:dyDescent="0.35">
      <c r="A403" s="145">
        <v>45633</v>
      </c>
      <c r="B403" s="146" t="s">
        <v>907</v>
      </c>
      <c r="C403" s="147" t="s">
        <v>489</v>
      </c>
      <c r="D403" s="147" t="s">
        <v>519</v>
      </c>
      <c r="E403" s="147" t="s">
        <v>333</v>
      </c>
      <c r="F403" s="147" t="s">
        <v>567</v>
      </c>
      <c r="G403" s="147">
        <v>34</v>
      </c>
      <c r="H403" s="148">
        <v>39</v>
      </c>
      <c r="I403" s="149">
        <f t="shared" si="6"/>
        <v>1326</v>
      </c>
      <c r="J403" s="150" t="s">
        <v>466</v>
      </c>
      <c r="K403" s="151">
        <v>29.172000000000001</v>
      </c>
      <c r="L403">
        <f>Table13[[#This Row],[Price]]*Table13[[#This Row],[Units]]</f>
        <v>1326</v>
      </c>
    </row>
    <row r="404" spans="1:12" x14ac:dyDescent="0.35">
      <c r="A404" s="145">
        <v>45633</v>
      </c>
      <c r="B404" s="146" t="s">
        <v>908</v>
      </c>
      <c r="C404" s="147" t="s">
        <v>492</v>
      </c>
      <c r="D404" s="147" t="s">
        <v>470</v>
      </c>
      <c r="E404" s="147" t="s">
        <v>315</v>
      </c>
      <c r="F404" s="147" t="s">
        <v>528</v>
      </c>
      <c r="G404" s="147">
        <v>18</v>
      </c>
      <c r="H404" s="148">
        <v>42</v>
      </c>
      <c r="I404" s="149">
        <f t="shared" si="6"/>
        <v>756</v>
      </c>
      <c r="J404" s="150" t="s">
        <v>466</v>
      </c>
      <c r="K404" s="151">
        <v>22.68</v>
      </c>
      <c r="L404">
        <f>Table13[[#This Row],[Price]]*Table13[[#This Row],[Units]]</f>
        <v>756</v>
      </c>
    </row>
    <row r="405" spans="1:12" x14ac:dyDescent="0.35">
      <c r="A405" s="145">
        <v>45634</v>
      </c>
      <c r="B405" s="146" t="s">
        <v>909</v>
      </c>
      <c r="C405" s="147" t="s">
        <v>484</v>
      </c>
      <c r="D405" s="147" t="s">
        <v>470</v>
      </c>
      <c r="E405" s="147" t="s">
        <v>412</v>
      </c>
      <c r="F405" s="147" t="s">
        <v>491</v>
      </c>
      <c r="G405" s="147">
        <v>35</v>
      </c>
      <c r="H405" s="148">
        <v>55</v>
      </c>
      <c r="I405" s="149">
        <f t="shared" si="6"/>
        <v>1925</v>
      </c>
      <c r="J405" s="150" t="s">
        <v>503</v>
      </c>
      <c r="K405" s="151">
        <v>51.975000000000001</v>
      </c>
      <c r="L405">
        <f>Table13[[#This Row],[Price]]*Table13[[#This Row],[Units]]</f>
        <v>1925</v>
      </c>
    </row>
    <row r="406" spans="1:12" x14ac:dyDescent="0.35">
      <c r="A406" s="145">
        <v>45635</v>
      </c>
      <c r="B406" s="146" t="s">
        <v>910</v>
      </c>
      <c r="C406" s="147" t="s">
        <v>501</v>
      </c>
      <c r="D406" s="147" t="s">
        <v>470</v>
      </c>
      <c r="E406" s="147" t="s">
        <v>320</v>
      </c>
      <c r="F406" s="147" t="s">
        <v>471</v>
      </c>
      <c r="G406" s="147">
        <v>27</v>
      </c>
      <c r="H406" s="148">
        <v>56</v>
      </c>
      <c r="I406" s="149">
        <f t="shared" si="6"/>
        <v>1512</v>
      </c>
      <c r="J406" s="150" t="s">
        <v>472</v>
      </c>
      <c r="K406" s="151">
        <v>31.751999999999999</v>
      </c>
      <c r="L406">
        <f>Table13[[#This Row],[Price]]*Table13[[#This Row],[Units]]</f>
        <v>1512</v>
      </c>
    </row>
    <row r="407" spans="1:12" x14ac:dyDescent="0.35">
      <c r="A407" s="145">
        <v>45635</v>
      </c>
      <c r="B407" s="146" t="s">
        <v>911</v>
      </c>
      <c r="C407" s="147" t="s">
        <v>476</v>
      </c>
      <c r="D407" s="147" t="s">
        <v>465</v>
      </c>
      <c r="E407" s="147" t="s">
        <v>390</v>
      </c>
      <c r="F407" s="147" t="s">
        <v>505</v>
      </c>
      <c r="G407" s="147">
        <v>24</v>
      </c>
      <c r="H407" s="148">
        <v>50</v>
      </c>
      <c r="I407" s="149">
        <f t="shared" si="6"/>
        <v>1200</v>
      </c>
      <c r="J407" s="150" t="s">
        <v>515</v>
      </c>
      <c r="K407" s="151">
        <v>33.6</v>
      </c>
      <c r="L407">
        <f>Table13[[#This Row],[Price]]*Table13[[#This Row],[Units]]</f>
        <v>1200</v>
      </c>
    </row>
    <row r="408" spans="1:12" x14ac:dyDescent="0.35">
      <c r="A408" s="145">
        <v>45635</v>
      </c>
      <c r="B408" s="146" t="s">
        <v>912</v>
      </c>
      <c r="C408" s="147" t="s">
        <v>501</v>
      </c>
      <c r="D408" s="147" t="s">
        <v>470</v>
      </c>
      <c r="E408" s="147" t="s">
        <v>483</v>
      </c>
      <c r="F408" s="147" t="s">
        <v>510</v>
      </c>
      <c r="G408" s="147">
        <v>50</v>
      </c>
      <c r="H408" s="148">
        <v>35</v>
      </c>
      <c r="I408" s="149">
        <f t="shared" si="6"/>
        <v>1750</v>
      </c>
      <c r="J408" s="150" t="s">
        <v>472</v>
      </c>
      <c r="K408" s="151">
        <v>47.25</v>
      </c>
      <c r="L408">
        <f>Table13[[#This Row],[Price]]*Table13[[#This Row],[Units]]</f>
        <v>1750</v>
      </c>
    </row>
    <row r="409" spans="1:12" x14ac:dyDescent="0.35">
      <c r="A409" s="145">
        <v>45635</v>
      </c>
      <c r="B409" s="146" t="s">
        <v>913</v>
      </c>
      <c r="C409" s="147" t="s">
        <v>492</v>
      </c>
      <c r="D409" s="147" t="s">
        <v>477</v>
      </c>
      <c r="E409" s="147" t="s">
        <v>320</v>
      </c>
      <c r="F409" s="147" t="s">
        <v>478</v>
      </c>
      <c r="G409" s="147">
        <v>57</v>
      </c>
      <c r="H409" s="148">
        <v>30</v>
      </c>
      <c r="I409" s="149">
        <f t="shared" si="6"/>
        <v>1710</v>
      </c>
      <c r="J409" s="150" t="s">
        <v>515</v>
      </c>
      <c r="K409" s="151">
        <v>35.909999999999997</v>
      </c>
      <c r="L409">
        <f>Table13[[#This Row],[Price]]*Table13[[#This Row],[Units]]</f>
        <v>1710</v>
      </c>
    </row>
    <row r="410" spans="1:12" x14ac:dyDescent="0.35">
      <c r="A410" s="145">
        <v>45635</v>
      </c>
      <c r="B410" s="146" t="s">
        <v>914</v>
      </c>
      <c r="C410" s="147" t="s">
        <v>322</v>
      </c>
      <c r="D410" s="147" t="s">
        <v>486</v>
      </c>
      <c r="E410" s="147" t="s">
        <v>483</v>
      </c>
      <c r="F410" s="147" t="s">
        <v>491</v>
      </c>
      <c r="G410" s="147">
        <v>12</v>
      </c>
      <c r="H410" s="148">
        <v>40</v>
      </c>
      <c r="I410" s="149">
        <f t="shared" si="6"/>
        <v>480</v>
      </c>
      <c r="J410" s="150" t="s">
        <v>472</v>
      </c>
      <c r="K410" s="151">
        <v>10.56</v>
      </c>
      <c r="L410">
        <f>Table13[[#This Row],[Price]]*Table13[[#This Row],[Units]]</f>
        <v>480</v>
      </c>
    </row>
    <row r="411" spans="1:12" x14ac:dyDescent="0.35">
      <c r="A411" s="145">
        <v>45635</v>
      </c>
      <c r="B411" s="146" t="s">
        <v>915</v>
      </c>
      <c r="C411" s="147" t="s">
        <v>464</v>
      </c>
      <c r="D411" s="147" t="s">
        <v>512</v>
      </c>
      <c r="E411" s="147" t="s">
        <v>315</v>
      </c>
      <c r="F411" s="147" t="s">
        <v>454</v>
      </c>
      <c r="G411" s="147">
        <v>34</v>
      </c>
      <c r="H411" s="148">
        <v>25</v>
      </c>
      <c r="I411" s="149">
        <f t="shared" si="6"/>
        <v>850</v>
      </c>
      <c r="J411" s="150" t="s">
        <v>515</v>
      </c>
      <c r="K411" s="151">
        <v>18.7</v>
      </c>
      <c r="L411">
        <f>Table13[[#This Row],[Price]]*Table13[[#This Row],[Units]]</f>
        <v>850</v>
      </c>
    </row>
    <row r="412" spans="1:12" x14ac:dyDescent="0.35">
      <c r="A412" s="145">
        <v>45635</v>
      </c>
      <c r="B412" s="146" t="s">
        <v>916</v>
      </c>
      <c r="C412" s="147" t="s">
        <v>322</v>
      </c>
      <c r="D412" s="147" t="s">
        <v>470</v>
      </c>
      <c r="E412" s="147" t="s">
        <v>315</v>
      </c>
      <c r="F412" s="147" t="s">
        <v>487</v>
      </c>
      <c r="G412" s="147">
        <v>12</v>
      </c>
      <c r="H412" s="148">
        <v>55</v>
      </c>
      <c r="I412" s="149">
        <f t="shared" si="6"/>
        <v>660</v>
      </c>
      <c r="J412" s="150" t="s">
        <v>466</v>
      </c>
      <c r="K412" s="151">
        <v>18.48</v>
      </c>
      <c r="L412">
        <f>Table13[[#This Row],[Price]]*Table13[[#This Row],[Units]]</f>
        <v>660</v>
      </c>
    </row>
    <row r="413" spans="1:12" x14ac:dyDescent="0.35">
      <c r="A413" s="145">
        <v>45635</v>
      </c>
      <c r="B413" s="146" t="s">
        <v>917</v>
      </c>
      <c r="C413" s="147" t="s">
        <v>501</v>
      </c>
      <c r="D413" s="147" t="s">
        <v>465</v>
      </c>
      <c r="E413" s="147" t="s">
        <v>315</v>
      </c>
      <c r="F413" s="147" t="s">
        <v>523</v>
      </c>
      <c r="G413" s="147">
        <v>46</v>
      </c>
      <c r="H413" s="148">
        <v>55</v>
      </c>
      <c r="I413" s="149">
        <f t="shared" si="6"/>
        <v>2530</v>
      </c>
      <c r="J413" s="150" t="s">
        <v>503</v>
      </c>
      <c r="K413" s="151">
        <v>55.66</v>
      </c>
      <c r="L413">
        <f>Table13[[#This Row],[Price]]*Table13[[#This Row],[Units]]</f>
        <v>2530</v>
      </c>
    </row>
    <row r="414" spans="1:12" x14ac:dyDescent="0.35">
      <c r="A414" s="145">
        <v>45635</v>
      </c>
      <c r="B414" s="146" t="s">
        <v>918</v>
      </c>
      <c r="C414" s="147" t="s">
        <v>322</v>
      </c>
      <c r="D414" s="147" t="s">
        <v>477</v>
      </c>
      <c r="E414" s="147" t="s">
        <v>390</v>
      </c>
      <c r="F414" s="147" t="s">
        <v>539</v>
      </c>
      <c r="G414" s="147">
        <v>40</v>
      </c>
      <c r="H414" s="148">
        <v>40</v>
      </c>
      <c r="I414" s="149">
        <f t="shared" si="6"/>
        <v>1600</v>
      </c>
      <c r="J414" s="150" t="s">
        <v>466</v>
      </c>
      <c r="K414" s="151">
        <v>44.8</v>
      </c>
      <c r="L414">
        <f>Table13[[#This Row],[Price]]*Table13[[#This Row],[Units]]</f>
        <v>1600</v>
      </c>
    </row>
    <row r="415" spans="1:12" x14ac:dyDescent="0.35">
      <c r="A415" s="145">
        <v>45635</v>
      </c>
      <c r="B415" s="146" t="s">
        <v>919</v>
      </c>
      <c r="C415" s="147" t="s">
        <v>464</v>
      </c>
      <c r="D415" s="147" t="s">
        <v>512</v>
      </c>
      <c r="E415" s="147" t="s">
        <v>320</v>
      </c>
      <c r="F415" s="147" t="s">
        <v>528</v>
      </c>
      <c r="G415" s="147">
        <v>34</v>
      </c>
      <c r="H415" s="148">
        <v>40</v>
      </c>
      <c r="I415" s="149">
        <f t="shared" si="6"/>
        <v>1360</v>
      </c>
      <c r="J415" s="150" t="s">
        <v>466</v>
      </c>
      <c r="K415" s="151">
        <v>36.72</v>
      </c>
      <c r="L415">
        <f>Table13[[#This Row],[Price]]*Table13[[#This Row],[Units]]</f>
        <v>1360</v>
      </c>
    </row>
    <row r="416" spans="1:12" x14ac:dyDescent="0.35">
      <c r="A416" s="145">
        <v>45635</v>
      </c>
      <c r="B416" s="146" t="s">
        <v>920</v>
      </c>
      <c r="C416" s="147" t="s">
        <v>494</v>
      </c>
      <c r="D416" s="147" t="s">
        <v>470</v>
      </c>
      <c r="E416" s="147" t="s">
        <v>320</v>
      </c>
      <c r="F416" s="147" t="s">
        <v>539</v>
      </c>
      <c r="G416" s="147">
        <v>11</v>
      </c>
      <c r="H416" s="148">
        <v>56</v>
      </c>
      <c r="I416" s="149">
        <f t="shared" si="6"/>
        <v>616</v>
      </c>
      <c r="J416" s="150" t="s">
        <v>466</v>
      </c>
      <c r="K416" s="151">
        <v>17.248000000000001</v>
      </c>
      <c r="L416">
        <f>Table13[[#This Row],[Price]]*Table13[[#This Row],[Units]]</f>
        <v>616</v>
      </c>
    </row>
    <row r="417" spans="1:12" x14ac:dyDescent="0.35">
      <c r="A417" s="145">
        <v>45635</v>
      </c>
      <c r="B417" s="146" t="s">
        <v>921</v>
      </c>
      <c r="C417" s="147" t="s">
        <v>492</v>
      </c>
      <c r="D417" s="147" t="s">
        <v>477</v>
      </c>
      <c r="E417" s="147" t="s">
        <v>315</v>
      </c>
      <c r="F417" s="147" t="s">
        <v>487</v>
      </c>
      <c r="G417" s="147">
        <v>56</v>
      </c>
      <c r="H417" s="148">
        <v>30</v>
      </c>
      <c r="I417" s="149">
        <f t="shared" si="6"/>
        <v>1680</v>
      </c>
      <c r="J417" s="150" t="s">
        <v>472</v>
      </c>
      <c r="K417" s="151">
        <v>40.32</v>
      </c>
      <c r="L417">
        <f>Table13[[#This Row],[Price]]*Table13[[#This Row],[Units]]</f>
        <v>1680</v>
      </c>
    </row>
    <row r="418" spans="1:12" x14ac:dyDescent="0.35">
      <c r="A418" s="145">
        <v>45635</v>
      </c>
      <c r="B418" s="146" t="s">
        <v>922</v>
      </c>
      <c r="C418" s="147" t="s">
        <v>484</v>
      </c>
      <c r="D418" s="147" t="s">
        <v>465</v>
      </c>
      <c r="E418" s="147" t="s">
        <v>315</v>
      </c>
      <c r="F418" s="147" t="s">
        <v>539</v>
      </c>
      <c r="G418" s="147">
        <v>28</v>
      </c>
      <c r="H418" s="148">
        <v>38</v>
      </c>
      <c r="I418" s="149">
        <f t="shared" si="6"/>
        <v>1064</v>
      </c>
      <c r="J418" s="150" t="s">
        <v>466</v>
      </c>
      <c r="K418" s="151">
        <v>22.344000000000001</v>
      </c>
      <c r="L418">
        <f>Table13[[#This Row],[Price]]*Table13[[#This Row],[Units]]</f>
        <v>1064</v>
      </c>
    </row>
    <row r="419" spans="1:12" x14ac:dyDescent="0.35">
      <c r="A419" s="145">
        <v>45635</v>
      </c>
      <c r="B419" s="146" t="s">
        <v>923</v>
      </c>
      <c r="C419" s="147" t="s">
        <v>489</v>
      </c>
      <c r="D419" s="147" t="s">
        <v>465</v>
      </c>
      <c r="E419" s="147" t="s">
        <v>324</v>
      </c>
      <c r="F419" s="147" t="s">
        <v>471</v>
      </c>
      <c r="G419" s="147">
        <v>24</v>
      </c>
      <c r="H419" s="148">
        <v>39</v>
      </c>
      <c r="I419" s="149">
        <f t="shared" si="6"/>
        <v>936</v>
      </c>
      <c r="J419" s="150" t="s">
        <v>466</v>
      </c>
      <c r="K419" s="151">
        <v>28.08</v>
      </c>
      <c r="L419">
        <f>Table13[[#This Row],[Price]]*Table13[[#This Row],[Units]]</f>
        <v>936</v>
      </c>
    </row>
    <row r="420" spans="1:12" x14ac:dyDescent="0.35">
      <c r="A420" s="145">
        <v>45635</v>
      </c>
      <c r="B420" s="146" t="s">
        <v>924</v>
      </c>
      <c r="C420" s="147" t="s">
        <v>476</v>
      </c>
      <c r="D420" s="147" t="s">
        <v>477</v>
      </c>
      <c r="E420" s="147" t="s">
        <v>315</v>
      </c>
      <c r="F420" s="147" t="s">
        <v>539</v>
      </c>
      <c r="G420" s="147">
        <v>44</v>
      </c>
      <c r="H420" s="148">
        <v>21</v>
      </c>
      <c r="I420" s="149">
        <f t="shared" si="6"/>
        <v>924</v>
      </c>
      <c r="J420" s="150" t="s">
        <v>515</v>
      </c>
      <c r="K420" s="151">
        <v>22.175999999999998</v>
      </c>
      <c r="L420">
        <f>Table13[[#This Row],[Price]]*Table13[[#This Row],[Units]]</f>
        <v>924</v>
      </c>
    </row>
    <row r="421" spans="1:12" x14ac:dyDescent="0.35">
      <c r="A421" s="145">
        <v>45635</v>
      </c>
      <c r="B421" s="146" t="s">
        <v>925</v>
      </c>
      <c r="C421" s="147" t="s">
        <v>489</v>
      </c>
      <c r="D421" s="147" t="s">
        <v>477</v>
      </c>
      <c r="E421" s="147" t="s">
        <v>320</v>
      </c>
      <c r="F421" s="147" t="s">
        <v>454</v>
      </c>
      <c r="G421" s="147">
        <v>47</v>
      </c>
      <c r="H421" s="148">
        <v>49</v>
      </c>
      <c r="I421" s="149">
        <f t="shared" si="6"/>
        <v>2303</v>
      </c>
      <c r="J421" s="150" t="s">
        <v>472</v>
      </c>
      <c r="K421" s="151">
        <v>59.878</v>
      </c>
      <c r="L421">
        <f>Table13[[#This Row],[Price]]*Table13[[#This Row],[Units]]</f>
        <v>2303</v>
      </c>
    </row>
    <row r="422" spans="1:12" x14ac:dyDescent="0.35">
      <c r="A422" s="145">
        <v>45635</v>
      </c>
      <c r="B422" s="146" t="s">
        <v>926</v>
      </c>
      <c r="C422" s="147" t="s">
        <v>464</v>
      </c>
      <c r="D422" s="147" t="s">
        <v>490</v>
      </c>
      <c r="E422" s="147" t="s">
        <v>390</v>
      </c>
      <c r="F422" s="147" t="s">
        <v>491</v>
      </c>
      <c r="G422" s="147">
        <v>42</v>
      </c>
      <c r="H422" s="148">
        <v>58</v>
      </c>
      <c r="I422" s="149">
        <f t="shared" si="6"/>
        <v>2436</v>
      </c>
      <c r="J422" s="150" t="s">
        <v>515</v>
      </c>
      <c r="K422" s="151">
        <v>63.335999999999999</v>
      </c>
      <c r="L422">
        <f>Table13[[#This Row],[Price]]*Table13[[#This Row],[Units]]</f>
        <v>2436</v>
      </c>
    </row>
    <row r="423" spans="1:12" x14ac:dyDescent="0.35">
      <c r="A423" s="145">
        <v>45635</v>
      </c>
      <c r="B423" s="146" t="s">
        <v>927</v>
      </c>
      <c r="C423" s="147" t="s">
        <v>501</v>
      </c>
      <c r="D423" s="147" t="s">
        <v>470</v>
      </c>
      <c r="E423" s="147" t="s">
        <v>483</v>
      </c>
      <c r="F423" s="147" t="s">
        <v>454</v>
      </c>
      <c r="G423" s="147">
        <v>53</v>
      </c>
      <c r="H423" s="148">
        <v>57</v>
      </c>
      <c r="I423" s="149">
        <f t="shared" si="6"/>
        <v>3021</v>
      </c>
      <c r="J423" s="150" t="s">
        <v>466</v>
      </c>
      <c r="K423" s="151">
        <v>75.525000000000006</v>
      </c>
      <c r="L423">
        <f>Table13[[#This Row],[Price]]*Table13[[#This Row],[Units]]</f>
        <v>3021</v>
      </c>
    </row>
    <row r="424" spans="1:12" x14ac:dyDescent="0.35">
      <c r="A424" s="145">
        <v>45635</v>
      </c>
      <c r="B424" s="146" t="s">
        <v>928</v>
      </c>
      <c r="C424" s="147" t="s">
        <v>501</v>
      </c>
      <c r="D424" s="147" t="s">
        <v>470</v>
      </c>
      <c r="E424" s="147" t="s">
        <v>320</v>
      </c>
      <c r="F424" s="147" t="s">
        <v>513</v>
      </c>
      <c r="G424" s="147">
        <v>56</v>
      </c>
      <c r="H424" s="148">
        <v>57</v>
      </c>
      <c r="I424" s="149">
        <f t="shared" si="6"/>
        <v>3192</v>
      </c>
      <c r="J424" s="150" t="s">
        <v>466</v>
      </c>
      <c r="K424" s="151">
        <v>86.183999999999997</v>
      </c>
      <c r="L424">
        <f>Table13[[#This Row],[Price]]*Table13[[#This Row],[Units]]</f>
        <v>3192</v>
      </c>
    </row>
    <row r="425" spans="1:12" x14ac:dyDescent="0.35">
      <c r="A425" s="145">
        <v>45635</v>
      </c>
      <c r="B425" s="146" t="s">
        <v>929</v>
      </c>
      <c r="C425" s="147" t="s">
        <v>469</v>
      </c>
      <c r="D425" s="147" t="s">
        <v>486</v>
      </c>
      <c r="E425" s="147" t="s">
        <v>390</v>
      </c>
      <c r="F425" s="147" t="s">
        <v>520</v>
      </c>
      <c r="G425" s="147">
        <v>46</v>
      </c>
      <c r="H425" s="148">
        <v>21</v>
      </c>
      <c r="I425" s="149">
        <f t="shared" si="6"/>
        <v>966</v>
      </c>
      <c r="J425" s="150" t="s">
        <v>515</v>
      </c>
      <c r="K425" s="151">
        <v>20.286000000000001</v>
      </c>
      <c r="L425">
        <f>Table13[[#This Row],[Price]]*Table13[[#This Row],[Units]]</f>
        <v>966</v>
      </c>
    </row>
    <row r="426" spans="1:12" x14ac:dyDescent="0.35">
      <c r="A426" s="145">
        <v>45635</v>
      </c>
      <c r="B426" s="146" t="s">
        <v>930</v>
      </c>
      <c r="C426" s="147" t="s">
        <v>469</v>
      </c>
      <c r="D426" s="147" t="s">
        <v>470</v>
      </c>
      <c r="E426" s="147" t="s">
        <v>320</v>
      </c>
      <c r="F426" s="147" t="s">
        <v>523</v>
      </c>
      <c r="G426" s="147">
        <v>12</v>
      </c>
      <c r="H426" s="148">
        <v>40</v>
      </c>
      <c r="I426" s="149">
        <f t="shared" si="6"/>
        <v>480</v>
      </c>
      <c r="J426" s="150" t="s">
        <v>466</v>
      </c>
      <c r="K426" s="151">
        <v>11.04</v>
      </c>
      <c r="L426">
        <f>Table13[[#This Row],[Price]]*Table13[[#This Row],[Units]]</f>
        <v>480</v>
      </c>
    </row>
    <row r="427" spans="1:12" x14ac:dyDescent="0.35">
      <c r="A427" s="145">
        <v>45635</v>
      </c>
      <c r="B427" s="146" t="s">
        <v>931</v>
      </c>
      <c r="C427" s="147" t="s">
        <v>484</v>
      </c>
      <c r="D427" s="147" t="s">
        <v>512</v>
      </c>
      <c r="E427" s="147" t="s">
        <v>324</v>
      </c>
      <c r="F427" s="147" t="s">
        <v>528</v>
      </c>
      <c r="G427" s="147">
        <v>45</v>
      </c>
      <c r="H427" s="148">
        <v>47</v>
      </c>
      <c r="I427" s="149">
        <f t="shared" si="6"/>
        <v>2115</v>
      </c>
      <c r="J427" s="150" t="s">
        <v>466</v>
      </c>
      <c r="K427" s="151">
        <v>52.875</v>
      </c>
      <c r="L427">
        <f>Table13[[#This Row],[Price]]*Table13[[#This Row],[Units]]</f>
        <v>2115</v>
      </c>
    </row>
    <row r="428" spans="1:12" x14ac:dyDescent="0.35">
      <c r="A428" s="145">
        <v>45635</v>
      </c>
      <c r="B428" s="146" t="s">
        <v>932</v>
      </c>
      <c r="C428" s="147" t="s">
        <v>484</v>
      </c>
      <c r="D428" s="147" t="s">
        <v>470</v>
      </c>
      <c r="E428" s="147" t="s">
        <v>483</v>
      </c>
      <c r="F428" s="147" t="s">
        <v>487</v>
      </c>
      <c r="G428" s="147">
        <v>58</v>
      </c>
      <c r="H428" s="148">
        <v>39</v>
      </c>
      <c r="I428" s="149">
        <f t="shared" si="6"/>
        <v>2262</v>
      </c>
      <c r="J428" s="150" t="s">
        <v>466</v>
      </c>
      <c r="K428" s="151">
        <v>65.597999999999999</v>
      </c>
      <c r="L428">
        <f>Table13[[#This Row],[Price]]*Table13[[#This Row],[Units]]</f>
        <v>2262</v>
      </c>
    </row>
    <row r="429" spans="1:12" x14ac:dyDescent="0.35">
      <c r="A429" s="145">
        <v>45635</v>
      </c>
      <c r="B429" s="146" t="s">
        <v>933</v>
      </c>
      <c r="C429" s="147" t="s">
        <v>464</v>
      </c>
      <c r="D429" s="147" t="s">
        <v>477</v>
      </c>
      <c r="E429" s="147" t="s">
        <v>333</v>
      </c>
      <c r="F429" s="147" t="s">
        <v>517</v>
      </c>
      <c r="G429" s="147">
        <v>53</v>
      </c>
      <c r="H429" s="148">
        <v>53</v>
      </c>
      <c r="I429" s="149">
        <f t="shared" si="6"/>
        <v>2809</v>
      </c>
      <c r="J429" s="150" t="s">
        <v>466</v>
      </c>
      <c r="K429" s="151">
        <v>81.460999999999999</v>
      </c>
      <c r="L429">
        <f>Table13[[#This Row],[Price]]*Table13[[#This Row],[Units]]</f>
        <v>2809</v>
      </c>
    </row>
    <row r="430" spans="1:12" x14ac:dyDescent="0.35">
      <c r="A430" s="145">
        <v>45635</v>
      </c>
      <c r="B430" s="146" t="s">
        <v>934</v>
      </c>
      <c r="C430" s="147" t="s">
        <v>494</v>
      </c>
      <c r="D430" s="147" t="s">
        <v>486</v>
      </c>
      <c r="E430" s="147" t="s">
        <v>315</v>
      </c>
      <c r="F430" s="147" t="s">
        <v>517</v>
      </c>
      <c r="G430" s="147">
        <v>56</v>
      </c>
      <c r="H430" s="148">
        <v>54</v>
      </c>
      <c r="I430" s="149">
        <f t="shared" si="6"/>
        <v>3024</v>
      </c>
      <c r="J430" s="150" t="s">
        <v>466</v>
      </c>
      <c r="K430" s="151">
        <v>72.575999999999993</v>
      </c>
      <c r="L430">
        <f>Table13[[#This Row],[Price]]*Table13[[#This Row],[Units]]</f>
        <v>3024</v>
      </c>
    </row>
    <row r="431" spans="1:12" x14ac:dyDescent="0.35">
      <c r="A431" s="145">
        <v>45635</v>
      </c>
      <c r="B431" s="146" t="s">
        <v>935</v>
      </c>
      <c r="C431" s="147" t="s">
        <v>322</v>
      </c>
      <c r="D431" s="147" t="s">
        <v>477</v>
      </c>
      <c r="E431" s="147" t="s">
        <v>333</v>
      </c>
      <c r="F431" s="147" t="s">
        <v>454</v>
      </c>
      <c r="G431" s="147">
        <v>56</v>
      </c>
      <c r="H431" s="148">
        <v>21</v>
      </c>
      <c r="I431" s="149">
        <f t="shared" si="6"/>
        <v>1176</v>
      </c>
      <c r="J431" s="150" t="s">
        <v>466</v>
      </c>
      <c r="K431" s="151">
        <v>23.52</v>
      </c>
      <c r="L431">
        <f>Table13[[#This Row],[Price]]*Table13[[#This Row],[Units]]</f>
        <v>1176</v>
      </c>
    </row>
    <row r="432" spans="1:12" x14ac:dyDescent="0.35">
      <c r="A432" s="145">
        <v>45635</v>
      </c>
      <c r="B432" s="146" t="s">
        <v>936</v>
      </c>
      <c r="C432" s="147" t="s">
        <v>464</v>
      </c>
      <c r="D432" s="147" t="s">
        <v>519</v>
      </c>
      <c r="E432" s="147" t="s">
        <v>320</v>
      </c>
      <c r="F432" s="147" t="s">
        <v>497</v>
      </c>
      <c r="G432" s="147">
        <v>47</v>
      </c>
      <c r="H432" s="148">
        <v>57</v>
      </c>
      <c r="I432" s="149">
        <f t="shared" si="6"/>
        <v>2679</v>
      </c>
      <c r="J432" s="150" t="s">
        <v>503</v>
      </c>
      <c r="K432" s="151">
        <v>80.37</v>
      </c>
      <c r="L432">
        <f>Table13[[#This Row],[Price]]*Table13[[#This Row],[Units]]</f>
        <v>2679</v>
      </c>
    </row>
    <row r="433" spans="1:12" x14ac:dyDescent="0.35">
      <c r="A433" s="145">
        <v>45635</v>
      </c>
      <c r="B433" s="146" t="s">
        <v>937</v>
      </c>
      <c r="C433" s="147" t="s">
        <v>494</v>
      </c>
      <c r="D433" s="147" t="s">
        <v>519</v>
      </c>
      <c r="E433" s="147" t="s">
        <v>333</v>
      </c>
      <c r="F433" s="147" t="s">
        <v>520</v>
      </c>
      <c r="G433" s="147">
        <v>57</v>
      </c>
      <c r="H433" s="148">
        <v>49</v>
      </c>
      <c r="I433" s="149">
        <f t="shared" si="6"/>
        <v>2793</v>
      </c>
      <c r="J433" s="150" t="s">
        <v>503</v>
      </c>
      <c r="K433" s="151">
        <v>83.79</v>
      </c>
      <c r="L433">
        <f>Table13[[#This Row],[Price]]*Table13[[#This Row],[Units]]</f>
        <v>2793</v>
      </c>
    </row>
    <row r="434" spans="1:12" x14ac:dyDescent="0.35">
      <c r="A434" s="145">
        <v>45635</v>
      </c>
      <c r="B434" s="146" t="s">
        <v>938</v>
      </c>
      <c r="C434" s="147" t="s">
        <v>322</v>
      </c>
      <c r="D434" s="147" t="s">
        <v>486</v>
      </c>
      <c r="E434" s="147" t="s">
        <v>483</v>
      </c>
      <c r="F434" s="147" t="s">
        <v>497</v>
      </c>
      <c r="G434" s="147">
        <v>59</v>
      </c>
      <c r="H434" s="148">
        <v>41</v>
      </c>
      <c r="I434" s="149">
        <f t="shared" si="6"/>
        <v>2419</v>
      </c>
      <c r="J434" s="150" t="s">
        <v>466</v>
      </c>
      <c r="K434" s="151">
        <v>53.218000000000004</v>
      </c>
      <c r="L434">
        <f>Table13[[#This Row],[Price]]*Table13[[#This Row],[Units]]</f>
        <v>2419</v>
      </c>
    </row>
    <row r="435" spans="1:12" x14ac:dyDescent="0.35">
      <c r="A435" s="145">
        <v>45635</v>
      </c>
      <c r="B435" s="146" t="s">
        <v>939</v>
      </c>
      <c r="C435" s="147" t="s">
        <v>484</v>
      </c>
      <c r="D435" s="147" t="s">
        <v>490</v>
      </c>
      <c r="E435" s="147" t="s">
        <v>315</v>
      </c>
      <c r="F435" s="147" t="s">
        <v>471</v>
      </c>
      <c r="G435" s="147">
        <v>21</v>
      </c>
      <c r="H435" s="148">
        <v>25</v>
      </c>
      <c r="I435" s="149">
        <f t="shared" si="6"/>
        <v>525</v>
      </c>
      <c r="J435" s="150" t="s">
        <v>472</v>
      </c>
      <c r="K435" s="151">
        <v>15.75</v>
      </c>
      <c r="L435">
        <f>Table13[[#This Row],[Price]]*Table13[[#This Row],[Units]]</f>
        <v>525</v>
      </c>
    </row>
    <row r="436" spans="1:12" x14ac:dyDescent="0.35">
      <c r="A436" s="145">
        <v>45635</v>
      </c>
      <c r="B436" s="146" t="s">
        <v>940</v>
      </c>
      <c r="C436" s="147" t="s">
        <v>501</v>
      </c>
      <c r="D436" s="147" t="s">
        <v>519</v>
      </c>
      <c r="E436" s="147" t="s">
        <v>324</v>
      </c>
      <c r="F436" s="147" t="s">
        <v>520</v>
      </c>
      <c r="G436" s="147">
        <v>14</v>
      </c>
      <c r="H436" s="148">
        <v>36</v>
      </c>
      <c r="I436" s="149">
        <f t="shared" si="6"/>
        <v>504</v>
      </c>
      <c r="J436" s="150" t="s">
        <v>515</v>
      </c>
      <c r="K436" s="151">
        <v>14.616</v>
      </c>
      <c r="L436">
        <f>Table13[[#This Row],[Price]]*Table13[[#This Row],[Units]]</f>
        <v>504</v>
      </c>
    </row>
    <row r="437" spans="1:12" x14ac:dyDescent="0.35">
      <c r="A437" s="145">
        <v>45635</v>
      </c>
      <c r="B437" s="146" t="s">
        <v>941</v>
      </c>
      <c r="C437" s="147" t="s">
        <v>464</v>
      </c>
      <c r="D437" s="147" t="s">
        <v>470</v>
      </c>
      <c r="E437" s="147" t="s">
        <v>333</v>
      </c>
      <c r="F437" s="147" t="s">
        <v>491</v>
      </c>
      <c r="G437" s="147">
        <v>11</v>
      </c>
      <c r="H437" s="148">
        <v>20</v>
      </c>
      <c r="I437" s="149">
        <f t="shared" si="6"/>
        <v>220</v>
      </c>
      <c r="J437" s="150" t="s">
        <v>466</v>
      </c>
      <c r="K437" s="151">
        <v>5.28</v>
      </c>
      <c r="L437">
        <f>Table13[[#This Row],[Price]]*Table13[[#This Row],[Units]]</f>
        <v>220</v>
      </c>
    </row>
    <row r="438" spans="1:12" x14ac:dyDescent="0.35">
      <c r="A438" s="145">
        <v>45635</v>
      </c>
      <c r="B438" s="146" t="s">
        <v>942</v>
      </c>
      <c r="C438" s="147" t="s">
        <v>494</v>
      </c>
      <c r="D438" s="147" t="s">
        <v>477</v>
      </c>
      <c r="E438" s="147" t="s">
        <v>315</v>
      </c>
      <c r="F438" s="147" t="s">
        <v>520</v>
      </c>
      <c r="G438" s="147">
        <v>30</v>
      </c>
      <c r="H438" s="148">
        <v>51</v>
      </c>
      <c r="I438" s="149">
        <f t="shared" si="6"/>
        <v>1530</v>
      </c>
      <c r="J438" s="150" t="s">
        <v>472</v>
      </c>
      <c r="K438" s="151">
        <v>39.78</v>
      </c>
      <c r="L438">
        <f>Table13[[#This Row],[Price]]*Table13[[#This Row],[Units]]</f>
        <v>1530</v>
      </c>
    </row>
    <row r="439" spans="1:12" x14ac:dyDescent="0.35">
      <c r="A439" s="145">
        <v>45635</v>
      </c>
      <c r="B439" s="146" t="s">
        <v>943</v>
      </c>
      <c r="C439" s="147" t="s">
        <v>476</v>
      </c>
      <c r="D439" s="147" t="s">
        <v>519</v>
      </c>
      <c r="E439" s="147" t="s">
        <v>390</v>
      </c>
      <c r="F439" s="147" t="s">
        <v>497</v>
      </c>
      <c r="G439" s="147">
        <v>16</v>
      </c>
      <c r="H439" s="148">
        <v>60</v>
      </c>
      <c r="I439" s="149">
        <f t="shared" si="6"/>
        <v>960</v>
      </c>
      <c r="J439" s="150" t="s">
        <v>466</v>
      </c>
      <c r="K439" s="151">
        <v>28.8</v>
      </c>
      <c r="L439">
        <f>Table13[[#This Row],[Price]]*Table13[[#This Row],[Units]]</f>
        <v>960</v>
      </c>
    </row>
    <row r="440" spans="1:12" x14ac:dyDescent="0.35">
      <c r="A440" s="145">
        <v>45635</v>
      </c>
      <c r="B440" s="146" t="s">
        <v>944</v>
      </c>
      <c r="C440" s="147" t="s">
        <v>322</v>
      </c>
      <c r="D440" s="147" t="s">
        <v>486</v>
      </c>
      <c r="E440" s="147" t="s">
        <v>412</v>
      </c>
      <c r="F440" s="147" t="s">
        <v>505</v>
      </c>
      <c r="G440" s="147">
        <v>15</v>
      </c>
      <c r="H440" s="148">
        <v>35</v>
      </c>
      <c r="I440" s="149">
        <f t="shared" si="6"/>
        <v>525</v>
      </c>
      <c r="J440" s="150" t="s">
        <v>466</v>
      </c>
      <c r="K440" s="151">
        <v>13.65</v>
      </c>
      <c r="L440">
        <f>Table13[[#This Row],[Price]]*Table13[[#This Row],[Units]]</f>
        <v>525</v>
      </c>
    </row>
    <row r="441" spans="1:12" x14ac:dyDescent="0.35">
      <c r="A441" s="145">
        <v>45635</v>
      </c>
      <c r="B441" s="146" t="s">
        <v>945</v>
      </c>
      <c r="C441" s="147" t="s">
        <v>489</v>
      </c>
      <c r="D441" s="147" t="s">
        <v>490</v>
      </c>
      <c r="E441" s="147" t="s">
        <v>320</v>
      </c>
      <c r="F441" s="147" t="s">
        <v>491</v>
      </c>
      <c r="G441" s="147">
        <v>18</v>
      </c>
      <c r="H441" s="148">
        <v>57</v>
      </c>
      <c r="I441" s="149">
        <f t="shared" si="6"/>
        <v>1026</v>
      </c>
      <c r="J441" s="150" t="s">
        <v>466</v>
      </c>
      <c r="K441" s="151">
        <v>23.597999999999999</v>
      </c>
      <c r="L441">
        <f>Table13[[#This Row],[Price]]*Table13[[#This Row],[Units]]</f>
        <v>1026</v>
      </c>
    </row>
    <row r="442" spans="1:12" x14ac:dyDescent="0.35">
      <c r="A442" s="145">
        <v>45636</v>
      </c>
      <c r="B442" s="146" t="s">
        <v>946</v>
      </c>
      <c r="C442" s="147" t="s">
        <v>322</v>
      </c>
      <c r="D442" s="147" t="s">
        <v>477</v>
      </c>
      <c r="E442" s="147" t="s">
        <v>390</v>
      </c>
      <c r="F442" s="147" t="s">
        <v>478</v>
      </c>
      <c r="G442" s="147">
        <v>37</v>
      </c>
      <c r="H442" s="148">
        <v>57</v>
      </c>
      <c r="I442" s="149">
        <f t="shared" si="6"/>
        <v>2109</v>
      </c>
      <c r="J442" s="150" t="s">
        <v>515</v>
      </c>
      <c r="K442" s="151">
        <v>52.725000000000001</v>
      </c>
      <c r="L442">
        <f>Table13[[#This Row],[Price]]*Table13[[#This Row],[Units]]</f>
        <v>2109</v>
      </c>
    </row>
    <row r="443" spans="1:12" x14ac:dyDescent="0.35">
      <c r="A443" s="145">
        <v>45636</v>
      </c>
      <c r="B443" s="146" t="s">
        <v>947</v>
      </c>
      <c r="C443" s="147" t="s">
        <v>484</v>
      </c>
      <c r="D443" s="147" t="s">
        <v>477</v>
      </c>
      <c r="E443" s="147" t="s">
        <v>315</v>
      </c>
      <c r="F443" s="147" t="s">
        <v>471</v>
      </c>
      <c r="G443" s="147">
        <v>17</v>
      </c>
      <c r="H443" s="148">
        <v>43</v>
      </c>
      <c r="I443" s="149">
        <f t="shared" si="6"/>
        <v>731</v>
      </c>
      <c r="J443" s="150" t="s">
        <v>466</v>
      </c>
      <c r="K443" s="151">
        <v>16.082000000000001</v>
      </c>
      <c r="L443">
        <f>Table13[[#This Row],[Price]]*Table13[[#This Row],[Units]]</f>
        <v>731</v>
      </c>
    </row>
    <row r="444" spans="1:12" x14ac:dyDescent="0.35">
      <c r="A444" s="145">
        <v>45636</v>
      </c>
      <c r="B444" s="146" t="s">
        <v>948</v>
      </c>
      <c r="C444" s="147" t="s">
        <v>494</v>
      </c>
      <c r="D444" s="147" t="s">
        <v>512</v>
      </c>
      <c r="E444" s="147" t="s">
        <v>412</v>
      </c>
      <c r="F444" s="147" t="s">
        <v>491</v>
      </c>
      <c r="G444" s="147">
        <v>13</v>
      </c>
      <c r="H444" s="148">
        <v>33</v>
      </c>
      <c r="I444" s="149">
        <f t="shared" si="6"/>
        <v>429</v>
      </c>
      <c r="J444" s="150" t="s">
        <v>466</v>
      </c>
      <c r="K444" s="151">
        <v>9.8670000000000009</v>
      </c>
      <c r="L444">
        <f>Table13[[#This Row],[Price]]*Table13[[#This Row],[Units]]</f>
        <v>429</v>
      </c>
    </row>
    <row r="445" spans="1:12" x14ac:dyDescent="0.35">
      <c r="A445" s="145">
        <v>45637</v>
      </c>
      <c r="B445" s="146" t="s">
        <v>949</v>
      </c>
      <c r="C445" s="147" t="s">
        <v>322</v>
      </c>
      <c r="D445" s="147" t="s">
        <v>470</v>
      </c>
      <c r="E445" s="147" t="s">
        <v>320</v>
      </c>
      <c r="F445" s="147" t="s">
        <v>478</v>
      </c>
      <c r="G445" s="147">
        <v>33</v>
      </c>
      <c r="H445" s="148">
        <v>31</v>
      </c>
      <c r="I445" s="149">
        <f t="shared" si="6"/>
        <v>1023</v>
      </c>
      <c r="J445" s="150" t="s">
        <v>503</v>
      </c>
      <c r="K445" s="151">
        <v>29.667000000000002</v>
      </c>
      <c r="L445">
        <f>Table13[[#This Row],[Price]]*Table13[[#This Row],[Units]]</f>
        <v>1023</v>
      </c>
    </row>
    <row r="446" spans="1:12" x14ac:dyDescent="0.35">
      <c r="A446" s="145">
        <v>45637</v>
      </c>
      <c r="B446" s="146" t="s">
        <v>950</v>
      </c>
      <c r="C446" s="147" t="s">
        <v>464</v>
      </c>
      <c r="D446" s="147" t="s">
        <v>477</v>
      </c>
      <c r="E446" s="147" t="s">
        <v>320</v>
      </c>
      <c r="F446" s="147" t="s">
        <v>528</v>
      </c>
      <c r="G446" s="147">
        <v>44</v>
      </c>
      <c r="H446" s="148">
        <v>25</v>
      </c>
      <c r="I446" s="149">
        <f t="shared" si="6"/>
        <v>1100</v>
      </c>
      <c r="J446" s="150" t="s">
        <v>466</v>
      </c>
      <c r="K446" s="151">
        <v>23.1</v>
      </c>
      <c r="L446">
        <f>Table13[[#This Row],[Price]]*Table13[[#This Row],[Units]]</f>
        <v>1100</v>
      </c>
    </row>
    <row r="447" spans="1:12" x14ac:dyDescent="0.35">
      <c r="A447" s="145">
        <v>45637</v>
      </c>
      <c r="B447" s="146" t="s">
        <v>951</v>
      </c>
      <c r="C447" s="147" t="s">
        <v>322</v>
      </c>
      <c r="D447" s="147" t="s">
        <v>470</v>
      </c>
      <c r="E447" s="147" t="s">
        <v>483</v>
      </c>
      <c r="F447" s="147" t="s">
        <v>539</v>
      </c>
      <c r="G447" s="147">
        <v>42</v>
      </c>
      <c r="H447" s="148">
        <v>48</v>
      </c>
      <c r="I447" s="149">
        <f t="shared" si="6"/>
        <v>2016</v>
      </c>
      <c r="J447" s="150" t="s">
        <v>472</v>
      </c>
      <c r="K447" s="151">
        <v>54.432000000000002</v>
      </c>
      <c r="L447">
        <f>Table13[[#This Row],[Price]]*Table13[[#This Row],[Units]]</f>
        <v>2016</v>
      </c>
    </row>
    <row r="448" spans="1:12" x14ac:dyDescent="0.35">
      <c r="A448" s="145">
        <v>45637</v>
      </c>
      <c r="B448" s="146" t="s">
        <v>952</v>
      </c>
      <c r="C448" s="147" t="s">
        <v>476</v>
      </c>
      <c r="D448" s="147" t="s">
        <v>477</v>
      </c>
      <c r="E448" s="147" t="s">
        <v>390</v>
      </c>
      <c r="F448" s="147" t="s">
        <v>520</v>
      </c>
      <c r="G448" s="147">
        <v>43</v>
      </c>
      <c r="H448" s="148">
        <v>46</v>
      </c>
      <c r="I448" s="149">
        <f t="shared" si="6"/>
        <v>1978</v>
      </c>
      <c r="J448" s="150" t="s">
        <v>515</v>
      </c>
      <c r="K448" s="151">
        <v>55.384</v>
      </c>
      <c r="L448">
        <f>Table13[[#This Row],[Price]]*Table13[[#This Row],[Units]]</f>
        <v>1978</v>
      </c>
    </row>
    <row r="449" spans="1:12" x14ac:dyDescent="0.35">
      <c r="A449" s="145">
        <v>45637</v>
      </c>
      <c r="B449" s="146" t="s">
        <v>953</v>
      </c>
      <c r="C449" s="147" t="s">
        <v>464</v>
      </c>
      <c r="D449" s="147" t="s">
        <v>519</v>
      </c>
      <c r="E449" s="147" t="s">
        <v>390</v>
      </c>
      <c r="F449" s="147" t="s">
        <v>539</v>
      </c>
      <c r="G449" s="147">
        <v>29</v>
      </c>
      <c r="H449" s="148">
        <v>46</v>
      </c>
      <c r="I449" s="149">
        <f t="shared" si="6"/>
        <v>1334</v>
      </c>
      <c r="J449" s="150" t="s">
        <v>515</v>
      </c>
      <c r="K449" s="151">
        <v>38.686</v>
      </c>
      <c r="L449">
        <f>Table13[[#This Row],[Price]]*Table13[[#This Row],[Units]]</f>
        <v>1334</v>
      </c>
    </row>
    <row r="450" spans="1:12" x14ac:dyDescent="0.35">
      <c r="A450" s="145">
        <v>45637</v>
      </c>
      <c r="B450" s="146" t="s">
        <v>954</v>
      </c>
      <c r="C450" s="147" t="s">
        <v>469</v>
      </c>
      <c r="D450" s="147" t="s">
        <v>519</v>
      </c>
      <c r="E450" s="147" t="s">
        <v>315</v>
      </c>
      <c r="F450" s="147" t="s">
        <v>491</v>
      </c>
      <c r="G450" s="147">
        <v>21</v>
      </c>
      <c r="H450" s="148">
        <v>29</v>
      </c>
      <c r="I450" s="149">
        <f t="shared" si="6"/>
        <v>609</v>
      </c>
      <c r="J450" s="150" t="s">
        <v>515</v>
      </c>
      <c r="K450" s="151">
        <v>15.834</v>
      </c>
      <c r="L450">
        <f>Table13[[#This Row],[Price]]*Table13[[#This Row],[Units]]</f>
        <v>609</v>
      </c>
    </row>
    <row r="451" spans="1:12" x14ac:dyDescent="0.35">
      <c r="A451" s="145">
        <v>45637</v>
      </c>
      <c r="B451" s="146" t="s">
        <v>955</v>
      </c>
      <c r="C451" s="147" t="s">
        <v>469</v>
      </c>
      <c r="D451" s="147" t="s">
        <v>477</v>
      </c>
      <c r="E451" s="147" t="s">
        <v>324</v>
      </c>
      <c r="F451" s="147" t="s">
        <v>517</v>
      </c>
      <c r="G451" s="147">
        <v>41</v>
      </c>
      <c r="H451" s="148">
        <v>26</v>
      </c>
      <c r="I451" s="149">
        <f t="shared" ref="I451:I514" si="7">G451*H451</f>
        <v>1066</v>
      </c>
      <c r="J451" s="150" t="s">
        <v>466</v>
      </c>
      <c r="K451" s="151">
        <v>21.32</v>
      </c>
      <c r="L451">
        <f>Table13[[#This Row],[Price]]*Table13[[#This Row],[Units]]</f>
        <v>1066</v>
      </c>
    </row>
    <row r="452" spans="1:12" x14ac:dyDescent="0.35">
      <c r="A452" s="145">
        <v>45637</v>
      </c>
      <c r="B452" s="146" t="s">
        <v>956</v>
      </c>
      <c r="C452" s="147" t="s">
        <v>322</v>
      </c>
      <c r="D452" s="147" t="s">
        <v>490</v>
      </c>
      <c r="E452" s="147" t="s">
        <v>324</v>
      </c>
      <c r="F452" s="147" t="s">
        <v>539</v>
      </c>
      <c r="G452" s="147">
        <v>47</v>
      </c>
      <c r="H452" s="148">
        <v>54</v>
      </c>
      <c r="I452" s="149">
        <f t="shared" si="7"/>
        <v>2538</v>
      </c>
      <c r="J452" s="150" t="s">
        <v>466</v>
      </c>
      <c r="K452" s="151">
        <v>58.374000000000002</v>
      </c>
      <c r="L452">
        <f>Table13[[#This Row],[Price]]*Table13[[#This Row],[Units]]</f>
        <v>2538</v>
      </c>
    </row>
    <row r="453" spans="1:12" x14ac:dyDescent="0.35">
      <c r="A453" s="145">
        <v>45637</v>
      </c>
      <c r="B453" s="146" t="s">
        <v>957</v>
      </c>
      <c r="C453" s="147" t="s">
        <v>494</v>
      </c>
      <c r="D453" s="147" t="s">
        <v>477</v>
      </c>
      <c r="E453" s="147" t="s">
        <v>315</v>
      </c>
      <c r="F453" s="147" t="s">
        <v>510</v>
      </c>
      <c r="G453" s="147">
        <v>22</v>
      </c>
      <c r="H453" s="148">
        <v>31</v>
      </c>
      <c r="I453" s="149">
        <f t="shared" si="7"/>
        <v>682</v>
      </c>
      <c r="J453" s="150" t="s">
        <v>472</v>
      </c>
      <c r="K453" s="151">
        <v>15.004</v>
      </c>
      <c r="L453">
        <f>Table13[[#This Row],[Price]]*Table13[[#This Row],[Units]]</f>
        <v>682</v>
      </c>
    </row>
    <row r="454" spans="1:12" x14ac:dyDescent="0.35">
      <c r="A454" s="145">
        <v>45637</v>
      </c>
      <c r="B454" s="146" t="s">
        <v>958</v>
      </c>
      <c r="C454" s="147" t="s">
        <v>484</v>
      </c>
      <c r="D454" s="147" t="s">
        <v>477</v>
      </c>
      <c r="E454" s="147" t="s">
        <v>390</v>
      </c>
      <c r="F454" s="147" t="s">
        <v>539</v>
      </c>
      <c r="G454" s="147">
        <v>13</v>
      </c>
      <c r="H454" s="148">
        <v>42</v>
      </c>
      <c r="I454" s="149">
        <f t="shared" si="7"/>
        <v>546</v>
      </c>
      <c r="J454" s="150" t="s">
        <v>466</v>
      </c>
      <c r="K454" s="151">
        <v>12.558</v>
      </c>
      <c r="L454">
        <f>Table13[[#This Row],[Price]]*Table13[[#This Row],[Units]]</f>
        <v>546</v>
      </c>
    </row>
    <row r="455" spans="1:12" x14ac:dyDescent="0.35">
      <c r="A455" s="145">
        <v>45637</v>
      </c>
      <c r="B455" s="146" t="s">
        <v>959</v>
      </c>
      <c r="C455" s="147" t="s">
        <v>464</v>
      </c>
      <c r="D455" s="147" t="s">
        <v>470</v>
      </c>
      <c r="E455" s="147" t="s">
        <v>483</v>
      </c>
      <c r="F455" s="147" t="s">
        <v>567</v>
      </c>
      <c r="G455" s="147">
        <v>41</v>
      </c>
      <c r="H455" s="148">
        <v>53</v>
      </c>
      <c r="I455" s="149">
        <f t="shared" si="7"/>
        <v>2173</v>
      </c>
      <c r="J455" s="150" t="s">
        <v>472</v>
      </c>
      <c r="K455" s="151">
        <v>52.152000000000001</v>
      </c>
      <c r="L455">
        <f>Table13[[#This Row],[Price]]*Table13[[#This Row],[Units]]</f>
        <v>2173</v>
      </c>
    </row>
    <row r="456" spans="1:12" x14ac:dyDescent="0.35">
      <c r="A456" s="145">
        <v>45637</v>
      </c>
      <c r="B456" s="146" t="s">
        <v>960</v>
      </c>
      <c r="C456" s="147" t="s">
        <v>492</v>
      </c>
      <c r="D456" s="147" t="s">
        <v>470</v>
      </c>
      <c r="E456" s="147" t="s">
        <v>333</v>
      </c>
      <c r="F456" s="147" t="s">
        <v>497</v>
      </c>
      <c r="G456" s="147">
        <v>25</v>
      </c>
      <c r="H456" s="148">
        <v>23</v>
      </c>
      <c r="I456" s="149">
        <f t="shared" si="7"/>
        <v>575</v>
      </c>
      <c r="J456" s="150" t="s">
        <v>472</v>
      </c>
      <c r="K456" s="151">
        <v>16.100000000000001</v>
      </c>
      <c r="L456">
        <f>Table13[[#This Row],[Price]]*Table13[[#This Row],[Units]]</f>
        <v>575</v>
      </c>
    </row>
    <row r="457" spans="1:12" x14ac:dyDescent="0.35">
      <c r="A457" s="145">
        <v>45637</v>
      </c>
      <c r="B457" s="146" t="s">
        <v>961</v>
      </c>
      <c r="C457" s="147" t="s">
        <v>494</v>
      </c>
      <c r="D457" s="147" t="s">
        <v>512</v>
      </c>
      <c r="E457" s="147" t="s">
        <v>315</v>
      </c>
      <c r="F457" s="147" t="s">
        <v>500</v>
      </c>
      <c r="G457" s="147">
        <v>30</v>
      </c>
      <c r="H457" s="148">
        <v>31</v>
      </c>
      <c r="I457" s="149">
        <f t="shared" si="7"/>
        <v>930</v>
      </c>
      <c r="J457" s="150" t="s">
        <v>466</v>
      </c>
      <c r="K457" s="151">
        <v>18.600000000000001</v>
      </c>
      <c r="L457">
        <f>Table13[[#This Row],[Price]]*Table13[[#This Row],[Units]]</f>
        <v>930</v>
      </c>
    </row>
    <row r="458" spans="1:12" x14ac:dyDescent="0.35">
      <c r="A458" s="145">
        <v>45637</v>
      </c>
      <c r="B458" s="146" t="s">
        <v>962</v>
      </c>
      <c r="C458" s="147" t="s">
        <v>501</v>
      </c>
      <c r="D458" s="147" t="s">
        <v>512</v>
      </c>
      <c r="E458" s="147" t="s">
        <v>320</v>
      </c>
      <c r="F458" s="147" t="s">
        <v>520</v>
      </c>
      <c r="G458" s="147">
        <v>45</v>
      </c>
      <c r="H458" s="148">
        <v>24</v>
      </c>
      <c r="I458" s="149">
        <f t="shared" si="7"/>
        <v>1080</v>
      </c>
      <c r="J458" s="150" t="s">
        <v>466</v>
      </c>
      <c r="K458" s="151">
        <v>29.16</v>
      </c>
      <c r="L458">
        <f>Table13[[#This Row],[Price]]*Table13[[#This Row],[Units]]</f>
        <v>1080</v>
      </c>
    </row>
    <row r="459" spans="1:12" x14ac:dyDescent="0.35">
      <c r="A459" s="145">
        <v>45637</v>
      </c>
      <c r="B459" s="146" t="s">
        <v>963</v>
      </c>
      <c r="C459" s="147" t="s">
        <v>501</v>
      </c>
      <c r="D459" s="147" t="s">
        <v>477</v>
      </c>
      <c r="E459" s="147" t="s">
        <v>333</v>
      </c>
      <c r="F459" s="147" t="s">
        <v>505</v>
      </c>
      <c r="G459" s="147">
        <v>29</v>
      </c>
      <c r="H459" s="148">
        <v>51</v>
      </c>
      <c r="I459" s="149">
        <f t="shared" si="7"/>
        <v>1479</v>
      </c>
      <c r="J459" s="150" t="s">
        <v>472</v>
      </c>
      <c r="K459" s="151">
        <v>35.496000000000002</v>
      </c>
      <c r="L459">
        <f>Table13[[#This Row],[Price]]*Table13[[#This Row],[Units]]</f>
        <v>1479</v>
      </c>
    </row>
    <row r="460" spans="1:12" x14ac:dyDescent="0.35">
      <c r="A460" s="145">
        <v>45637</v>
      </c>
      <c r="B460" s="146" t="s">
        <v>964</v>
      </c>
      <c r="C460" s="147" t="s">
        <v>494</v>
      </c>
      <c r="D460" s="147" t="s">
        <v>470</v>
      </c>
      <c r="E460" s="147" t="s">
        <v>315</v>
      </c>
      <c r="F460" s="147" t="s">
        <v>517</v>
      </c>
      <c r="G460" s="147">
        <v>54</v>
      </c>
      <c r="H460" s="148">
        <v>44</v>
      </c>
      <c r="I460" s="149">
        <f t="shared" si="7"/>
        <v>2376</v>
      </c>
      <c r="J460" s="150" t="s">
        <v>466</v>
      </c>
      <c r="K460" s="151">
        <v>68.903999999999996</v>
      </c>
      <c r="L460">
        <f>Table13[[#This Row],[Price]]*Table13[[#This Row],[Units]]</f>
        <v>2376</v>
      </c>
    </row>
    <row r="461" spans="1:12" x14ac:dyDescent="0.35">
      <c r="A461" s="145">
        <v>45637</v>
      </c>
      <c r="B461" s="146" t="s">
        <v>965</v>
      </c>
      <c r="C461" s="147" t="s">
        <v>492</v>
      </c>
      <c r="D461" s="147" t="s">
        <v>477</v>
      </c>
      <c r="E461" s="147" t="s">
        <v>324</v>
      </c>
      <c r="F461" s="147" t="s">
        <v>487</v>
      </c>
      <c r="G461" s="147">
        <v>43</v>
      </c>
      <c r="H461" s="148">
        <v>48</v>
      </c>
      <c r="I461" s="149">
        <f t="shared" si="7"/>
        <v>2064</v>
      </c>
      <c r="J461" s="150" t="s">
        <v>466</v>
      </c>
      <c r="K461" s="151">
        <v>49.536000000000001</v>
      </c>
      <c r="L461">
        <f>Table13[[#This Row],[Price]]*Table13[[#This Row],[Units]]</f>
        <v>2064</v>
      </c>
    </row>
    <row r="462" spans="1:12" x14ac:dyDescent="0.35">
      <c r="A462" s="145">
        <v>45637</v>
      </c>
      <c r="B462" s="146" t="s">
        <v>966</v>
      </c>
      <c r="C462" s="147" t="s">
        <v>469</v>
      </c>
      <c r="D462" s="147" t="s">
        <v>490</v>
      </c>
      <c r="E462" s="147" t="s">
        <v>390</v>
      </c>
      <c r="F462" s="147" t="s">
        <v>505</v>
      </c>
      <c r="G462" s="147">
        <v>29</v>
      </c>
      <c r="H462" s="148">
        <v>39</v>
      </c>
      <c r="I462" s="149">
        <f t="shared" si="7"/>
        <v>1131</v>
      </c>
      <c r="J462" s="150" t="s">
        <v>503</v>
      </c>
      <c r="K462" s="151">
        <v>30.536999999999999</v>
      </c>
      <c r="L462">
        <f>Table13[[#This Row],[Price]]*Table13[[#This Row],[Units]]</f>
        <v>1131</v>
      </c>
    </row>
    <row r="463" spans="1:12" x14ac:dyDescent="0.35">
      <c r="A463" s="145">
        <v>45637</v>
      </c>
      <c r="B463" s="146" t="s">
        <v>967</v>
      </c>
      <c r="C463" s="147" t="s">
        <v>469</v>
      </c>
      <c r="D463" s="147" t="s">
        <v>519</v>
      </c>
      <c r="E463" s="147" t="s">
        <v>483</v>
      </c>
      <c r="F463" s="147" t="s">
        <v>528</v>
      </c>
      <c r="G463" s="147">
        <v>47</v>
      </c>
      <c r="H463" s="148">
        <v>56</v>
      </c>
      <c r="I463" s="149">
        <f t="shared" si="7"/>
        <v>2632</v>
      </c>
      <c r="J463" s="150" t="s">
        <v>515</v>
      </c>
      <c r="K463" s="151">
        <v>68.432000000000002</v>
      </c>
      <c r="L463">
        <f>Table13[[#This Row],[Price]]*Table13[[#This Row],[Units]]</f>
        <v>2632</v>
      </c>
    </row>
    <row r="464" spans="1:12" x14ac:dyDescent="0.35">
      <c r="A464" s="145">
        <v>45637</v>
      </c>
      <c r="B464" s="146" t="s">
        <v>968</v>
      </c>
      <c r="C464" s="147" t="s">
        <v>476</v>
      </c>
      <c r="D464" s="147" t="s">
        <v>470</v>
      </c>
      <c r="E464" s="147" t="s">
        <v>315</v>
      </c>
      <c r="F464" s="147" t="s">
        <v>500</v>
      </c>
      <c r="G464" s="147">
        <v>18</v>
      </c>
      <c r="H464" s="148">
        <v>52</v>
      </c>
      <c r="I464" s="149">
        <f t="shared" si="7"/>
        <v>936</v>
      </c>
      <c r="J464" s="150" t="s">
        <v>472</v>
      </c>
      <c r="K464" s="151">
        <v>25.271999999999998</v>
      </c>
      <c r="L464">
        <f>Table13[[#This Row],[Price]]*Table13[[#This Row],[Units]]</f>
        <v>936</v>
      </c>
    </row>
    <row r="465" spans="1:12" x14ac:dyDescent="0.35">
      <c r="A465" s="145">
        <v>45637</v>
      </c>
      <c r="B465" s="146" t="s">
        <v>969</v>
      </c>
      <c r="C465" s="147" t="s">
        <v>492</v>
      </c>
      <c r="D465" s="147" t="s">
        <v>519</v>
      </c>
      <c r="E465" s="147" t="s">
        <v>324</v>
      </c>
      <c r="F465" s="147" t="s">
        <v>505</v>
      </c>
      <c r="G465" s="147">
        <v>27</v>
      </c>
      <c r="H465" s="148">
        <v>28</v>
      </c>
      <c r="I465" s="149">
        <f t="shared" si="7"/>
        <v>756</v>
      </c>
      <c r="J465" s="150" t="s">
        <v>466</v>
      </c>
      <c r="K465" s="151">
        <v>18.143999999999998</v>
      </c>
      <c r="L465">
        <f>Table13[[#This Row],[Price]]*Table13[[#This Row],[Units]]</f>
        <v>756</v>
      </c>
    </row>
    <row r="466" spans="1:12" x14ac:dyDescent="0.35">
      <c r="A466" s="145">
        <v>45638</v>
      </c>
      <c r="B466" s="146" t="s">
        <v>970</v>
      </c>
      <c r="C466" s="147" t="s">
        <v>492</v>
      </c>
      <c r="D466" s="147" t="s">
        <v>477</v>
      </c>
      <c r="E466" s="147" t="s">
        <v>324</v>
      </c>
      <c r="F466" s="147" t="s">
        <v>505</v>
      </c>
      <c r="G466" s="147">
        <v>34</v>
      </c>
      <c r="H466" s="148">
        <v>27</v>
      </c>
      <c r="I466" s="149">
        <f t="shared" si="7"/>
        <v>918</v>
      </c>
      <c r="J466" s="150" t="s">
        <v>503</v>
      </c>
      <c r="K466" s="151">
        <v>19.277999999999999</v>
      </c>
      <c r="L466">
        <f>Table13[[#This Row],[Price]]*Table13[[#This Row],[Units]]</f>
        <v>918</v>
      </c>
    </row>
    <row r="467" spans="1:12" x14ac:dyDescent="0.35">
      <c r="A467" s="145">
        <v>45639</v>
      </c>
      <c r="B467" s="146" t="s">
        <v>971</v>
      </c>
      <c r="C467" s="147" t="s">
        <v>489</v>
      </c>
      <c r="D467" s="147" t="s">
        <v>519</v>
      </c>
      <c r="E467" s="147" t="s">
        <v>320</v>
      </c>
      <c r="F467" s="147" t="s">
        <v>478</v>
      </c>
      <c r="G467" s="147">
        <v>28</v>
      </c>
      <c r="H467" s="148">
        <v>49</v>
      </c>
      <c r="I467" s="149">
        <f t="shared" si="7"/>
        <v>1372</v>
      </c>
      <c r="J467" s="150" t="s">
        <v>503</v>
      </c>
      <c r="K467" s="151">
        <v>35.671999999999997</v>
      </c>
      <c r="L467">
        <f>Table13[[#This Row],[Price]]*Table13[[#This Row],[Units]]</f>
        <v>1372</v>
      </c>
    </row>
    <row r="468" spans="1:12" x14ac:dyDescent="0.35">
      <c r="A468" s="145">
        <v>45639</v>
      </c>
      <c r="B468" s="146" t="s">
        <v>972</v>
      </c>
      <c r="C468" s="147" t="s">
        <v>501</v>
      </c>
      <c r="D468" s="147" t="s">
        <v>477</v>
      </c>
      <c r="E468" s="147" t="s">
        <v>315</v>
      </c>
      <c r="F468" s="147" t="s">
        <v>536</v>
      </c>
      <c r="G468" s="147">
        <v>21</v>
      </c>
      <c r="H468" s="148">
        <v>56</v>
      </c>
      <c r="I468" s="149">
        <f t="shared" si="7"/>
        <v>1176</v>
      </c>
      <c r="J468" s="150" t="s">
        <v>503</v>
      </c>
      <c r="K468" s="151">
        <v>25.872</v>
      </c>
      <c r="L468">
        <f>Table13[[#This Row],[Price]]*Table13[[#This Row],[Units]]</f>
        <v>1176</v>
      </c>
    </row>
    <row r="469" spans="1:12" x14ac:dyDescent="0.35">
      <c r="A469" s="145">
        <v>45639</v>
      </c>
      <c r="B469" s="146" t="s">
        <v>973</v>
      </c>
      <c r="C469" s="147" t="s">
        <v>476</v>
      </c>
      <c r="D469" s="147" t="s">
        <v>519</v>
      </c>
      <c r="E469" s="147" t="s">
        <v>320</v>
      </c>
      <c r="F469" s="147" t="s">
        <v>500</v>
      </c>
      <c r="G469" s="147">
        <v>47</v>
      </c>
      <c r="H469" s="148">
        <v>45</v>
      </c>
      <c r="I469" s="149">
        <f t="shared" si="7"/>
        <v>2115</v>
      </c>
      <c r="J469" s="150" t="s">
        <v>472</v>
      </c>
      <c r="K469" s="151">
        <v>44.414999999999999</v>
      </c>
      <c r="L469">
        <f>Table13[[#This Row],[Price]]*Table13[[#This Row],[Units]]</f>
        <v>2115</v>
      </c>
    </row>
    <row r="470" spans="1:12" x14ac:dyDescent="0.35">
      <c r="A470" s="145">
        <v>45639</v>
      </c>
      <c r="B470" s="146" t="s">
        <v>974</v>
      </c>
      <c r="C470" s="147" t="s">
        <v>494</v>
      </c>
      <c r="D470" s="147" t="s">
        <v>486</v>
      </c>
      <c r="E470" s="147" t="s">
        <v>483</v>
      </c>
      <c r="F470" s="147" t="s">
        <v>523</v>
      </c>
      <c r="G470" s="147">
        <v>24</v>
      </c>
      <c r="H470" s="148">
        <v>33</v>
      </c>
      <c r="I470" s="149">
        <f t="shared" si="7"/>
        <v>792</v>
      </c>
      <c r="J470" s="150" t="s">
        <v>515</v>
      </c>
      <c r="K470" s="151">
        <v>17.423999999999999</v>
      </c>
      <c r="L470">
        <f>Table13[[#This Row],[Price]]*Table13[[#This Row],[Units]]</f>
        <v>792</v>
      </c>
    </row>
    <row r="471" spans="1:12" x14ac:dyDescent="0.35">
      <c r="A471" s="145">
        <v>45639</v>
      </c>
      <c r="B471" s="146" t="s">
        <v>975</v>
      </c>
      <c r="C471" s="147" t="s">
        <v>469</v>
      </c>
      <c r="D471" s="147" t="s">
        <v>477</v>
      </c>
      <c r="E471" s="147" t="s">
        <v>324</v>
      </c>
      <c r="F471" s="147" t="s">
        <v>536</v>
      </c>
      <c r="G471" s="147">
        <v>28</v>
      </c>
      <c r="H471" s="148">
        <v>39</v>
      </c>
      <c r="I471" s="149">
        <f t="shared" si="7"/>
        <v>1092</v>
      </c>
      <c r="J471" s="150" t="s">
        <v>466</v>
      </c>
      <c r="K471" s="151">
        <v>27.3</v>
      </c>
      <c r="L471">
        <f>Table13[[#This Row],[Price]]*Table13[[#This Row],[Units]]</f>
        <v>1092</v>
      </c>
    </row>
    <row r="472" spans="1:12" x14ac:dyDescent="0.35">
      <c r="A472" s="145">
        <v>45639</v>
      </c>
      <c r="B472" s="146" t="s">
        <v>976</v>
      </c>
      <c r="C472" s="147" t="s">
        <v>494</v>
      </c>
      <c r="D472" s="147" t="s">
        <v>470</v>
      </c>
      <c r="E472" s="147" t="s">
        <v>320</v>
      </c>
      <c r="F472" s="147" t="s">
        <v>491</v>
      </c>
      <c r="G472" s="147">
        <v>11</v>
      </c>
      <c r="H472" s="148">
        <v>24</v>
      </c>
      <c r="I472" s="149">
        <f t="shared" si="7"/>
        <v>264</v>
      </c>
      <c r="J472" s="150" t="s">
        <v>503</v>
      </c>
      <c r="K472" s="151">
        <v>6.6</v>
      </c>
      <c r="L472">
        <f>Table13[[#This Row],[Price]]*Table13[[#This Row],[Units]]</f>
        <v>264</v>
      </c>
    </row>
    <row r="473" spans="1:12" x14ac:dyDescent="0.35">
      <c r="A473" s="145">
        <v>45639</v>
      </c>
      <c r="B473" s="146" t="s">
        <v>977</v>
      </c>
      <c r="C473" s="147" t="s">
        <v>476</v>
      </c>
      <c r="D473" s="147" t="s">
        <v>477</v>
      </c>
      <c r="E473" s="147" t="s">
        <v>315</v>
      </c>
      <c r="F473" s="147" t="s">
        <v>539</v>
      </c>
      <c r="G473" s="147">
        <v>13</v>
      </c>
      <c r="H473" s="148">
        <v>46</v>
      </c>
      <c r="I473" s="149">
        <f t="shared" si="7"/>
        <v>598</v>
      </c>
      <c r="J473" s="150" t="s">
        <v>515</v>
      </c>
      <c r="K473" s="151">
        <v>12.558</v>
      </c>
      <c r="L473">
        <f>Table13[[#This Row],[Price]]*Table13[[#This Row],[Units]]</f>
        <v>598</v>
      </c>
    </row>
    <row r="474" spans="1:12" x14ac:dyDescent="0.35">
      <c r="A474" s="145">
        <v>45639</v>
      </c>
      <c r="B474" s="146" t="s">
        <v>978</v>
      </c>
      <c r="C474" s="147" t="s">
        <v>476</v>
      </c>
      <c r="D474" s="147" t="s">
        <v>490</v>
      </c>
      <c r="E474" s="147" t="s">
        <v>483</v>
      </c>
      <c r="F474" s="147" t="s">
        <v>487</v>
      </c>
      <c r="G474" s="147">
        <v>11</v>
      </c>
      <c r="H474" s="148">
        <v>41</v>
      </c>
      <c r="I474" s="149">
        <f t="shared" si="7"/>
        <v>451</v>
      </c>
      <c r="J474" s="150" t="s">
        <v>515</v>
      </c>
      <c r="K474" s="151">
        <v>9.4710000000000001</v>
      </c>
      <c r="L474">
        <f>Table13[[#This Row],[Price]]*Table13[[#This Row],[Units]]</f>
        <v>451</v>
      </c>
    </row>
    <row r="475" spans="1:12" x14ac:dyDescent="0.35">
      <c r="A475" s="145">
        <v>45639</v>
      </c>
      <c r="B475" s="146" t="s">
        <v>979</v>
      </c>
      <c r="C475" s="147" t="s">
        <v>322</v>
      </c>
      <c r="D475" s="147" t="s">
        <v>465</v>
      </c>
      <c r="E475" s="147" t="s">
        <v>390</v>
      </c>
      <c r="F475" s="147" t="s">
        <v>505</v>
      </c>
      <c r="G475" s="147">
        <v>43</v>
      </c>
      <c r="H475" s="148">
        <v>25</v>
      </c>
      <c r="I475" s="149">
        <f t="shared" si="7"/>
        <v>1075</v>
      </c>
      <c r="J475" s="150" t="s">
        <v>466</v>
      </c>
      <c r="K475" s="151">
        <v>22.574999999999999</v>
      </c>
      <c r="L475">
        <f>Table13[[#This Row],[Price]]*Table13[[#This Row],[Units]]</f>
        <v>1075</v>
      </c>
    </row>
    <row r="476" spans="1:12" x14ac:dyDescent="0.35">
      <c r="A476" s="145">
        <v>45639</v>
      </c>
      <c r="B476" s="146" t="s">
        <v>980</v>
      </c>
      <c r="C476" s="147" t="s">
        <v>469</v>
      </c>
      <c r="D476" s="147" t="s">
        <v>470</v>
      </c>
      <c r="E476" s="147" t="s">
        <v>483</v>
      </c>
      <c r="F476" s="147" t="s">
        <v>497</v>
      </c>
      <c r="G476" s="147">
        <v>10</v>
      </c>
      <c r="H476" s="148">
        <v>53</v>
      </c>
      <c r="I476" s="149">
        <f t="shared" si="7"/>
        <v>530</v>
      </c>
      <c r="J476" s="150" t="s">
        <v>503</v>
      </c>
      <c r="K476" s="151">
        <v>11.66</v>
      </c>
      <c r="L476">
        <f>Table13[[#This Row],[Price]]*Table13[[#This Row],[Units]]</f>
        <v>530</v>
      </c>
    </row>
    <row r="477" spans="1:12" x14ac:dyDescent="0.35">
      <c r="A477" s="145">
        <v>45639</v>
      </c>
      <c r="B477" s="146" t="s">
        <v>981</v>
      </c>
      <c r="C477" s="147" t="s">
        <v>494</v>
      </c>
      <c r="D477" s="147" t="s">
        <v>490</v>
      </c>
      <c r="E477" s="147" t="s">
        <v>390</v>
      </c>
      <c r="F477" s="147" t="s">
        <v>478</v>
      </c>
      <c r="G477" s="147">
        <v>18</v>
      </c>
      <c r="H477" s="148">
        <v>42</v>
      </c>
      <c r="I477" s="149">
        <f t="shared" si="7"/>
        <v>756</v>
      </c>
      <c r="J477" s="150" t="s">
        <v>472</v>
      </c>
      <c r="K477" s="151">
        <v>21.167999999999999</v>
      </c>
      <c r="L477">
        <f>Table13[[#This Row],[Price]]*Table13[[#This Row],[Units]]</f>
        <v>756</v>
      </c>
    </row>
    <row r="478" spans="1:12" x14ac:dyDescent="0.35">
      <c r="A478" s="145">
        <v>45639</v>
      </c>
      <c r="B478" s="146" t="s">
        <v>982</v>
      </c>
      <c r="C478" s="147" t="s">
        <v>501</v>
      </c>
      <c r="D478" s="147" t="s">
        <v>512</v>
      </c>
      <c r="E478" s="147" t="s">
        <v>390</v>
      </c>
      <c r="F478" s="147" t="s">
        <v>487</v>
      </c>
      <c r="G478" s="147">
        <v>20</v>
      </c>
      <c r="H478" s="148">
        <v>53</v>
      </c>
      <c r="I478" s="149">
        <f t="shared" si="7"/>
        <v>1060</v>
      </c>
      <c r="J478" s="150" t="s">
        <v>472</v>
      </c>
      <c r="K478" s="151">
        <v>25.44</v>
      </c>
      <c r="L478">
        <f>Table13[[#This Row],[Price]]*Table13[[#This Row],[Units]]</f>
        <v>1060</v>
      </c>
    </row>
    <row r="479" spans="1:12" x14ac:dyDescent="0.35">
      <c r="A479" s="145">
        <v>45640</v>
      </c>
      <c r="B479" s="146" t="s">
        <v>983</v>
      </c>
      <c r="C479" s="147" t="s">
        <v>484</v>
      </c>
      <c r="D479" s="147" t="s">
        <v>490</v>
      </c>
      <c r="E479" s="147" t="s">
        <v>412</v>
      </c>
      <c r="F479" s="147" t="s">
        <v>497</v>
      </c>
      <c r="G479" s="147">
        <v>22</v>
      </c>
      <c r="H479" s="148">
        <v>29</v>
      </c>
      <c r="I479" s="149">
        <f t="shared" si="7"/>
        <v>638</v>
      </c>
      <c r="J479" s="150" t="s">
        <v>466</v>
      </c>
      <c r="K479" s="151">
        <v>14.036</v>
      </c>
      <c r="L479">
        <f>Table13[[#This Row],[Price]]*Table13[[#This Row],[Units]]</f>
        <v>638</v>
      </c>
    </row>
    <row r="480" spans="1:12" x14ac:dyDescent="0.35">
      <c r="A480" s="145">
        <v>45640</v>
      </c>
      <c r="B480" s="146" t="s">
        <v>984</v>
      </c>
      <c r="C480" s="147" t="s">
        <v>501</v>
      </c>
      <c r="D480" s="147" t="s">
        <v>486</v>
      </c>
      <c r="E480" s="147" t="s">
        <v>333</v>
      </c>
      <c r="F480" s="147" t="s">
        <v>536</v>
      </c>
      <c r="G480" s="147">
        <v>42</v>
      </c>
      <c r="H480" s="148">
        <v>31</v>
      </c>
      <c r="I480" s="149">
        <f t="shared" si="7"/>
        <v>1302</v>
      </c>
      <c r="J480" s="150" t="s">
        <v>466</v>
      </c>
      <c r="K480" s="151">
        <v>36.456000000000003</v>
      </c>
      <c r="L480">
        <f>Table13[[#This Row],[Price]]*Table13[[#This Row],[Units]]</f>
        <v>1302</v>
      </c>
    </row>
    <row r="481" spans="1:12" x14ac:dyDescent="0.35">
      <c r="A481" s="145">
        <v>45640</v>
      </c>
      <c r="B481" s="146" t="s">
        <v>985</v>
      </c>
      <c r="C481" s="147" t="s">
        <v>476</v>
      </c>
      <c r="D481" s="147" t="s">
        <v>465</v>
      </c>
      <c r="E481" s="147" t="s">
        <v>483</v>
      </c>
      <c r="F481" s="147" t="s">
        <v>517</v>
      </c>
      <c r="G481" s="147">
        <v>39</v>
      </c>
      <c r="H481" s="148">
        <v>23</v>
      </c>
      <c r="I481" s="149">
        <f t="shared" si="7"/>
        <v>897</v>
      </c>
      <c r="J481" s="150" t="s">
        <v>466</v>
      </c>
      <c r="K481" s="151">
        <v>20.631</v>
      </c>
      <c r="L481">
        <f>Table13[[#This Row],[Price]]*Table13[[#This Row],[Units]]</f>
        <v>897</v>
      </c>
    </row>
    <row r="482" spans="1:12" x14ac:dyDescent="0.35">
      <c r="A482" s="145">
        <v>45640</v>
      </c>
      <c r="B482" s="146" t="s">
        <v>986</v>
      </c>
      <c r="C482" s="147" t="s">
        <v>484</v>
      </c>
      <c r="D482" s="147" t="s">
        <v>486</v>
      </c>
      <c r="E482" s="147" t="s">
        <v>333</v>
      </c>
      <c r="F482" s="147" t="s">
        <v>528</v>
      </c>
      <c r="G482" s="147">
        <v>13</v>
      </c>
      <c r="H482" s="148">
        <v>31</v>
      </c>
      <c r="I482" s="149">
        <f t="shared" si="7"/>
        <v>403</v>
      </c>
      <c r="J482" s="150" t="s">
        <v>466</v>
      </c>
      <c r="K482" s="151">
        <v>12.09</v>
      </c>
      <c r="L482">
        <f>Table13[[#This Row],[Price]]*Table13[[#This Row],[Units]]</f>
        <v>403</v>
      </c>
    </row>
    <row r="483" spans="1:12" x14ac:dyDescent="0.35">
      <c r="A483" s="145">
        <v>45641</v>
      </c>
      <c r="B483" s="146" t="s">
        <v>987</v>
      </c>
      <c r="C483" s="147" t="s">
        <v>492</v>
      </c>
      <c r="D483" s="147" t="s">
        <v>519</v>
      </c>
      <c r="E483" s="147" t="s">
        <v>320</v>
      </c>
      <c r="F483" s="147" t="s">
        <v>513</v>
      </c>
      <c r="G483" s="147">
        <v>51</v>
      </c>
      <c r="H483" s="148">
        <v>55</v>
      </c>
      <c r="I483" s="149">
        <f t="shared" si="7"/>
        <v>2805</v>
      </c>
      <c r="J483" s="150" t="s">
        <v>515</v>
      </c>
      <c r="K483" s="151">
        <v>78.540000000000006</v>
      </c>
      <c r="L483">
        <f>Table13[[#This Row],[Price]]*Table13[[#This Row],[Units]]</f>
        <v>2805</v>
      </c>
    </row>
    <row r="484" spans="1:12" x14ac:dyDescent="0.35">
      <c r="A484" s="145">
        <v>45641</v>
      </c>
      <c r="B484" s="146" t="s">
        <v>988</v>
      </c>
      <c r="C484" s="147" t="s">
        <v>322</v>
      </c>
      <c r="D484" s="147" t="s">
        <v>477</v>
      </c>
      <c r="E484" s="147" t="s">
        <v>483</v>
      </c>
      <c r="F484" s="147" t="s">
        <v>510</v>
      </c>
      <c r="G484" s="147">
        <v>35</v>
      </c>
      <c r="H484" s="148">
        <v>51</v>
      </c>
      <c r="I484" s="149">
        <f t="shared" si="7"/>
        <v>1785</v>
      </c>
      <c r="J484" s="150" t="s">
        <v>472</v>
      </c>
      <c r="K484" s="151">
        <v>41.055</v>
      </c>
      <c r="L484">
        <f>Table13[[#This Row],[Price]]*Table13[[#This Row],[Units]]</f>
        <v>1785</v>
      </c>
    </row>
    <row r="485" spans="1:12" x14ac:dyDescent="0.35">
      <c r="A485" s="145">
        <v>45641</v>
      </c>
      <c r="B485" s="146" t="s">
        <v>989</v>
      </c>
      <c r="C485" s="147" t="s">
        <v>464</v>
      </c>
      <c r="D485" s="147" t="s">
        <v>477</v>
      </c>
      <c r="E485" s="147" t="s">
        <v>333</v>
      </c>
      <c r="F485" s="147" t="s">
        <v>505</v>
      </c>
      <c r="G485" s="147">
        <v>11</v>
      </c>
      <c r="H485" s="148">
        <v>46</v>
      </c>
      <c r="I485" s="149">
        <f t="shared" si="7"/>
        <v>506</v>
      </c>
      <c r="J485" s="150" t="s">
        <v>515</v>
      </c>
      <c r="K485" s="151">
        <v>10.119999999999999</v>
      </c>
      <c r="L485">
        <f>Table13[[#This Row],[Price]]*Table13[[#This Row],[Units]]</f>
        <v>506</v>
      </c>
    </row>
    <row r="486" spans="1:12" x14ac:dyDescent="0.35">
      <c r="A486" s="145">
        <v>45641</v>
      </c>
      <c r="B486" s="146" t="s">
        <v>990</v>
      </c>
      <c r="C486" s="147" t="s">
        <v>492</v>
      </c>
      <c r="D486" s="147" t="s">
        <v>486</v>
      </c>
      <c r="E486" s="147" t="s">
        <v>315</v>
      </c>
      <c r="F486" s="147" t="s">
        <v>528</v>
      </c>
      <c r="G486" s="147">
        <v>31</v>
      </c>
      <c r="H486" s="148">
        <v>57</v>
      </c>
      <c r="I486" s="149">
        <f t="shared" si="7"/>
        <v>1767</v>
      </c>
      <c r="J486" s="150" t="s">
        <v>515</v>
      </c>
      <c r="K486" s="151">
        <v>44.174999999999997</v>
      </c>
      <c r="L486">
        <f>Table13[[#This Row],[Price]]*Table13[[#This Row],[Units]]</f>
        <v>1767</v>
      </c>
    </row>
    <row r="487" spans="1:12" x14ac:dyDescent="0.35">
      <c r="A487" s="145">
        <v>45641</v>
      </c>
      <c r="B487" s="146" t="s">
        <v>991</v>
      </c>
      <c r="C487" s="147" t="s">
        <v>464</v>
      </c>
      <c r="D487" s="147" t="s">
        <v>486</v>
      </c>
      <c r="E487" s="147" t="s">
        <v>333</v>
      </c>
      <c r="F487" s="147" t="s">
        <v>497</v>
      </c>
      <c r="G487" s="147">
        <v>27</v>
      </c>
      <c r="H487" s="148">
        <v>23</v>
      </c>
      <c r="I487" s="149">
        <f t="shared" si="7"/>
        <v>621</v>
      </c>
      <c r="J487" s="150" t="s">
        <v>466</v>
      </c>
      <c r="K487" s="151">
        <v>12.42</v>
      </c>
      <c r="L487">
        <f>Table13[[#This Row],[Price]]*Table13[[#This Row],[Units]]</f>
        <v>621</v>
      </c>
    </row>
    <row r="488" spans="1:12" x14ac:dyDescent="0.35">
      <c r="A488" s="145">
        <v>45641</v>
      </c>
      <c r="B488" s="146" t="s">
        <v>992</v>
      </c>
      <c r="C488" s="147" t="s">
        <v>501</v>
      </c>
      <c r="D488" s="147" t="s">
        <v>512</v>
      </c>
      <c r="E488" s="147" t="s">
        <v>390</v>
      </c>
      <c r="F488" s="147" t="s">
        <v>523</v>
      </c>
      <c r="G488" s="147">
        <v>43</v>
      </c>
      <c r="H488" s="148">
        <v>55</v>
      </c>
      <c r="I488" s="149">
        <f t="shared" si="7"/>
        <v>2365</v>
      </c>
      <c r="J488" s="150" t="s">
        <v>515</v>
      </c>
      <c r="K488" s="151">
        <v>66.22</v>
      </c>
      <c r="L488">
        <f>Table13[[#This Row],[Price]]*Table13[[#This Row],[Units]]</f>
        <v>2365</v>
      </c>
    </row>
    <row r="489" spans="1:12" x14ac:dyDescent="0.35">
      <c r="A489" s="145">
        <v>45641</v>
      </c>
      <c r="B489" s="146" t="s">
        <v>993</v>
      </c>
      <c r="C489" s="147" t="s">
        <v>464</v>
      </c>
      <c r="D489" s="147" t="s">
        <v>486</v>
      </c>
      <c r="E489" s="147" t="s">
        <v>333</v>
      </c>
      <c r="F489" s="147" t="s">
        <v>478</v>
      </c>
      <c r="G489" s="147">
        <v>34</v>
      </c>
      <c r="H489" s="148">
        <v>21</v>
      </c>
      <c r="I489" s="149">
        <f t="shared" si="7"/>
        <v>714</v>
      </c>
      <c r="J489" s="150" t="s">
        <v>466</v>
      </c>
      <c r="K489" s="151">
        <v>17.850000000000001</v>
      </c>
      <c r="L489">
        <f>Table13[[#This Row],[Price]]*Table13[[#This Row],[Units]]</f>
        <v>714</v>
      </c>
    </row>
    <row r="490" spans="1:12" x14ac:dyDescent="0.35">
      <c r="A490" s="145">
        <v>45642</v>
      </c>
      <c r="B490" s="146" t="s">
        <v>994</v>
      </c>
      <c r="C490" s="147" t="s">
        <v>489</v>
      </c>
      <c r="D490" s="147" t="s">
        <v>490</v>
      </c>
      <c r="E490" s="147" t="s">
        <v>324</v>
      </c>
      <c r="F490" s="147" t="s">
        <v>539</v>
      </c>
      <c r="G490" s="147">
        <v>28</v>
      </c>
      <c r="H490" s="148">
        <v>29</v>
      </c>
      <c r="I490" s="149">
        <f t="shared" si="7"/>
        <v>812</v>
      </c>
      <c r="J490" s="150" t="s">
        <v>466</v>
      </c>
      <c r="K490" s="151">
        <v>19.488</v>
      </c>
      <c r="L490">
        <f>Table13[[#This Row],[Price]]*Table13[[#This Row],[Units]]</f>
        <v>812</v>
      </c>
    </row>
    <row r="491" spans="1:12" x14ac:dyDescent="0.35">
      <c r="A491" s="145">
        <v>45642</v>
      </c>
      <c r="B491" s="146" t="s">
        <v>995</v>
      </c>
      <c r="C491" s="147" t="s">
        <v>492</v>
      </c>
      <c r="D491" s="147" t="s">
        <v>465</v>
      </c>
      <c r="E491" s="147" t="s">
        <v>315</v>
      </c>
      <c r="F491" s="147" t="s">
        <v>471</v>
      </c>
      <c r="G491" s="147">
        <v>26</v>
      </c>
      <c r="H491" s="148">
        <v>20</v>
      </c>
      <c r="I491" s="149">
        <f t="shared" si="7"/>
        <v>520</v>
      </c>
      <c r="J491" s="150" t="s">
        <v>472</v>
      </c>
      <c r="K491" s="151">
        <v>14.56</v>
      </c>
      <c r="L491">
        <f>Table13[[#This Row],[Price]]*Table13[[#This Row],[Units]]</f>
        <v>520</v>
      </c>
    </row>
    <row r="492" spans="1:12" x14ac:dyDescent="0.35">
      <c r="A492" s="145">
        <v>45643</v>
      </c>
      <c r="B492" s="146" t="s">
        <v>996</v>
      </c>
      <c r="C492" s="147" t="s">
        <v>494</v>
      </c>
      <c r="D492" s="147" t="s">
        <v>486</v>
      </c>
      <c r="E492" s="147" t="s">
        <v>320</v>
      </c>
      <c r="F492" s="147" t="s">
        <v>491</v>
      </c>
      <c r="G492" s="147">
        <v>18</v>
      </c>
      <c r="H492" s="148">
        <v>28</v>
      </c>
      <c r="I492" s="149">
        <f t="shared" si="7"/>
        <v>504</v>
      </c>
      <c r="J492" s="150" t="s">
        <v>472</v>
      </c>
      <c r="K492" s="151">
        <v>10.584</v>
      </c>
      <c r="L492">
        <f>Table13[[#This Row],[Price]]*Table13[[#This Row],[Units]]</f>
        <v>504</v>
      </c>
    </row>
    <row r="493" spans="1:12" x14ac:dyDescent="0.35">
      <c r="A493" s="145">
        <v>45643</v>
      </c>
      <c r="B493" s="146" t="s">
        <v>997</v>
      </c>
      <c r="C493" s="147" t="s">
        <v>464</v>
      </c>
      <c r="D493" s="147" t="s">
        <v>477</v>
      </c>
      <c r="E493" s="147" t="s">
        <v>333</v>
      </c>
      <c r="F493" s="147" t="s">
        <v>487</v>
      </c>
      <c r="G493" s="147">
        <v>33</v>
      </c>
      <c r="H493" s="148">
        <v>57</v>
      </c>
      <c r="I493" s="149">
        <f t="shared" si="7"/>
        <v>1881</v>
      </c>
      <c r="J493" s="150" t="s">
        <v>466</v>
      </c>
      <c r="K493" s="151">
        <v>54.548999999999999</v>
      </c>
      <c r="L493">
        <f>Table13[[#This Row],[Price]]*Table13[[#This Row],[Units]]</f>
        <v>1881</v>
      </c>
    </row>
    <row r="494" spans="1:12" x14ac:dyDescent="0.35">
      <c r="A494" s="145">
        <v>45643</v>
      </c>
      <c r="B494" s="146" t="s">
        <v>998</v>
      </c>
      <c r="C494" s="147" t="s">
        <v>501</v>
      </c>
      <c r="D494" s="147" t="s">
        <v>477</v>
      </c>
      <c r="E494" s="147" t="s">
        <v>320</v>
      </c>
      <c r="F494" s="147" t="s">
        <v>517</v>
      </c>
      <c r="G494" s="147">
        <v>28</v>
      </c>
      <c r="H494" s="148">
        <v>37</v>
      </c>
      <c r="I494" s="149">
        <f t="shared" si="7"/>
        <v>1036</v>
      </c>
      <c r="J494" s="150" t="s">
        <v>466</v>
      </c>
      <c r="K494" s="151">
        <v>26.936</v>
      </c>
      <c r="L494">
        <f>Table13[[#This Row],[Price]]*Table13[[#This Row],[Units]]</f>
        <v>1036</v>
      </c>
    </row>
    <row r="495" spans="1:12" x14ac:dyDescent="0.35">
      <c r="A495" s="145">
        <v>45644</v>
      </c>
      <c r="B495" s="146" t="s">
        <v>999</v>
      </c>
      <c r="C495" s="147" t="s">
        <v>322</v>
      </c>
      <c r="D495" s="147" t="s">
        <v>512</v>
      </c>
      <c r="E495" s="147" t="s">
        <v>315</v>
      </c>
      <c r="F495" s="147" t="s">
        <v>510</v>
      </c>
      <c r="G495" s="147">
        <v>13</v>
      </c>
      <c r="H495" s="148">
        <v>22</v>
      </c>
      <c r="I495" s="149">
        <f t="shared" si="7"/>
        <v>286</v>
      </c>
      <c r="J495" s="150" t="s">
        <v>472</v>
      </c>
      <c r="K495" s="151">
        <v>7.4359999999999999</v>
      </c>
      <c r="L495">
        <f>Table13[[#This Row],[Price]]*Table13[[#This Row],[Units]]</f>
        <v>286</v>
      </c>
    </row>
    <row r="496" spans="1:12" x14ac:dyDescent="0.35">
      <c r="A496" s="145">
        <v>45645</v>
      </c>
      <c r="B496" s="146" t="s">
        <v>1000</v>
      </c>
      <c r="C496" s="147" t="s">
        <v>484</v>
      </c>
      <c r="D496" s="147" t="s">
        <v>486</v>
      </c>
      <c r="E496" s="147" t="s">
        <v>324</v>
      </c>
      <c r="F496" s="147" t="s">
        <v>539</v>
      </c>
      <c r="G496" s="147">
        <v>56</v>
      </c>
      <c r="H496" s="148">
        <v>57</v>
      </c>
      <c r="I496" s="149">
        <f t="shared" si="7"/>
        <v>3192</v>
      </c>
      <c r="J496" s="150" t="s">
        <v>466</v>
      </c>
      <c r="K496" s="151">
        <v>67.031999999999996</v>
      </c>
      <c r="L496">
        <f>Table13[[#This Row],[Price]]*Table13[[#This Row],[Units]]</f>
        <v>3192</v>
      </c>
    </row>
    <row r="497" spans="1:12" x14ac:dyDescent="0.35">
      <c r="A497" s="145">
        <v>45645</v>
      </c>
      <c r="B497" s="146" t="s">
        <v>1001</v>
      </c>
      <c r="C497" s="147" t="s">
        <v>469</v>
      </c>
      <c r="D497" s="147" t="s">
        <v>477</v>
      </c>
      <c r="E497" s="147" t="s">
        <v>483</v>
      </c>
      <c r="F497" s="147" t="s">
        <v>513</v>
      </c>
      <c r="G497" s="147">
        <v>46</v>
      </c>
      <c r="H497" s="148">
        <v>58</v>
      </c>
      <c r="I497" s="149">
        <f t="shared" si="7"/>
        <v>2668</v>
      </c>
      <c r="J497" s="150" t="s">
        <v>466</v>
      </c>
      <c r="K497" s="151">
        <v>80.040000000000006</v>
      </c>
      <c r="L497">
        <f>Table13[[#This Row],[Price]]*Table13[[#This Row],[Units]]</f>
        <v>2668</v>
      </c>
    </row>
    <row r="498" spans="1:12" x14ac:dyDescent="0.35">
      <c r="A498" s="145">
        <v>45645</v>
      </c>
      <c r="B498" s="146" t="s">
        <v>1002</v>
      </c>
      <c r="C498" s="147" t="s">
        <v>322</v>
      </c>
      <c r="D498" s="147" t="s">
        <v>490</v>
      </c>
      <c r="E498" s="147" t="s">
        <v>333</v>
      </c>
      <c r="F498" s="147" t="s">
        <v>491</v>
      </c>
      <c r="G498" s="147">
        <v>22</v>
      </c>
      <c r="H498" s="148">
        <v>47</v>
      </c>
      <c r="I498" s="149">
        <f t="shared" si="7"/>
        <v>1034</v>
      </c>
      <c r="J498" s="150" t="s">
        <v>466</v>
      </c>
      <c r="K498" s="151">
        <v>31.02</v>
      </c>
      <c r="L498">
        <f>Table13[[#This Row],[Price]]*Table13[[#This Row],[Units]]</f>
        <v>1034</v>
      </c>
    </row>
    <row r="499" spans="1:12" x14ac:dyDescent="0.35">
      <c r="A499" s="145">
        <v>45645</v>
      </c>
      <c r="B499" s="146" t="s">
        <v>1003</v>
      </c>
      <c r="C499" s="147" t="s">
        <v>469</v>
      </c>
      <c r="D499" s="147" t="s">
        <v>519</v>
      </c>
      <c r="E499" s="147" t="s">
        <v>333</v>
      </c>
      <c r="F499" s="147" t="s">
        <v>500</v>
      </c>
      <c r="G499" s="147">
        <v>32</v>
      </c>
      <c r="H499" s="148">
        <v>26</v>
      </c>
      <c r="I499" s="149">
        <f t="shared" si="7"/>
        <v>832</v>
      </c>
      <c r="J499" s="150" t="s">
        <v>466</v>
      </c>
      <c r="K499" s="151">
        <v>17.472000000000001</v>
      </c>
      <c r="L499">
        <f>Table13[[#This Row],[Price]]*Table13[[#This Row],[Units]]</f>
        <v>832</v>
      </c>
    </row>
    <row r="500" spans="1:12" x14ac:dyDescent="0.35">
      <c r="A500" s="145">
        <v>45645</v>
      </c>
      <c r="B500" s="146" t="s">
        <v>1004</v>
      </c>
      <c r="C500" s="147" t="s">
        <v>322</v>
      </c>
      <c r="D500" s="147" t="s">
        <v>519</v>
      </c>
      <c r="E500" s="147" t="s">
        <v>412</v>
      </c>
      <c r="F500" s="147" t="s">
        <v>478</v>
      </c>
      <c r="G500" s="147">
        <v>20</v>
      </c>
      <c r="H500" s="148">
        <v>60</v>
      </c>
      <c r="I500" s="149">
        <f t="shared" si="7"/>
        <v>1200</v>
      </c>
      <c r="J500" s="150" t="s">
        <v>515</v>
      </c>
      <c r="K500" s="151">
        <v>31.2</v>
      </c>
      <c r="L500">
        <f>Table13[[#This Row],[Price]]*Table13[[#This Row],[Units]]</f>
        <v>1200</v>
      </c>
    </row>
    <row r="501" spans="1:12" x14ac:dyDescent="0.35">
      <c r="A501" s="145">
        <v>45646</v>
      </c>
      <c r="B501" s="146" t="s">
        <v>1005</v>
      </c>
      <c r="C501" s="147" t="s">
        <v>484</v>
      </c>
      <c r="D501" s="147" t="s">
        <v>486</v>
      </c>
      <c r="E501" s="147" t="s">
        <v>333</v>
      </c>
      <c r="F501" s="147" t="s">
        <v>478</v>
      </c>
      <c r="G501" s="147">
        <v>48</v>
      </c>
      <c r="H501" s="148">
        <v>59</v>
      </c>
      <c r="I501" s="149">
        <f t="shared" si="7"/>
        <v>2832</v>
      </c>
      <c r="J501" s="150" t="s">
        <v>515</v>
      </c>
      <c r="K501" s="151">
        <v>65.135999999999996</v>
      </c>
      <c r="L501">
        <f>Table13[[#This Row],[Price]]*Table13[[#This Row],[Units]]</f>
        <v>2832</v>
      </c>
    </row>
    <row r="502" spans="1:12" x14ac:dyDescent="0.35">
      <c r="A502" s="145">
        <v>45646</v>
      </c>
      <c r="B502" s="146" t="s">
        <v>1006</v>
      </c>
      <c r="C502" s="147" t="s">
        <v>492</v>
      </c>
      <c r="D502" s="147" t="s">
        <v>477</v>
      </c>
      <c r="E502" s="147" t="s">
        <v>333</v>
      </c>
      <c r="F502" s="147" t="s">
        <v>510</v>
      </c>
      <c r="G502" s="147">
        <v>57</v>
      </c>
      <c r="H502" s="148">
        <v>26</v>
      </c>
      <c r="I502" s="149">
        <f t="shared" si="7"/>
        <v>1482</v>
      </c>
      <c r="J502" s="150" t="s">
        <v>466</v>
      </c>
      <c r="K502" s="151">
        <v>34.085999999999999</v>
      </c>
      <c r="L502">
        <f>Table13[[#This Row],[Price]]*Table13[[#This Row],[Units]]</f>
        <v>1482</v>
      </c>
    </row>
    <row r="503" spans="1:12" x14ac:dyDescent="0.35">
      <c r="A503" s="145">
        <v>45646</v>
      </c>
      <c r="B503" s="146" t="s">
        <v>1007</v>
      </c>
      <c r="C503" s="147" t="s">
        <v>322</v>
      </c>
      <c r="D503" s="147" t="s">
        <v>477</v>
      </c>
      <c r="E503" s="147" t="s">
        <v>333</v>
      </c>
      <c r="F503" s="147" t="s">
        <v>454</v>
      </c>
      <c r="G503" s="147">
        <v>45</v>
      </c>
      <c r="H503" s="148">
        <v>42</v>
      </c>
      <c r="I503" s="149">
        <f t="shared" si="7"/>
        <v>1890</v>
      </c>
      <c r="J503" s="150" t="s">
        <v>466</v>
      </c>
      <c r="K503" s="151">
        <v>49.14</v>
      </c>
      <c r="L503">
        <f>Table13[[#This Row],[Price]]*Table13[[#This Row],[Units]]</f>
        <v>1890</v>
      </c>
    </row>
    <row r="504" spans="1:12" x14ac:dyDescent="0.35">
      <c r="A504" s="145">
        <v>45646</v>
      </c>
      <c r="B504" s="146" t="s">
        <v>1008</v>
      </c>
      <c r="C504" s="147" t="s">
        <v>464</v>
      </c>
      <c r="D504" s="147" t="s">
        <v>477</v>
      </c>
      <c r="E504" s="147" t="s">
        <v>324</v>
      </c>
      <c r="F504" s="147" t="s">
        <v>567</v>
      </c>
      <c r="G504" s="147">
        <v>53</v>
      </c>
      <c r="H504" s="148">
        <v>26</v>
      </c>
      <c r="I504" s="149">
        <f t="shared" si="7"/>
        <v>1378</v>
      </c>
      <c r="J504" s="150" t="s">
        <v>466</v>
      </c>
      <c r="K504" s="151">
        <v>30.315999999999999</v>
      </c>
      <c r="L504">
        <f>Table13[[#This Row],[Price]]*Table13[[#This Row],[Units]]</f>
        <v>1378</v>
      </c>
    </row>
    <row r="505" spans="1:12" x14ac:dyDescent="0.35">
      <c r="A505" s="145">
        <v>45646</v>
      </c>
      <c r="B505" s="146" t="s">
        <v>1009</v>
      </c>
      <c r="C505" s="147" t="s">
        <v>501</v>
      </c>
      <c r="D505" s="147" t="s">
        <v>490</v>
      </c>
      <c r="E505" s="147" t="s">
        <v>333</v>
      </c>
      <c r="F505" s="147" t="s">
        <v>539</v>
      </c>
      <c r="G505" s="147">
        <v>40</v>
      </c>
      <c r="H505" s="148">
        <v>37</v>
      </c>
      <c r="I505" s="149">
        <f t="shared" si="7"/>
        <v>1480</v>
      </c>
      <c r="J505" s="150" t="s">
        <v>466</v>
      </c>
      <c r="K505" s="151">
        <v>42.92</v>
      </c>
      <c r="L505">
        <f>Table13[[#This Row],[Price]]*Table13[[#This Row],[Units]]</f>
        <v>1480</v>
      </c>
    </row>
    <row r="506" spans="1:12" x14ac:dyDescent="0.35">
      <c r="A506" s="145">
        <v>45646</v>
      </c>
      <c r="B506" s="146" t="s">
        <v>1010</v>
      </c>
      <c r="C506" s="147" t="s">
        <v>322</v>
      </c>
      <c r="D506" s="147" t="s">
        <v>477</v>
      </c>
      <c r="E506" s="147" t="s">
        <v>320</v>
      </c>
      <c r="F506" s="147" t="s">
        <v>505</v>
      </c>
      <c r="G506" s="147">
        <v>10</v>
      </c>
      <c r="H506" s="148">
        <v>35</v>
      </c>
      <c r="I506" s="149">
        <f t="shared" si="7"/>
        <v>350</v>
      </c>
      <c r="J506" s="150" t="s">
        <v>472</v>
      </c>
      <c r="K506" s="151">
        <v>9.4499999999999993</v>
      </c>
      <c r="L506">
        <f>Table13[[#This Row],[Price]]*Table13[[#This Row],[Units]]</f>
        <v>350</v>
      </c>
    </row>
    <row r="507" spans="1:12" x14ac:dyDescent="0.35">
      <c r="A507" s="145">
        <v>45646</v>
      </c>
      <c r="B507" s="146" t="s">
        <v>1011</v>
      </c>
      <c r="C507" s="147" t="s">
        <v>464</v>
      </c>
      <c r="D507" s="147" t="s">
        <v>486</v>
      </c>
      <c r="E507" s="147" t="s">
        <v>324</v>
      </c>
      <c r="F507" s="147" t="s">
        <v>505</v>
      </c>
      <c r="G507" s="147">
        <v>12</v>
      </c>
      <c r="H507" s="148">
        <v>23</v>
      </c>
      <c r="I507" s="149">
        <f t="shared" si="7"/>
        <v>276</v>
      </c>
      <c r="J507" s="150" t="s">
        <v>466</v>
      </c>
      <c r="K507" s="151">
        <v>8.0039999999999996</v>
      </c>
      <c r="L507">
        <f>Table13[[#This Row],[Price]]*Table13[[#This Row],[Units]]</f>
        <v>276</v>
      </c>
    </row>
    <row r="508" spans="1:12" x14ac:dyDescent="0.35">
      <c r="A508" s="145">
        <v>45646</v>
      </c>
      <c r="B508" s="146" t="s">
        <v>1012</v>
      </c>
      <c r="C508" s="147" t="s">
        <v>484</v>
      </c>
      <c r="D508" s="147" t="s">
        <v>486</v>
      </c>
      <c r="E508" s="147" t="s">
        <v>390</v>
      </c>
      <c r="F508" s="147" t="s">
        <v>567</v>
      </c>
      <c r="G508" s="147">
        <v>44</v>
      </c>
      <c r="H508" s="148">
        <v>53</v>
      </c>
      <c r="I508" s="149">
        <f t="shared" si="7"/>
        <v>2332</v>
      </c>
      <c r="J508" s="150" t="s">
        <v>466</v>
      </c>
      <c r="K508" s="151">
        <v>51.304000000000002</v>
      </c>
      <c r="L508">
        <f>Table13[[#This Row],[Price]]*Table13[[#This Row],[Units]]</f>
        <v>2332</v>
      </c>
    </row>
    <row r="509" spans="1:12" x14ac:dyDescent="0.35">
      <c r="A509" s="145">
        <v>45646</v>
      </c>
      <c r="B509" s="146" t="s">
        <v>1013</v>
      </c>
      <c r="C509" s="147" t="s">
        <v>492</v>
      </c>
      <c r="D509" s="147" t="s">
        <v>470</v>
      </c>
      <c r="E509" s="147" t="s">
        <v>315</v>
      </c>
      <c r="F509" s="147" t="s">
        <v>491</v>
      </c>
      <c r="G509" s="147">
        <v>51</v>
      </c>
      <c r="H509" s="148">
        <v>40</v>
      </c>
      <c r="I509" s="149">
        <f t="shared" si="7"/>
        <v>2040</v>
      </c>
      <c r="J509" s="150" t="s">
        <v>503</v>
      </c>
      <c r="K509" s="151">
        <v>46.92</v>
      </c>
      <c r="L509">
        <f>Table13[[#This Row],[Price]]*Table13[[#This Row],[Units]]</f>
        <v>2040</v>
      </c>
    </row>
    <row r="510" spans="1:12" x14ac:dyDescent="0.35">
      <c r="A510" s="145">
        <v>45646</v>
      </c>
      <c r="B510" s="146" t="s">
        <v>1014</v>
      </c>
      <c r="C510" s="147" t="s">
        <v>494</v>
      </c>
      <c r="D510" s="147" t="s">
        <v>477</v>
      </c>
      <c r="E510" s="147" t="s">
        <v>390</v>
      </c>
      <c r="F510" s="147" t="s">
        <v>567</v>
      </c>
      <c r="G510" s="147">
        <v>56</v>
      </c>
      <c r="H510" s="148">
        <v>28</v>
      </c>
      <c r="I510" s="149">
        <f t="shared" si="7"/>
        <v>1568</v>
      </c>
      <c r="J510" s="150" t="s">
        <v>503</v>
      </c>
      <c r="K510" s="151">
        <v>42.335999999999999</v>
      </c>
      <c r="L510">
        <f>Table13[[#This Row],[Price]]*Table13[[#This Row],[Units]]</f>
        <v>1568</v>
      </c>
    </row>
    <row r="511" spans="1:12" x14ac:dyDescent="0.35">
      <c r="A511" s="145">
        <v>45647</v>
      </c>
      <c r="B511" s="146" t="s">
        <v>1015</v>
      </c>
      <c r="C511" s="147" t="s">
        <v>469</v>
      </c>
      <c r="D511" s="147" t="s">
        <v>486</v>
      </c>
      <c r="E511" s="147" t="s">
        <v>390</v>
      </c>
      <c r="F511" s="147" t="s">
        <v>500</v>
      </c>
      <c r="G511" s="147">
        <v>17</v>
      </c>
      <c r="H511" s="148">
        <v>39</v>
      </c>
      <c r="I511" s="149">
        <f t="shared" si="7"/>
        <v>663</v>
      </c>
      <c r="J511" s="150" t="s">
        <v>503</v>
      </c>
      <c r="K511" s="151">
        <v>13.26</v>
      </c>
      <c r="L511">
        <f>Table13[[#This Row],[Price]]*Table13[[#This Row],[Units]]</f>
        <v>663</v>
      </c>
    </row>
    <row r="512" spans="1:12" x14ac:dyDescent="0.35">
      <c r="A512" s="145">
        <v>45647</v>
      </c>
      <c r="B512" s="146" t="s">
        <v>1016</v>
      </c>
      <c r="C512" s="147" t="s">
        <v>489</v>
      </c>
      <c r="D512" s="147" t="s">
        <v>512</v>
      </c>
      <c r="E512" s="147" t="s">
        <v>320</v>
      </c>
      <c r="F512" s="147" t="s">
        <v>487</v>
      </c>
      <c r="G512" s="147">
        <v>25</v>
      </c>
      <c r="H512" s="148">
        <v>28</v>
      </c>
      <c r="I512" s="149">
        <f t="shared" si="7"/>
        <v>700</v>
      </c>
      <c r="J512" s="150" t="s">
        <v>472</v>
      </c>
      <c r="K512" s="151">
        <v>16.100000000000001</v>
      </c>
      <c r="L512">
        <f>Table13[[#This Row],[Price]]*Table13[[#This Row],[Units]]</f>
        <v>700</v>
      </c>
    </row>
    <row r="513" spans="1:12" x14ac:dyDescent="0.35">
      <c r="A513" s="145">
        <v>45647</v>
      </c>
      <c r="B513" s="146" t="s">
        <v>1017</v>
      </c>
      <c r="C513" s="147" t="s">
        <v>492</v>
      </c>
      <c r="D513" s="147" t="s">
        <v>486</v>
      </c>
      <c r="E513" s="147" t="s">
        <v>483</v>
      </c>
      <c r="F513" s="147" t="s">
        <v>536</v>
      </c>
      <c r="G513" s="147">
        <v>38</v>
      </c>
      <c r="H513" s="148">
        <v>40</v>
      </c>
      <c r="I513" s="149">
        <f t="shared" si="7"/>
        <v>1520</v>
      </c>
      <c r="J513" s="150" t="s">
        <v>466</v>
      </c>
      <c r="K513" s="151">
        <v>41.04</v>
      </c>
      <c r="L513">
        <f>Table13[[#This Row],[Price]]*Table13[[#This Row],[Units]]</f>
        <v>1520</v>
      </c>
    </row>
    <row r="514" spans="1:12" x14ac:dyDescent="0.35">
      <c r="A514" s="145">
        <v>45647</v>
      </c>
      <c r="B514" s="146" t="s">
        <v>1018</v>
      </c>
      <c r="C514" s="147" t="s">
        <v>322</v>
      </c>
      <c r="D514" s="147" t="s">
        <v>490</v>
      </c>
      <c r="E514" s="147" t="s">
        <v>315</v>
      </c>
      <c r="F514" s="147" t="s">
        <v>539</v>
      </c>
      <c r="G514" s="147">
        <v>16</v>
      </c>
      <c r="H514" s="148">
        <v>20</v>
      </c>
      <c r="I514" s="149">
        <f t="shared" si="7"/>
        <v>320</v>
      </c>
      <c r="J514" s="150" t="s">
        <v>466</v>
      </c>
      <c r="K514" s="151">
        <v>9.6</v>
      </c>
      <c r="L514">
        <f>Table13[[#This Row],[Price]]*Table13[[#This Row],[Units]]</f>
        <v>320</v>
      </c>
    </row>
    <row r="515" spans="1:12" x14ac:dyDescent="0.35">
      <c r="A515" s="145">
        <v>45647</v>
      </c>
      <c r="B515" s="146" t="s">
        <v>1019</v>
      </c>
      <c r="C515" s="147" t="s">
        <v>322</v>
      </c>
      <c r="D515" s="147" t="s">
        <v>490</v>
      </c>
      <c r="E515" s="147" t="s">
        <v>324</v>
      </c>
      <c r="F515" s="147" t="s">
        <v>478</v>
      </c>
      <c r="G515" s="147">
        <v>26</v>
      </c>
      <c r="H515" s="148">
        <v>38</v>
      </c>
      <c r="I515" s="149">
        <f t="shared" ref="I515:I578" si="8">G515*H515</f>
        <v>988</v>
      </c>
      <c r="J515" s="150" t="s">
        <v>515</v>
      </c>
      <c r="K515" s="151">
        <v>23.712</v>
      </c>
      <c r="L515">
        <f>Table13[[#This Row],[Price]]*Table13[[#This Row],[Units]]</f>
        <v>988</v>
      </c>
    </row>
    <row r="516" spans="1:12" x14ac:dyDescent="0.35">
      <c r="A516" s="145">
        <v>45647</v>
      </c>
      <c r="B516" s="146" t="s">
        <v>1020</v>
      </c>
      <c r="C516" s="147" t="s">
        <v>322</v>
      </c>
      <c r="D516" s="147" t="s">
        <v>486</v>
      </c>
      <c r="E516" s="147" t="s">
        <v>390</v>
      </c>
      <c r="F516" s="147" t="s">
        <v>520</v>
      </c>
      <c r="G516" s="147">
        <v>21</v>
      </c>
      <c r="H516" s="148">
        <v>51</v>
      </c>
      <c r="I516" s="149">
        <f t="shared" si="8"/>
        <v>1071</v>
      </c>
      <c r="J516" s="150" t="s">
        <v>472</v>
      </c>
      <c r="K516" s="151">
        <v>32.130000000000003</v>
      </c>
      <c r="L516">
        <f>Table13[[#This Row],[Price]]*Table13[[#This Row],[Units]]</f>
        <v>1071</v>
      </c>
    </row>
    <row r="517" spans="1:12" x14ac:dyDescent="0.35">
      <c r="A517" s="145">
        <v>45647</v>
      </c>
      <c r="B517" s="146" t="s">
        <v>1021</v>
      </c>
      <c r="C517" s="147" t="s">
        <v>494</v>
      </c>
      <c r="D517" s="147" t="s">
        <v>477</v>
      </c>
      <c r="E517" s="147" t="s">
        <v>324</v>
      </c>
      <c r="F517" s="147" t="s">
        <v>539</v>
      </c>
      <c r="G517" s="147">
        <v>50</v>
      </c>
      <c r="H517" s="148">
        <v>45</v>
      </c>
      <c r="I517" s="149">
        <f t="shared" si="8"/>
        <v>2250</v>
      </c>
      <c r="J517" s="150" t="s">
        <v>515</v>
      </c>
      <c r="K517" s="151">
        <v>58.5</v>
      </c>
      <c r="L517">
        <f>Table13[[#This Row],[Price]]*Table13[[#This Row],[Units]]</f>
        <v>2250</v>
      </c>
    </row>
    <row r="518" spans="1:12" x14ac:dyDescent="0.35">
      <c r="A518" s="145">
        <v>45647</v>
      </c>
      <c r="B518" s="146" t="s">
        <v>1022</v>
      </c>
      <c r="C518" s="147" t="s">
        <v>322</v>
      </c>
      <c r="D518" s="147" t="s">
        <v>519</v>
      </c>
      <c r="E518" s="147" t="s">
        <v>320</v>
      </c>
      <c r="F518" s="147" t="s">
        <v>505</v>
      </c>
      <c r="G518" s="147">
        <v>51</v>
      </c>
      <c r="H518" s="148">
        <v>41</v>
      </c>
      <c r="I518" s="149">
        <f t="shared" si="8"/>
        <v>2091</v>
      </c>
      <c r="J518" s="150" t="s">
        <v>466</v>
      </c>
      <c r="K518" s="151">
        <v>58.548000000000002</v>
      </c>
      <c r="L518">
        <f>Table13[[#This Row],[Price]]*Table13[[#This Row],[Units]]</f>
        <v>2091</v>
      </c>
    </row>
    <row r="519" spans="1:12" x14ac:dyDescent="0.35">
      <c r="A519" s="145">
        <v>45647</v>
      </c>
      <c r="B519" s="146" t="s">
        <v>1023</v>
      </c>
      <c r="C519" s="147" t="s">
        <v>492</v>
      </c>
      <c r="D519" s="147" t="s">
        <v>477</v>
      </c>
      <c r="E519" s="147" t="s">
        <v>320</v>
      </c>
      <c r="F519" s="147" t="s">
        <v>505</v>
      </c>
      <c r="G519" s="147">
        <v>36</v>
      </c>
      <c r="H519" s="148">
        <v>44</v>
      </c>
      <c r="I519" s="149">
        <f t="shared" si="8"/>
        <v>1584</v>
      </c>
      <c r="J519" s="150" t="s">
        <v>466</v>
      </c>
      <c r="K519" s="151">
        <v>44.351999999999997</v>
      </c>
      <c r="L519">
        <f>Table13[[#This Row],[Price]]*Table13[[#This Row],[Units]]</f>
        <v>1584</v>
      </c>
    </row>
    <row r="520" spans="1:12" x14ac:dyDescent="0.35">
      <c r="A520" s="145">
        <v>45647</v>
      </c>
      <c r="B520" s="146" t="s">
        <v>1024</v>
      </c>
      <c r="C520" s="147" t="s">
        <v>484</v>
      </c>
      <c r="D520" s="147" t="s">
        <v>486</v>
      </c>
      <c r="E520" s="147" t="s">
        <v>483</v>
      </c>
      <c r="F520" s="147" t="s">
        <v>478</v>
      </c>
      <c r="G520" s="147">
        <v>57</v>
      </c>
      <c r="H520" s="148">
        <v>57</v>
      </c>
      <c r="I520" s="149">
        <f t="shared" si="8"/>
        <v>3249</v>
      </c>
      <c r="J520" s="150" t="s">
        <v>503</v>
      </c>
      <c r="K520" s="151">
        <v>81.224999999999994</v>
      </c>
      <c r="L520">
        <f>Table13[[#This Row],[Price]]*Table13[[#This Row],[Units]]</f>
        <v>3249</v>
      </c>
    </row>
    <row r="521" spans="1:12" x14ac:dyDescent="0.35">
      <c r="A521" s="145">
        <v>45647</v>
      </c>
      <c r="B521" s="146" t="s">
        <v>1025</v>
      </c>
      <c r="C521" s="147" t="s">
        <v>322</v>
      </c>
      <c r="D521" s="147" t="s">
        <v>490</v>
      </c>
      <c r="E521" s="147" t="s">
        <v>412</v>
      </c>
      <c r="F521" s="147" t="s">
        <v>505</v>
      </c>
      <c r="G521" s="147">
        <v>31</v>
      </c>
      <c r="H521" s="148">
        <v>34</v>
      </c>
      <c r="I521" s="149">
        <f t="shared" si="8"/>
        <v>1054</v>
      </c>
      <c r="J521" s="150" t="s">
        <v>503</v>
      </c>
      <c r="K521" s="151">
        <v>26.35</v>
      </c>
      <c r="L521">
        <f>Table13[[#This Row],[Price]]*Table13[[#This Row],[Units]]</f>
        <v>1054</v>
      </c>
    </row>
    <row r="522" spans="1:12" x14ac:dyDescent="0.35">
      <c r="A522" s="145">
        <v>45647</v>
      </c>
      <c r="B522" s="146" t="s">
        <v>1026</v>
      </c>
      <c r="C522" s="147" t="s">
        <v>494</v>
      </c>
      <c r="D522" s="147" t="s">
        <v>512</v>
      </c>
      <c r="E522" s="147" t="s">
        <v>324</v>
      </c>
      <c r="F522" s="147" t="s">
        <v>478</v>
      </c>
      <c r="G522" s="147">
        <v>44</v>
      </c>
      <c r="H522" s="148">
        <v>37</v>
      </c>
      <c r="I522" s="149">
        <f t="shared" si="8"/>
        <v>1628</v>
      </c>
      <c r="J522" s="150" t="s">
        <v>466</v>
      </c>
      <c r="K522" s="151">
        <v>48.84</v>
      </c>
      <c r="L522">
        <f>Table13[[#This Row],[Price]]*Table13[[#This Row],[Units]]</f>
        <v>1628</v>
      </c>
    </row>
    <row r="523" spans="1:12" x14ac:dyDescent="0.35">
      <c r="A523" s="145">
        <v>45647</v>
      </c>
      <c r="B523" s="146" t="s">
        <v>1027</v>
      </c>
      <c r="C523" s="147" t="s">
        <v>494</v>
      </c>
      <c r="D523" s="147" t="s">
        <v>470</v>
      </c>
      <c r="E523" s="147" t="s">
        <v>324</v>
      </c>
      <c r="F523" s="147" t="s">
        <v>517</v>
      </c>
      <c r="G523" s="147">
        <v>12</v>
      </c>
      <c r="H523" s="148">
        <v>53</v>
      </c>
      <c r="I523" s="149">
        <f t="shared" si="8"/>
        <v>636</v>
      </c>
      <c r="J523" s="150" t="s">
        <v>466</v>
      </c>
      <c r="K523" s="151">
        <v>16.536000000000001</v>
      </c>
      <c r="L523">
        <f>Table13[[#This Row],[Price]]*Table13[[#This Row],[Units]]</f>
        <v>636</v>
      </c>
    </row>
    <row r="524" spans="1:12" x14ac:dyDescent="0.35">
      <c r="A524" s="145">
        <v>45648</v>
      </c>
      <c r="B524" s="146" t="s">
        <v>1028</v>
      </c>
      <c r="C524" s="147" t="s">
        <v>322</v>
      </c>
      <c r="D524" s="147" t="s">
        <v>486</v>
      </c>
      <c r="E524" s="147" t="s">
        <v>324</v>
      </c>
      <c r="F524" s="147" t="s">
        <v>454</v>
      </c>
      <c r="G524" s="147">
        <v>36</v>
      </c>
      <c r="H524" s="148">
        <v>47</v>
      </c>
      <c r="I524" s="149">
        <f t="shared" si="8"/>
        <v>1692</v>
      </c>
      <c r="J524" s="150" t="s">
        <v>515</v>
      </c>
      <c r="K524" s="151">
        <v>50.76</v>
      </c>
      <c r="L524">
        <f>Table13[[#This Row],[Price]]*Table13[[#This Row],[Units]]</f>
        <v>1692</v>
      </c>
    </row>
    <row r="525" spans="1:12" x14ac:dyDescent="0.35">
      <c r="A525" s="145">
        <v>45648</v>
      </c>
      <c r="B525" s="146" t="s">
        <v>1029</v>
      </c>
      <c r="C525" s="147" t="s">
        <v>469</v>
      </c>
      <c r="D525" s="147" t="s">
        <v>486</v>
      </c>
      <c r="E525" s="147" t="s">
        <v>324</v>
      </c>
      <c r="F525" s="147" t="s">
        <v>471</v>
      </c>
      <c r="G525" s="147">
        <v>38</v>
      </c>
      <c r="H525" s="148">
        <v>53</v>
      </c>
      <c r="I525" s="149">
        <f t="shared" si="8"/>
        <v>2014</v>
      </c>
      <c r="J525" s="150" t="s">
        <v>515</v>
      </c>
      <c r="K525" s="151">
        <v>40.28</v>
      </c>
      <c r="L525">
        <f>Table13[[#This Row],[Price]]*Table13[[#This Row],[Units]]</f>
        <v>2014</v>
      </c>
    </row>
    <row r="526" spans="1:12" x14ac:dyDescent="0.35">
      <c r="A526" s="145">
        <v>45648</v>
      </c>
      <c r="B526" s="146" t="s">
        <v>1030</v>
      </c>
      <c r="C526" s="147" t="s">
        <v>469</v>
      </c>
      <c r="D526" s="147" t="s">
        <v>477</v>
      </c>
      <c r="E526" s="147" t="s">
        <v>324</v>
      </c>
      <c r="F526" s="147" t="s">
        <v>517</v>
      </c>
      <c r="G526" s="147">
        <v>48</v>
      </c>
      <c r="H526" s="148">
        <v>38</v>
      </c>
      <c r="I526" s="149">
        <f t="shared" si="8"/>
        <v>1824</v>
      </c>
      <c r="J526" s="150" t="s">
        <v>466</v>
      </c>
      <c r="K526" s="151">
        <v>40.128</v>
      </c>
      <c r="L526">
        <f>Table13[[#This Row],[Price]]*Table13[[#This Row],[Units]]</f>
        <v>1824</v>
      </c>
    </row>
    <row r="527" spans="1:12" x14ac:dyDescent="0.35">
      <c r="A527" s="145">
        <v>45648</v>
      </c>
      <c r="B527" s="146" t="s">
        <v>1031</v>
      </c>
      <c r="C527" s="147" t="s">
        <v>464</v>
      </c>
      <c r="D527" s="147" t="s">
        <v>512</v>
      </c>
      <c r="E527" s="147" t="s">
        <v>333</v>
      </c>
      <c r="F527" s="147" t="s">
        <v>523</v>
      </c>
      <c r="G527" s="147">
        <v>41</v>
      </c>
      <c r="H527" s="148">
        <v>50</v>
      </c>
      <c r="I527" s="149">
        <f t="shared" si="8"/>
        <v>2050</v>
      </c>
      <c r="J527" s="150" t="s">
        <v>515</v>
      </c>
      <c r="K527" s="151">
        <v>49.2</v>
      </c>
      <c r="L527">
        <f>Table13[[#This Row],[Price]]*Table13[[#This Row],[Units]]</f>
        <v>2050</v>
      </c>
    </row>
    <row r="528" spans="1:12" x14ac:dyDescent="0.35">
      <c r="A528" s="145">
        <v>45648</v>
      </c>
      <c r="B528" s="146" t="s">
        <v>1032</v>
      </c>
      <c r="C528" s="147" t="s">
        <v>464</v>
      </c>
      <c r="D528" s="147" t="s">
        <v>470</v>
      </c>
      <c r="E528" s="147" t="s">
        <v>333</v>
      </c>
      <c r="F528" s="147" t="s">
        <v>513</v>
      </c>
      <c r="G528" s="147">
        <v>52</v>
      </c>
      <c r="H528" s="148">
        <v>57</v>
      </c>
      <c r="I528" s="149">
        <f t="shared" si="8"/>
        <v>2964</v>
      </c>
      <c r="J528" s="150" t="s">
        <v>466</v>
      </c>
      <c r="K528" s="151">
        <v>65.207999999999998</v>
      </c>
      <c r="L528">
        <f>Table13[[#This Row],[Price]]*Table13[[#This Row],[Units]]</f>
        <v>2964</v>
      </c>
    </row>
    <row r="529" spans="1:12" x14ac:dyDescent="0.35">
      <c r="A529" s="145">
        <v>45648</v>
      </c>
      <c r="B529" s="146" t="s">
        <v>1033</v>
      </c>
      <c r="C529" s="147" t="s">
        <v>469</v>
      </c>
      <c r="D529" s="147" t="s">
        <v>490</v>
      </c>
      <c r="E529" s="147" t="s">
        <v>320</v>
      </c>
      <c r="F529" s="147" t="s">
        <v>497</v>
      </c>
      <c r="G529" s="147">
        <v>18</v>
      </c>
      <c r="H529" s="148">
        <v>55</v>
      </c>
      <c r="I529" s="149">
        <f t="shared" si="8"/>
        <v>990</v>
      </c>
      <c r="J529" s="150" t="s">
        <v>503</v>
      </c>
      <c r="K529" s="151">
        <v>26.73</v>
      </c>
      <c r="L529">
        <f>Table13[[#This Row],[Price]]*Table13[[#This Row],[Units]]</f>
        <v>990</v>
      </c>
    </row>
    <row r="530" spans="1:12" x14ac:dyDescent="0.35">
      <c r="A530" s="145">
        <v>45648</v>
      </c>
      <c r="B530" s="146" t="s">
        <v>1034</v>
      </c>
      <c r="C530" s="147" t="s">
        <v>469</v>
      </c>
      <c r="D530" s="147" t="s">
        <v>465</v>
      </c>
      <c r="E530" s="147" t="s">
        <v>324</v>
      </c>
      <c r="F530" s="147" t="s">
        <v>497</v>
      </c>
      <c r="G530" s="147">
        <v>33</v>
      </c>
      <c r="H530" s="148">
        <v>59</v>
      </c>
      <c r="I530" s="149">
        <f t="shared" si="8"/>
        <v>1947</v>
      </c>
      <c r="J530" s="150" t="s">
        <v>466</v>
      </c>
      <c r="K530" s="151">
        <v>56.463000000000001</v>
      </c>
      <c r="L530">
        <f>Table13[[#This Row],[Price]]*Table13[[#This Row],[Units]]</f>
        <v>1947</v>
      </c>
    </row>
    <row r="531" spans="1:12" x14ac:dyDescent="0.35">
      <c r="A531" s="145">
        <v>45649</v>
      </c>
      <c r="B531" s="146" t="s">
        <v>1035</v>
      </c>
      <c r="C531" s="147" t="s">
        <v>489</v>
      </c>
      <c r="D531" s="147" t="s">
        <v>519</v>
      </c>
      <c r="E531" s="147" t="s">
        <v>324</v>
      </c>
      <c r="F531" s="147" t="s">
        <v>567</v>
      </c>
      <c r="G531" s="147">
        <v>15</v>
      </c>
      <c r="H531" s="148">
        <v>32</v>
      </c>
      <c r="I531" s="149">
        <f t="shared" si="8"/>
        <v>480</v>
      </c>
      <c r="J531" s="150" t="s">
        <v>466</v>
      </c>
      <c r="K531" s="151">
        <v>11.04</v>
      </c>
      <c r="L531">
        <f>Table13[[#This Row],[Price]]*Table13[[#This Row],[Units]]</f>
        <v>480</v>
      </c>
    </row>
    <row r="532" spans="1:12" x14ac:dyDescent="0.35">
      <c r="A532" s="145">
        <v>45650</v>
      </c>
      <c r="B532" s="146" t="s">
        <v>1036</v>
      </c>
      <c r="C532" s="147" t="s">
        <v>492</v>
      </c>
      <c r="D532" s="147" t="s">
        <v>486</v>
      </c>
      <c r="E532" s="147" t="s">
        <v>324</v>
      </c>
      <c r="F532" s="147" t="s">
        <v>520</v>
      </c>
      <c r="G532" s="147">
        <v>38</v>
      </c>
      <c r="H532" s="148">
        <v>55</v>
      </c>
      <c r="I532" s="149">
        <f t="shared" si="8"/>
        <v>2090</v>
      </c>
      <c r="J532" s="150" t="s">
        <v>515</v>
      </c>
      <c r="K532" s="151">
        <v>43.89</v>
      </c>
      <c r="L532">
        <f>Table13[[#This Row],[Price]]*Table13[[#This Row],[Units]]</f>
        <v>2090</v>
      </c>
    </row>
    <row r="533" spans="1:12" x14ac:dyDescent="0.35">
      <c r="A533" s="145">
        <v>45650</v>
      </c>
      <c r="B533" s="146" t="s">
        <v>1037</v>
      </c>
      <c r="C533" s="147" t="s">
        <v>322</v>
      </c>
      <c r="D533" s="147" t="s">
        <v>512</v>
      </c>
      <c r="E533" s="147" t="s">
        <v>324</v>
      </c>
      <c r="F533" s="147" t="s">
        <v>523</v>
      </c>
      <c r="G533" s="147">
        <v>18</v>
      </c>
      <c r="H533" s="148">
        <v>37</v>
      </c>
      <c r="I533" s="149">
        <f t="shared" si="8"/>
        <v>666</v>
      </c>
      <c r="J533" s="150" t="s">
        <v>466</v>
      </c>
      <c r="K533" s="151">
        <v>18.648</v>
      </c>
      <c r="L533">
        <f>Table13[[#This Row],[Price]]*Table13[[#This Row],[Units]]</f>
        <v>666</v>
      </c>
    </row>
    <row r="534" spans="1:12" x14ac:dyDescent="0.35">
      <c r="A534" s="145">
        <v>45650</v>
      </c>
      <c r="B534" s="146" t="s">
        <v>1038</v>
      </c>
      <c r="C534" s="147" t="s">
        <v>484</v>
      </c>
      <c r="D534" s="147" t="s">
        <v>512</v>
      </c>
      <c r="E534" s="147" t="s">
        <v>412</v>
      </c>
      <c r="F534" s="147" t="s">
        <v>528</v>
      </c>
      <c r="G534" s="147">
        <v>58</v>
      </c>
      <c r="H534" s="148">
        <v>59</v>
      </c>
      <c r="I534" s="149">
        <f t="shared" si="8"/>
        <v>3422</v>
      </c>
      <c r="J534" s="150" t="s">
        <v>466</v>
      </c>
      <c r="K534" s="151">
        <v>95.816000000000003</v>
      </c>
      <c r="L534">
        <f>Table13[[#This Row],[Price]]*Table13[[#This Row],[Units]]</f>
        <v>3422</v>
      </c>
    </row>
    <row r="535" spans="1:12" x14ac:dyDescent="0.35">
      <c r="A535" s="145">
        <v>45650</v>
      </c>
      <c r="B535" s="146" t="s">
        <v>1039</v>
      </c>
      <c r="C535" s="147" t="s">
        <v>501</v>
      </c>
      <c r="D535" s="147" t="s">
        <v>465</v>
      </c>
      <c r="E535" s="147" t="s">
        <v>320</v>
      </c>
      <c r="F535" s="147" t="s">
        <v>510</v>
      </c>
      <c r="G535" s="147">
        <v>55</v>
      </c>
      <c r="H535" s="148">
        <v>48</v>
      </c>
      <c r="I535" s="149">
        <f t="shared" si="8"/>
        <v>2640</v>
      </c>
      <c r="J535" s="150" t="s">
        <v>466</v>
      </c>
      <c r="K535" s="151">
        <v>79.2</v>
      </c>
      <c r="L535">
        <f>Table13[[#This Row],[Price]]*Table13[[#This Row],[Units]]</f>
        <v>2640</v>
      </c>
    </row>
    <row r="536" spans="1:12" x14ac:dyDescent="0.35">
      <c r="A536" s="145">
        <v>45650</v>
      </c>
      <c r="B536" s="146" t="s">
        <v>1040</v>
      </c>
      <c r="C536" s="147" t="s">
        <v>484</v>
      </c>
      <c r="D536" s="147" t="s">
        <v>486</v>
      </c>
      <c r="E536" s="147" t="s">
        <v>320</v>
      </c>
      <c r="F536" s="147" t="s">
        <v>528</v>
      </c>
      <c r="G536" s="147">
        <v>26</v>
      </c>
      <c r="H536" s="148">
        <v>25</v>
      </c>
      <c r="I536" s="149">
        <f t="shared" si="8"/>
        <v>650</v>
      </c>
      <c r="J536" s="150" t="s">
        <v>472</v>
      </c>
      <c r="K536" s="151">
        <v>14.3</v>
      </c>
      <c r="L536">
        <f>Table13[[#This Row],[Price]]*Table13[[#This Row],[Units]]</f>
        <v>650</v>
      </c>
    </row>
    <row r="537" spans="1:12" x14ac:dyDescent="0.35">
      <c r="A537" s="145">
        <v>45650</v>
      </c>
      <c r="B537" s="146" t="s">
        <v>1041</v>
      </c>
      <c r="C537" s="147" t="s">
        <v>322</v>
      </c>
      <c r="D537" s="147" t="s">
        <v>465</v>
      </c>
      <c r="E537" s="147" t="s">
        <v>320</v>
      </c>
      <c r="F537" s="147" t="s">
        <v>528</v>
      </c>
      <c r="G537" s="147">
        <v>36</v>
      </c>
      <c r="H537" s="148">
        <v>42</v>
      </c>
      <c r="I537" s="149">
        <f t="shared" si="8"/>
        <v>1512</v>
      </c>
      <c r="J537" s="150" t="s">
        <v>515</v>
      </c>
      <c r="K537" s="151">
        <v>39.311999999999998</v>
      </c>
      <c r="L537">
        <f>Table13[[#This Row],[Price]]*Table13[[#This Row],[Units]]</f>
        <v>1512</v>
      </c>
    </row>
    <row r="538" spans="1:12" x14ac:dyDescent="0.35">
      <c r="A538" s="145">
        <v>45650</v>
      </c>
      <c r="B538" s="146" t="s">
        <v>1042</v>
      </c>
      <c r="C538" s="147" t="s">
        <v>484</v>
      </c>
      <c r="D538" s="147" t="s">
        <v>486</v>
      </c>
      <c r="E538" s="147" t="s">
        <v>390</v>
      </c>
      <c r="F538" s="147" t="s">
        <v>523</v>
      </c>
      <c r="G538" s="147">
        <v>60</v>
      </c>
      <c r="H538" s="148">
        <v>48</v>
      </c>
      <c r="I538" s="149">
        <f t="shared" si="8"/>
        <v>2880</v>
      </c>
      <c r="J538" s="150" t="s">
        <v>515</v>
      </c>
      <c r="K538" s="151">
        <v>86.4</v>
      </c>
      <c r="L538">
        <f>Table13[[#This Row],[Price]]*Table13[[#This Row],[Units]]</f>
        <v>2880</v>
      </c>
    </row>
    <row r="539" spans="1:12" x14ac:dyDescent="0.35">
      <c r="A539" s="145">
        <v>45650</v>
      </c>
      <c r="B539" s="146" t="s">
        <v>1043</v>
      </c>
      <c r="C539" s="147" t="s">
        <v>484</v>
      </c>
      <c r="D539" s="147" t="s">
        <v>486</v>
      </c>
      <c r="E539" s="147" t="s">
        <v>390</v>
      </c>
      <c r="F539" s="147" t="s">
        <v>523</v>
      </c>
      <c r="G539" s="147">
        <v>27</v>
      </c>
      <c r="H539" s="148">
        <v>50</v>
      </c>
      <c r="I539" s="149">
        <f t="shared" si="8"/>
        <v>1350</v>
      </c>
      <c r="J539" s="150" t="s">
        <v>466</v>
      </c>
      <c r="K539" s="151">
        <v>35.1</v>
      </c>
      <c r="L539">
        <f>Table13[[#This Row],[Price]]*Table13[[#This Row],[Units]]</f>
        <v>1350</v>
      </c>
    </row>
    <row r="540" spans="1:12" x14ac:dyDescent="0.35">
      <c r="A540" s="145">
        <v>45650</v>
      </c>
      <c r="B540" s="146" t="s">
        <v>1044</v>
      </c>
      <c r="C540" s="147" t="s">
        <v>489</v>
      </c>
      <c r="D540" s="147" t="s">
        <v>486</v>
      </c>
      <c r="E540" s="147" t="s">
        <v>315</v>
      </c>
      <c r="F540" s="147" t="s">
        <v>500</v>
      </c>
      <c r="G540" s="147">
        <v>37</v>
      </c>
      <c r="H540" s="148">
        <v>46</v>
      </c>
      <c r="I540" s="149">
        <f t="shared" si="8"/>
        <v>1702</v>
      </c>
      <c r="J540" s="150" t="s">
        <v>466</v>
      </c>
      <c r="K540" s="151">
        <v>44.252000000000002</v>
      </c>
      <c r="L540">
        <f>Table13[[#This Row],[Price]]*Table13[[#This Row],[Units]]</f>
        <v>1702</v>
      </c>
    </row>
    <row r="541" spans="1:12" x14ac:dyDescent="0.35">
      <c r="A541" s="145">
        <v>45650</v>
      </c>
      <c r="B541" s="146" t="s">
        <v>1045</v>
      </c>
      <c r="C541" s="147" t="s">
        <v>501</v>
      </c>
      <c r="D541" s="147" t="s">
        <v>470</v>
      </c>
      <c r="E541" s="147" t="s">
        <v>483</v>
      </c>
      <c r="F541" s="147" t="s">
        <v>528</v>
      </c>
      <c r="G541" s="147">
        <v>56</v>
      </c>
      <c r="H541" s="148">
        <v>27</v>
      </c>
      <c r="I541" s="149">
        <f t="shared" si="8"/>
        <v>1512</v>
      </c>
      <c r="J541" s="150" t="s">
        <v>466</v>
      </c>
      <c r="K541" s="151">
        <v>45.36</v>
      </c>
      <c r="L541">
        <f>Table13[[#This Row],[Price]]*Table13[[#This Row],[Units]]</f>
        <v>1512</v>
      </c>
    </row>
    <row r="542" spans="1:12" x14ac:dyDescent="0.35">
      <c r="A542" s="145">
        <v>45650</v>
      </c>
      <c r="B542" s="146" t="s">
        <v>1046</v>
      </c>
      <c r="C542" s="147" t="s">
        <v>501</v>
      </c>
      <c r="D542" s="147" t="s">
        <v>486</v>
      </c>
      <c r="E542" s="147" t="s">
        <v>324</v>
      </c>
      <c r="F542" s="147" t="s">
        <v>528</v>
      </c>
      <c r="G542" s="147">
        <v>36</v>
      </c>
      <c r="H542" s="148">
        <v>55</v>
      </c>
      <c r="I542" s="149">
        <f t="shared" si="8"/>
        <v>1980</v>
      </c>
      <c r="J542" s="150" t="s">
        <v>472</v>
      </c>
      <c r="K542" s="151">
        <v>49.5</v>
      </c>
      <c r="L542">
        <f>Table13[[#This Row],[Price]]*Table13[[#This Row],[Units]]</f>
        <v>1980</v>
      </c>
    </row>
    <row r="543" spans="1:12" x14ac:dyDescent="0.35">
      <c r="A543" s="145">
        <v>45650</v>
      </c>
      <c r="B543" s="146" t="s">
        <v>1047</v>
      </c>
      <c r="C543" s="147" t="s">
        <v>492</v>
      </c>
      <c r="D543" s="147" t="s">
        <v>512</v>
      </c>
      <c r="E543" s="147" t="s">
        <v>333</v>
      </c>
      <c r="F543" s="147" t="s">
        <v>567</v>
      </c>
      <c r="G543" s="147">
        <v>15</v>
      </c>
      <c r="H543" s="148">
        <v>57</v>
      </c>
      <c r="I543" s="149">
        <f t="shared" si="8"/>
        <v>855</v>
      </c>
      <c r="J543" s="150" t="s">
        <v>466</v>
      </c>
      <c r="K543" s="151">
        <v>17.100000000000001</v>
      </c>
      <c r="L543">
        <f>Table13[[#This Row],[Price]]*Table13[[#This Row],[Units]]</f>
        <v>855</v>
      </c>
    </row>
    <row r="544" spans="1:12" x14ac:dyDescent="0.35">
      <c r="A544" s="145">
        <v>45651</v>
      </c>
      <c r="B544" s="146" t="s">
        <v>1048</v>
      </c>
      <c r="C544" s="147" t="s">
        <v>322</v>
      </c>
      <c r="D544" s="147" t="s">
        <v>470</v>
      </c>
      <c r="E544" s="147" t="s">
        <v>333</v>
      </c>
      <c r="F544" s="147" t="s">
        <v>505</v>
      </c>
      <c r="G544" s="147">
        <v>15</v>
      </c>
      <c r="H544" s="148">
        <v>58</v>
      </c>
      <c r="I544" s="149">
        <f t="shared" si="8"/>
        <v>870</v>
      </c>
      <c r="J544" s="150" t="s">
        <v>472</v>
      </c>
      <c r="K544" s="151">
        <v>24.36</v>
      </c>
      <c r="L544">
        <f>Table13[[#This Row],[Price]]*Table13[[#This Row],[Units]]</f>
        <v>870</v>
      </c>
    </row>
    <row r="545" spans="1:12" x14ac:dyDescent="0.35">
      <c r="A545" s="145">
        <v>45651</v>
      </c>
      <c r="B545" s="146" t="s">
        <v>1049</v>
      </c>
      <c r="C545" s="147" t="s">
        <v>476</v>
      </c>
      <c r="D545" s="147" t="s">
        <v>477</v>
      </c>
      <c r="E545" s="147" t="s">
        <v>320</v>
      </c>
      <c r="F545" s="147" t="s">
        <v>520</v>
      </c>
      <c r="G545" s="147">
        <v>11</v>
      </c>
      <c r="H545" s="148">
        <v>25</v>
      </c>
      <c r="I545" s="149">
        <f t="shared" si="8"/>
        <v>275</v>
      </c>
      <c r="J545" s="150" t="s">
        <v>472</v>
      </c>
      <c r="K545" s="151">
        <v>7.4249999999999998</v>
      </c>
      <c r="L545">
        <f>Table13[[#This Row],[Price]]*Table13[[#This Row],[Units]]</f>
        <v>275</v>
      </c>
    </row>
    <row r="546" spans="1:12" x14ac:dyDescent="0.35">
      <c r="A546" s="145">
        <v>45651</v>
      </c>
      <c r="B546" s="146" t="s">
        <v>1050</v>
      </c>
      <c r="C546" s="147" t="s">
        <v>464</v>
      </c>
      <c r="D546" s="147" t="s">
        <v>490</v>
      </c>
      <c r="E546" s="147" t="s">
        <v>412</v>
      </c>
      <c r="F546" s="147" t="s">
        <v>520</v>
      </c>
      <c r="G546" s="147">
        <v>53</v>
      </c>
      <c r="H546" s="148">
        <v>54</v>
      </c>
      <c r="I546" s="149">
        <f t="shared" si="8"/>
        <v>2862</v>
      </c>
      <c r="J546" s="150" t="s">
        <v>503</v>
      </c>
      <c r="K546" s="151">
        <v>57.24</v>
      </c>
      <c r="L546">
        <f>Table13[[#This Row],[Price]]*Table13[[#This Row],[Units]]</f>
        <v>2862</v>
      </c>
    </row>
    <row r="547" spans="1:12" x14ac:dyDescent="0.35">
      <c r="A547" s="145">
        <v>45651</v>
      </c>
      <c r="B547" s="146" t="s">
        <v>1051</v>
      </c>
      <c r="C547" s="147" t="s">
        <v>494</v>
      </c>
      <c r="D547" s="147" t="s">
        <v>465</v>
      </c>
      <c r="E547" s="147" t="s">
        <v>315</v>
      </c>
      <c r="F547" s="147" t="s">
        <v>478</v>
      </c>
      <c r="G547" s="147">
        <v>25</v>
      </c>
      <c r="H547" s="148">
        <v>33</v>
      </c>
      <c r="I547" s="149">
        <f t="shared" si="8"/>
        <v>825</v>
      </c>
      <c r="J547" s="150" t="s">
        <v>466</v>
      </c>
      <c r="K547" s="151">
        <v>24.75</v>
      </c>
      <c r="L547">
        <f>Table13[[#This Row],[Price]]*Table13[[#This Row],[Units]]</f>
        <v>825</v>
      </c>
    </row>
    <row r="548" spans="1:12" x14ac:dyDescent="0.35">
      <c r="A548" s="145">
        <v>45651</v>
      </c>
      <c r="B548" s="146" t="s">
        <v>1052</v>
      </c>
      <c r="C548" s="147" t="s">
        <v>322</v>
      </c>
      <c r="D548" s="147" t="s">
        <v>470</v>
      </c>
      <c r="E548" s="147" t="s">
        <v>483</v>
      </c>
      <c r="F548" s="147" t="s">
        <v>487</v>
      </c>
      <c r="G548" s="147">
        <v>34</v>
      </c>
      <c r="H548" s="148">
        <v>28</v>
      </c>
      <c r="I548" s="149">
        <f t="shared" si="8"/>
        <v>952</v>
      </c>
      <c r="J548" s="150" t="s">
        <v>466</v>
      </c>
      <c r="K548" s="151">
        <v>28.56</v>
      </c>
      <c r="L548">
        <f>Table13[[#This Row],[Price]]*Table13[[#This Row],[Units]]</f>
        <v>952</v>
      </c>
    </row>
    <row r="549" spans="1:12" x14ac:dyDescent="0.35">
      <c r="A549" s="145">
        <v>45651</v>
      </c>
      <c r="B549" s="146" t="s">
        <v>1053</v>
      </c>
      <c r="C549" s="147" t="s">
        <v>489</v>
      </c>
      <c r="D549" s="147" t="s">
        <v>486</v>
      </c>
      <c r="E549" s="147" t="s">
        <v>390</v>
      </c>
      <c r="F549" s="147" t="s">
        <v>497</v>
      </c>
      <c r="G549" s="147">
        <v>56</v>
      </c>
      <c r="H549" s="148">
        <v>39</v>
      </c>
      <c r="I549" s="149">
        <f t="shared" si="8"/>
        <v>2184</v>
      </c>
      <c r="J549" s="150" t="s">
        <v>472</v>
      </c>
      <c r="K549" s="151">
        <v>56.783999999999999</v>
      </c>
      <c r="L549">
        <f>Table13[[#This Row],[Price]]*Table13[[#This Row],[Units]]</f>
        <v>2184</v>
      </c>
    </row>
    <row r="550" spans="1:12" x14ac:dyDescent="0.35">
      <c r="A550" s="145">
        <v>45651</v>
      </c>
      <c r="B550" s="146" t="s">
        <v>1054</v>
      </c>
      <c r="C550" s="147" t="s">
        <v>494</v>
      </c>
      <c r="D550" s="147" t="s">
        <v>477</v>
      </c>
      <c r="E550" s="147" t="s">
        <v>320</v>
      </c>
      <c r="F550" s="147" t="s">
        <v>517</v>
      </c>
      <c r="G550" s="147">
        <v>37</v>
      </c>
      <c r="H550" s="148">
        <v>54</v>
      </c>
      <c r="I550" s="149">
        <f t="shared" si="8"/>
        <v>1998</v>
      </c>
      <c r="J550" s="150" t="s">
        <v>466</v>
      </c>
      <c r="K550" s="151">
        <v>57.942</v>
      </c>
      <c r="L550">
        <f>Table13[[#This Row],[Price]]*Table13[[#This Row],[Units]]</f>
        <v>1998</v>
      </c>
    </row>
    <row r="551" spans="1:12" x14ac:dyDescent="0.35">
      <c r="A551" s="145">
        <v>45652</v>
      </c>
      <c r="B551" s="146" t="s">
        <v>1055</v>
      </c>
      <c r="C551" s="147" t="s">
        <v>322</v>
      </c>
      <c r="D551" s="147" t="s">
        <v>470</v>
      </c>
      <c r="E551" s="147" t="s">
        <v>390</v>
      </c>
      <c r="F551" s="147" t="s">
        <v>520</v>
      </c>
      <c r="G551" s="147">
        <v>19</v>
      </c>
      <c r="H551" s="148">
        <v>31</v>
      </c>
      <c r="I551" s="149">
        <f t="shared" si="8"/>
        <v>589</v>
      </c>
      <c r="J551" s="150" t="s">
        <v>466</v>
      </c>
      <c r="K551" s="151">
        <v>12.958</v>
      </c>
      <c r="L551">
        <f>Table13[[#This Row],[Price]]*Table13[[#This Row],[Units]]</f>
        <v>589</v>
      </c>
    </row>
    <row r="552" spans="1:12" x14ac:dyDescent="0.35">
      <c r="A552" s="145">
        <v>45652</v>
      </c>
      <c r="B552" s="146" t="s">
        <v>1056</v>
      </c>
      <c r="C552" s="147" t="s">
        <v>494</v>
      </c>
      <c r="D552" s="147" t="s">
        <v>477</v>
      </c>
      <c r="E552" s="147" t="s">
        <v>315</v>
      </c>
      <c r="F552" s="147" t="s">
        <v>536</v>
      </c>
      <c r="G552" s="147">
        <v>24</v>
      </c>
      <c r="H552" s="148">
        <v>54</v>
      </c>
      <c r="I552" s="149">
        <f t="shared" si="8"/>
        <v>1296</v>
      </c>
      <c r="J552" s="150" t="s">
        <v>515</v>
      </c>
      <c r="K552" s="151">
        <v>34.991999999999997</v>
      </c>
      <c r="L552">
        <f>Table13[[#This Row],[Price]]*Table13[[#This Row],[Units]]</f>
        <v>1296</v>
      </c>
    </row>
    <row r="553" spans="1:12" x14ac:dyDescent="0.35">
      <c r="A553" s="145">
        <v>45652</v>
      </c>
      <c r="B553" s="146" t="s">
        <v>1057</v>
      </c>
      <c r="C553" s="147" t="s">
        <v>489</v>
      </c>
      <c r="D553" s="147" t="s">
        <v>470</v>
      </c>
      <c r="E553" s="147" t="s">
        <v>412</v>
      </c>
      <c r="F553" s="147" t="s">
        <v>505</v>
      </c>
      <c r="G553" s="147">
        <v>37</v>
      </c>
      <c r="H553" s="148">
        <v>29</v>
      </c>
      <c r="I553" s="149">
        <f t="shared" si="8"/>
        <v>1073</v>
      </c>
      <c r="J553" s="150" t="s">
        <v>466</v>
      </c>
      <c r="K553" s="151">
        <v>28.971</v>
      </c>
      <c r="L553">
        <f>Table13[[#This Row],[Price]]*Table13[[#This Row],[Units]]</f>
        <v>1073</v>
      </c>
    </row>
    <row r="554" spans="1:12" x14ac:dyDescent="0.35">
      <c r="A554" s="145">
        <v>45653</v>
      </c>
      <c r="B554" s="146" t="s">
        <v>1058</v>
      </c>
      <c r="C554" s="147" t="s">
        <v>476</v>
      </c>
      <c r="D554" s="147" t="s">
        <v>470</v>
      </c>
      <c r="E554" s="147" t="s">
        <v>483</v>
      </c>
      <c r="F554" s="147" t="s">
        <v>528</v>
      </c>
      <c r="G554" s="147">
        <v>23</v>
      </c>
      <c r="H554" s="148">
        <v>32</v>
      </c>
      <c r="I554" s="149">
        <f t="shared" si="8"/>
        <v>736</v>
      </c>
      <c r="J554" s="150" t="s">
        <v>466</v>
      </c>
      <c r="K554" s="151">
        <v>17.664000000000001</v>
      </c>
      <c r="L554">
        <f>Table13[[#This Row],[Price]]*Table13[[#This Row],[Units]]</f>
        <v>736</v>
      </c>
    </row>
    <row r="555" spans="1:12" x14ac:dyDescent="0.35">
      <c r="A555" s="145">
        <v>45653</v>
      </c>
      <c r="B555" s="146" t="s">
        <v>1059</v>
      </c>
      <c r="C555" s="147" t="s">
        <v>484</v>
      </c>
      <c r="D555" s="147" t="s">
        <v>477</v>
      </c>
      <c r="E555" s="147" t="s">
        <v>315</v>
      </c>
      <c r="F555" s="147" t="s">
        <v>523</v>
      </c>
      <c r="G555" s="147">
        <v>50</v>
      </c>
      <c r="H555" s="148">
        <v>33</v>
      </c>
      <c r="I555" s="149">
        <f t="shared" si="8"/>
        <v>1650</v>
      </c>
      <c r="J555" s="150" t="s">
        <v>472</v>
      </c>
      <c r="K555" s="151">
        <v>33</v>
      </c>
      <c r="L555">
        <f>Table13[[#This Row],[Price]]*Table13[[#This Row],[Units]]</f>
        <v>1650</v>
      </c>
    </row>
    <row r="556" spans="1:12" x14ac:dyDescent="0.35">
      <c r="A556" s="145">
        <v>45653</v>
      </c>
      <c r="B556" s="146" t="s">
        <v>1060</v>
      </c>
      <c r="C556" s="147" t="s">
        <v>484</v>
      </c>
      <c r="D556" s="147" t="s">
        <v>477</v>
      </c>
      <c r="E556" s="147" t="s">
        <v>315</v>
      </c>
      <c r="F556" s="147" t="s">
        <v>513</v>
      </c>
      <c r="G556" s="147">
        <v>47</v>
      </c>
      <c r="H556" s="148">
        <v>53</v>
      </c>
      <c r="I556" s="149">
        <f t="shared" si="8"/>
        <v>2491</v>
      </c>
      <c r="J556" s="150" t="s">
        <v>472</v>
      </c>
      <c r="K556" s="151">
        <v>49.82</v>
      </c>
      <c r="L556">
        <f>Table13[[#This Row],[Price]]*Table13[[#This Row],[Units]]</f>
        <v>2491</v>
      </c>
    </row>
    <row r="557" spans="1:12" x14ac:dyDescent="0.35">
      <c r="A557" s="145">
        <v>45653</v>
      </c>
      <c r="B557" s="146" t="s">
        <v>1061</v>
      </c>
      <c r="C557" s="147" t="s">
        <v>476</v>
      </c>
      <c r="D557" s="147" t="s">
        <v>486</v>
      </c>
      <c r="E557" s="147" t="s">
        <v>324</v>
      </c>
      <c r="F557" s="147" t="s">
        <v>523</v>
      </c>
      <c r="G557" s="147">
        <v>60</v>
      </c>
      <c r="H557" s="148">
        <v>38</v>
      </c>
      <c r="I557" s="149">
        <f t="shared" si="8"/>
        <v>2280</v>
      </c>
      <c r="J557" s="150" t="s">
        <v>466</v>
      </c>
      <c r="K557" s="151">
        <v>45.6</v>
      </c>
      <c r="L557">
        <f>Table13[[#This Row],[Price]]*Table13[[#This Row],[Units]]</f>
        <v>2280</v>
      </c>
    </row>
    <row r="558" spans="1:12" x14ac:dyDescent="0.35">
      <c r="A558" s="145">
        <v>45653</v>
      </c>
      <c r="B558" s="146" t="s">
        <v>1062</v>
      </c>
      <c r="C558" s="147" t="s">
        <v>494</v>
      </c>
      <c r="D558" s="147" t="s">
        <v>486</v>
      </c>
      <c r="E558" s="147" t="s">
        <v>315</v>
      </c>
      <c r="F558" s="147" t="s">
        <v>454</v>
      </c>
      <c r="G558" s="147">
        <v>26</v>
      </c>
      <c r="H558" s="148">
        <v>23</v>
      </c>
      <c r="I558" s="149">
        <f t="shared" si="8"/>
        <v>598</v>
      </c>
      <c r="J558" s="150" t="s">
        <v>472</v>
      </c>
      <c r="K558" s="151">
        <v>17.940000000000001</v>
      </c>
      <c r="L558">
        <f>Table13[[#This Row],[Price]]*Table13[[#This Row],[Units]]</f>
        <v>598</v>
      </c>
    </row>
    <row r="559" spans="1:12" x14ac:dyDescent="0.35">
      <c r="A559" s="145">
        <v>45653</v>
      </c>
      <c r="B559" s="146" t="s">
        <v>1063</v>
      </c>
      <c r="C559" s="147" t="s">
        <v>476</v>
      </c>
      <c r="D559" s="147" t="s">
        <v>512</v>
      </c>
      <c r="E559" s="147" t="s">
        <v>390</v>
      </c>
      <c r="F559" s="147" t="s">
        <v>536</v>
      </c>
      <c r="G559" s="147">
        <v>15</v>
      </c>
      <c r="H559" s="148">
        <v>27</v>
      </c>
      <c r="I559" s="149">
        <f t="shared" si="8"/>
        <v>405</v>
      </c>
      <c r="J559" s="150" t="s">
        <v>466</v>
      </c>
      <c r="K559" s="151">
        <v>10.53</v>
      </c>
      <c r="L559">
        <f>Table13[[#This Row],[Price]]*Table13[[#This Row],[Units]]</f>
        <v>405</v>
      </c>
    </row>
    <row r="560" spans="1:12" x14ac:dyDescent="0.35">
      <c r="A560" s="145">
        <v>45653</v>
      </c>
      <c r="B560" s="146" t="s">
        <v>1064</v>
      </c>
      <c r="C560" s="147" t="s">
        <v>322</v>
      </c>
      <c r="D560" s="147" t="s">
        <v>519</v>
      </c>
      <c r="E560" s="147" t="s">
        <v>315</v>
      </c>
      <c r="F560" s="147" t="s">
        <v>567</v>
      </c>
      <c r="G560" s="147">
        <v>42</v>
      </c>
      <c r="H560" s="148">
        <v>52</v>
      </c>
      <c r="I560" s="149">
        <f t="shared" si="8"/>
        <v>2184</v>
      </c>
      <c r="J560" s="150" t="s">
        <v>466</v>
      </c>
      <c r="K560" s="151">
        <v>45.863999999999997</v>
      </c>
      <c r="L560">
        <f>Table13[[#This Row],[Price]]*Table13[[#This Row],[Units]]</f>
        <v>2184</v>
      </c>
    </row>
    <row r="561" spans="1:12" x14ac:dyDescent="0.35">
      <c r="A561" s="145">
        <v>45653</v>
      </c>
      <c r="B561" s="146" t="s">
        <v>1065</v>
      </c>
      <c r="C561" s="147" t="s">
        <v>494</v>
      </c>
      <c r="D561" s="147" t="s">
        <v>465</v>
      </c>
      <c r="E561" s="147" t="s">
        <v>483</v>
      </c>
      <c r="F561" s="147" t="s">
        <v>478</v>
      </c>
      <c r="G561" s="147">
        <v>48</v>
      </c>
      <c r="H561" s="148">
        <v>59</v>
      </c>
      <c r="I561" s="149">
        <f t="shared" si="8"/>
        <v>2832</v>
      </c>
      <c r="J561" s="150" t="s">
        <v>515</v>
      </c>
      <c r="K561" s="151">
        <v>62.304000000000002</v>
      </c>
      <c r="L561">
        <f>Table13[[#This Row],[Price]]*Table13[[#This Row],[Units]]</f>
        <v>2832</v>
      </c>
    </row>
    <row r="562" spans="1:12" x14ac:dyDescent="0.35">
      <c r="A562" s="145">
        <v>45653</v>
      </c>
      <c r="B562" s="146" t="s">
        <v>1066</v>
      </c>
      <c r="C562" s="147" t="s">
        <v>476</v>
      </c>
      <c r="D562" s="147" t="s">
        <v>470</v>
      </c>
      <c r="E562" s="147" t="s">
        <v>324</v>
      </c>
      <c r="F562" s="147" t="s">
        <v>539</v>
      </c>
      <c r="G562" s="147">
        <v>14</v>
      </c>
      <c r="H562" s="148">
        <v>41</v>
      </c>
      <c r="I562" s="149">
        <f t="shared" si="8"/>
        <v>574</v>
      </c>
      <c r="J562" s="150" t="s">
        <v>515</v>
      </c>
      <c r="K562" s="151">
        <v>15.497999999999999</v>
      </c>
      <c r="L562">
        <f>Table13[[#This Row],[Price]]*Table13[[#This Row],[Units]]</f>
        <v>574</v>
      </c>
    </row>
    <row r="563" spans="1:12" x14ac:dyDescent="0.35">
      <c r="A563" s="145">
        <v>45653</v>
      </c>
      <c r="B563" s="146" t="s">
        <v>1067</v>
      </c>
      <c r="C563" s="147" t="s">
        <v>484</v>
      </c>
      <c r="D563" s="147" t="s">
        <v>470</v>
      </c>
      <c r="E563" s="147" t="s">
        <v>324</v>
      </c>
      <c r="F563" s="147" t="s">
        <v>536</v>
      </c>
      <c r="G563" s="147">
        <v>43</v>
      </c>
      <c r="H563" s="148">
        <v>53</v>
      </c>
      <c r="I563" s="149">
        <f t="shared" si="8"/>
        <v>2279</v>
      </c>
      <c r="J563" s="150" t="s">
        <v>466</v>
      </c>
      <c r="K563" s="151">
        <v>52.417000000000002</v>
      </c>
      <c r="L563">
        <f>Table13[[#This Row],[Price]]*Table13[[#This Row],[Units]]</f>
        <v>2279</v>
      </c>
    </row>
    <row r="564" spans="1:12" x14ac:dyDescent="0.35">
      <c r="A564" s="145">
        <v>45653</v>
      </c>
      <c r="B564" s="146" t="s">
        <v>1068</v>
      </c>
      <c r="C564" s="147" t="s">
        <v>501</v>
      </c>
      <c r="D564" s="147" t="s">
        <v>519</v>
      </c>
      <c r="E564" s="147" t="s">
        <v>390</v>
      </c>
      <c r="F564" s="147" t="s">
        <v>528</v>
      </c>
      <c r="G564" s="147">
        <v>40</v>
      </c>
      <c r="H564" s="148">
        <v>48</v>
      </c>
      <c r="I564" s="149">
        <f t="shared" si="8"/>
        <v>1920</v>
      </c>
      <c r="J564" s="150" t="s">
        <v>515</v>
      </c>
      <c r="K564" s="151">
        <v>55.68</v>
      </c>
      <c r="L564">
        <f>Table13[[#This Row],[Price]]*Table13[[#This Row],[Units]]</f>
        <v>1920</v>
      </c>
    </row>
    <row r="565" spans="1:12" x14ac:dyDescent="0.35">
      <c r="A565" s="145">
        <v>45654</v>
      </c>
      <c r="B565" s="146" t="s">
        <v>1069</v>
      </c>
      <c r="C565" s="147" t="s">
        <v>469</v>
      </c>
      <c r="D565" s="147" t="s">
        <v>512</v>
      </c>
      <c r="E565" s="147" t="s">
        <v>412</v>
      </c>
      <c r="F565" s="147" t="s">
        <v>500</v>
      </c>
      <c r="G565" s="147">
        <v>17</v>
      </c>
      <c r="H565" s="148">
        <v>41</v>
      </c>
      <c r="I565" s="149">
        <f t="shared" si="8"/>
        <v>697</v>
      </c>
      <c r="J565" s="150" t="s">
        <v>466</v>
      </c>
      <c r="K565" s="151">
        <v>18.122</v>
      </c>
      <c r="L565">
        <f>Table13[[#This Row],[Price]]*Table13[[#This Row],[Units]]</f>
        <v>697</v>
      </c>
    </row>
    <row r="566" spans="1:12" x14ac:dyDescent="0.35">
      <c r="A566" s="145">
        <v>45654</v>
      </c>
      <c r="B566" s="146" t="s">
        <v>1070</v>
      </c>
      <c r="C566" s="147" t="s">
        <v>489</v>
      </c>
      <c r="D566" s="147" t="s">
        <v>486</v>
      </c>
      <c r="E566" s="147" t="s">
        <v>320</v>
      </c>
      <c r="F566" s="147" t="s">
        <v>491</v>
      </c>
      <c r="G566" s="147">
        <v>32</v>
      </c>
      <c r="H566" s="148">
        <v>31</v>
      </c>
      <c r="I566" s="149">
        <f t="shared" si="8"/>
        <v>992</v>
      </c>
      <c r="J566" s="150" t="s">
        <v>472</v>
      </c>
      <c r="K566" s="151">
        <v>20.832000000000001</v>
      </c>
      <c r="L566">
        <f>Table13[[#This Row],[Price]]*Table13[[#This Row],[Units]]</f>
        <v>992</v>
      </c>
    </row>
    <row r="567" spans="1:12" x14ac:dyDescent="0.35">
      <c r="A567" s="145">
        <v>45655</v>
      </c>
      <c r="B567" s="146" t="s">
        <v>1071</v>
      </c>
      <c r="C567" s="147" t="s">
        <v>476</v>
      </c>
      <c r="D567" s="147" t="s">
        <v>486</v>
      </c>
      <c r="E567" s="147" t="s">
        <v>483</v>
      </c>
      <c r="F567" s="147" t="s">
        <v>510</v>
      </c>
      <c r="G567" s="147">
        <v>36</v>
      </c>
      <c r="H567" s="148">
        <v>43</v>
      </c>
      <c r="I567" s="149">
        <f t="shared" si="8"/>
        <v>1548</v>
      </c>
      <c r="J567" s="150" t="s">
        <v>466</v>
      </c>
      <c r="K567" s="151">
        <v>46.44</v>
      </c>
      <c r="L567">
        <f>Table13[[#This Row],[Price]]*Table13[[#This Row],[Units]]</f>
        <v>1548</v>
      </c>
    </row>
    <row r="568" spans="1:12" x14ac:dyDescent="0.35">
      <c r="A568" s="145">
        <v>45655</v>
      </c>
      <c r="B568" s="146" t="s">
        <v>1072</v>
      </c>
      <c r="C568" s="147" t="s">
        <v>492</v>
      </c>
      <c r="D568" s="147" t="s">
        <v>477</v>
      </c>
      <c r="E568" s="147" t="s">
        <v>324</v>
      </c>
      <c r="F568" s="147" t="s">
        <v>523</v>
      </c>
      <c r="G568" s="147">
        <v>15</v>
      </c>
      <c r="H568" s="148">
        <v>22</v>
      </c>
      <c r="I568" s="149">
        <f t="shared" si="8"/>
        <v>330</v>
      </c>
      <c r="J568" s="150" t="s">
        <v>466</v>
      </c>
      <c r="K568" s="151">
        <v>8.58</v>
      </c>
      <c r="L568">
        <f>Table13[[#This Row],[Price]]*Table13[[#This Row],[Units]]</f>
        <v>330</v>
      </c>
    </row>
    <row r="569" spans="1:12" x14ac:dyDescent="0.35">
      <c r="A569" s="145">
        <v>45655</v>
      </c>
      <c r="B569" s="146" t="s">
        <v>1073</v>
      </c>
      <c r="C569" s="147" t="s">
        <v>494</v>
      </c>
      <c r="D569" s="147" t="s">
        <v>519</v>
      </c>
      <c r="E569" s="147" t="s">
        <v>315</v>
      </c>
      <c r="F569" s="147" t="s">
        <v>487</v>
      </c>
      <c r="G569" s="147">
        <v>40</v>
      </c>
      <c r="H569" s="148">
        <v>45</v>
      </c>
      <c r="I569" s="149">
        <f t="shared" si="8"/>
        <v>1800</v>
      </c>
      <c r="J569" s="150" t="s">
        <v>472</v>
      </c>
      <c r="K569" s="151">
        <v>46.8</v>
      </c>
      <c r="L569">
        <f>Table13[[#This Row],[Price]]*Table13[[#This Row],[Units]]</f>
        <v>1800</v>
      </c>
    </row>
    <row r="570" spans="1:12" x14ac:dyDescent="0.35">
      <c r="A570" s="145">
        <v>45655</v>
      </c>
      <c r="B570" s="146" t="s">
        <v>1074</v>
      </c>
      <c r="C570" s="147" t="s">
        <v>489</v>
      </c>
      <c r="D570" s="147" t="s">
        <v>519</v>
      </c>
      <c r="E570" s="147" t="s">
        <v>315</v>
      </c>
      <c r="F570" s="147" t="s">
        <v>523</v>
      </c>
      <c r="G570" s="147">
        <v>17</v>
      </c>
      <c r="H570" s="148">
        <v>63</v>
      </c>
      <c r="I570" s="149">
        <f t="shared" si="8"/>
        <v>1071</v>
      </c>
      <c r="J570" s="150" t="s">
        <v>466</v>
      </c>
      <c r="K570" s="151">
        <v>23.562000000000001</v>
      </c>
      <c r="L570">
        <f>Table13[[#This Row],[Price]]*Table13[[#This Row],[Units]]</f>
        <v>1071</v>
      </c>
    </row>
    <row r="571" spans="1:12" x14ac:dyDescent="0.35">
      <c r="A571" s="145">
        <v>45655</v>
      </c>
      <c r="B571" s="146" t="s">
        <v>1075</v>
      </c>
      <c r="C571" s="147" t="s">
        <v>492</v>
      </c>
      <c r="D571" s="147" t="s">
        <v>519</v>
      </c>
      <c r="E571" s="147" t="s">
        <v>320</v>
      </c>
      <c r="F571" s="147" t="s">
        <v>487</v>
      </c>
      <c r="G571" s="147">
        <v>33</v>
      </c>
      <c r="H571" s="148">
        <v>31</v>
      </c>
      <c r="I571" s="149">
        <f t="shared" si="8"/>
        <v>1023</v>
      </c>
      <c r="J571" s="150" t="s">
        <v>466</v>
      </c>
      <c r="K571" s="151">
        <v>26.597999999999999</v>
      </c>
      <c r="L571">
        <f>Table13[[#This Row],[Price]]*Table13[[#This Row],[Units]]</f>
        <v>1023</v>
      </c>
    </row>
    <row r="572" spans="1:12" x14ac:dyDescent="0.35">
      <c r="A572" s="145">
        <v>45655</v>
      </c>
      <c r="B572" s="146" t="s">
        <v>1076</v>
      </c>
      <c r="C572" s="147" t="s">
        <v>494</v>
      </c>
      <c r="D572" s="147" t="s">
        <v>465</v>
      </c>
      <c r="E572" s="147" t="s">
        <v>315</v>
      </c>
      <c r="F572" s="147" t="s">
        <v>539</v>
      </c>
      <c r="G572" s="147">
        <v>20</v>
      </c>
      <c r="H572" s="148">
        <v>52</v>
      </c>
      <c r="I572" s="149">
        <f t="shared" si="8"/>
        <v>1040</v>
      </c>
      <c r="J572" s="150" t="s">
        <v>466</v>
      </c>
      <c r="K572" s="151">
        <v>28.08</v>
      </c>
      <c r="L572">
        <f>Table13[[#This Row],[Price]]*Table13[[#This Row],[Units]]</f>
        <v>1040</v>
      </c>
    </row>
    <row r="573" spans="1:12" x14ac:dyDescent="0.35">
      <c r="A573" s="145">
        <v>45656</v>
      </c>
      <c r="B573" s="146" t="s">
        <v>1077</v>
      </c>
      <c r="C573" s="147" t="s">
        <v>492</v>
      </c>
      <c r="D573" s="147" t="s">
        <v>477</v>
      </c>
      <c r="E573" s="147" t="s">
        <v>320</v>
      </c>
      <c r="F573" s="147" t="s">
        <v>536</v>
      </c>
      <c r="G573" s="147">
        <v>45</v>
      </c>
      <c r="H573" s="148">
        <v>38</v>
      </c>
      <c r="I573" s="149">
        <f t="shared" si="8"/>
        <v>1710</v>
      </c>
      <c r="J573" s="150" t="s">
        <v>472</v>
      </c>
      <c r="K573" s="151">
        <v>39.33</v>
      </c>
      <c r="L573">
        <f>Table13[[#This Row],[Price]]*Table13[[#This Row],[Units]]</f>
        <v>1710</v>
      </c>
    </row>
    <row r="574" spans="1:12" x14ac:dyDescent="0.35">
      <c r="A574" s="145">
        <v>45656</v>
      </c>
      <c r="B574" s="146" t="s">
        <v>1078</v>
      </c>
      <c r="C574" s="147" t="s">
        <v>484</v>
      </c>
      <c r="D574" s="147" t="s">
        <v>470</v>
      </c>
      <c r="E574" s="147" t="s">
        <v>324</v>
      </c>
      <c r="F574" s="147" t="s">
        <v>478</v>
      </c>
      <c r="G574" s="147">
        <v>44</v>
      </c>
      <c r="H574" s="148">
        <v>53</v>
      </c>
      <c r="I574" s="149">
        <f t="shared" si="8"/>
        <v>2332</v>
      </c>
      <c r="J574" s="150" t="s">
        <v>466</v>
      </c>
      <c r="K574" s="151">
        <v>65.296000000000006</v>
      </c>
      <c r="L574">
        <f>Table13[[#This Row],[Price]]*Table13[[#This Row],[Units]]</f>
        <v>2332</v>
      </c>
    </row>
    <row r="575" spans="1:12" x14ac:dyDescent="0.35">
      <c r="A575" s="145">
        <v>45656</v>
      </c>
      <c r="B575" s="146" t="s">
        <v>1079</v>
      </c>
      <c r="C575" s="147" t="s">
        <v>322</v>
      </c>
      <c r="D575" s="147" t="s">
        <v>477</v>
      </c>
      <c r="E575" s="147" t="s">
        <v>315</v>
      </c>
      <c r="F575" s="147" t="s">
        <v>500</v>
      </c>
      <c r="G575" s="147">
        <v>32</v>
      </c>
      <c r="H575" s="148">
        <v>38</v>
      </c>
      <c r="I575" s="149">
        <f t="shared" si="8"/>
        <v>1216</v>
      </c>
      <c r="J575" s="150" t="s">
        <v>466</v>
      </c>
      <c r="K575" s="151">
        <v>29.184000000000001</v>
      </c>
      <c r="L575">
        <f>Table13[[#This Row],[Price]]*Table13[[#This Row],[Units]]</f>
        <v>1216</v>
      </c>
    </row>
    <row r="576" spans="1:12" x14ac:dyDescent="0.35">
      <c r="A576" s="145">
        <v>45656</v>
      </c>
      <c r="B576" s="146" t="s">
        <v>1080</v>
      </c>
      <c r="C576" s="147" t="s">
        <v>484</v>
      </c>
      <c r="D576" s="147" t="s">
        <v>519</v>
      </c>
      <c r="E576" s="147" t="s">
        <v>412</v>
      </c>
      <c r="F576" s="147" t="s">
        <v>497</v>
      </c>
      <c r="G576" s="147">
        <v>42</v>
      </c>
      <c r="H576" s="148">
        <v>32</v>
      </c>
      <c r="I576" s="149">
        <f t="shared" si="8"/>
        <v>1344</v>
      </c>
      <c r="J576" s="150" t="s">
        <v>515</v>
      </c>
      <c r="K576" s="151">
        <v>36.287999999999997</v>
      </c>
      <c r="L576">
        <f>Table13[[#This Row],[Price]]*Table13[[#This Row],[Units]]</f>
        <v>1344</v>
      </c>
    </row>
    <row r="577" spans="1:12" x14ac:dyDescent="0.35">
      <c r="A577" s="145">
        <v>45657</v>
      </c>
      <c r="B577" s="146" t="s">
        <v>1081</v>
      </c>
      <c r="C577" s="147" t="s">
        <v>494</v>
      </c>
      <c r="D577" s="147" t="s">
        <v>477</v>
      </c>
      <c r="E577" s="147" t="s">
        <v>324</v>
      </c>
      <c r="F577" s="147" t="s">
        <v>520</v>
      </c>
      <c r="G577" s="147">
        <v>35</v>
      </c>
      <c r="H577" s="148">
        <v>58</v>
      </c>
      <c r="I577" s="149">
        <f t="shared" si="8"/>
        <v>2030</v>
      </c>
      <c r="J577" s="150" t="s">
        <v>515</v>
      </c>
      <c r="K577" s="151">
        <v>58.87</v>
      </c>
      <c r="L577">
        <f>Table13[[#This Row],[Price]]*Table13[[#This Row],[Units]]</f>
        <v>2030</v>
      </c>
    </row>
    <row r="578" spans="1:12" x14ac:dyDescent="0.35">
      <c r="A578" s="145">
        <v>45657</v>
      </c>
      <c r="B578" s="146" t="s">
        <v>1082</v>
      </c>
      <c r="C578" s="147" t="s">
        <v>489</v>
      </c>
      <c r="D578" s="147" t="s">
        <v>486</v>
      </c>
      <c r="E578" s="147" t="s">
        <v>324</v>
      </c>
      <c r="F578" s="147" t="s">
        <v>500</v>
      </c>
      <c r="G578" s="147">
        <v>37</v>
      </c>
      <c r="H578" s="148">
        <v>45</v>
      </c>
      <c r="I578" s="149">
        <f t="shared" si="8"/>
        <v>1665</v>
      </c>
      <c r="J578" s="150" t="s">
        <v>466</v>
      </c>
      <c r="K578" s="151">
        <v>33.299999999999997</v>
      </c>
      <c r="L578">
        <f>Table13[[#This Row],[Price]]*Table13[[#This Row],[Units]]</f>
        <v>1665</v>
      </c>
    </row>
    <row r="579" spans="1:12" x14ac:dyDescent="0.35">
      <c r="A579" s="145">
        <v>45658</v>
      </c>
      <c r="B579" s="146" t="s">
        <v>1083</v>
      </c>
      <c r="C579" s="147" t="s">
        <v>469</v>
      </c>
      <c r="D579" s="147" t="s">
        <v>490</v>
      </c>
      <c r="E579" s="147" t="s">
        <v>333</v>
      </c>
      <c r="F579" s="147" t="s">
        <v>505</v>
      </c>
      <c r="G579" s="147">
        <v>21</v>
      </c>
      <c r="H579" s="148">
        <v>52</v>
      </c>
      <c r="I579" s="149">
        <f t="shared" ref="I579:I642" si="9">G579*H579</f>
        <v>1092</v>
      </c>
      <c r="J579" s="150" t="s">
        <v>466</v>
      </c>
      <c r="K579" s="151">
        <v>31.667999999999999</v>
      </c>
      <c r="L579">
        <f>Table13[[#This Row],[Price]]*Table13[[#This Row],[Units]]</f>
        <v>1092</v>
      </c>
    </row>
    <row r="580" spans="1:12" x14ac:dyDescent="0.35">
      <c r="A580" s="145">
        <v>45658</v>
      </c>
      <c r="B580" s="146" t="s">
        <v>1084</v>
      </c>
      <c r="C580" s="147" t="s">
        <v>492</v>
      </c>
      <c r="D580" s="147" t="s">
        <v>477</v>
      </c>
      <c r="E580" s="147" t="s">
        <v>390</v>
      </c>
      <c r="F580" s="147" t="s">
        <v>487</v>
      </c>
      <c r="G580" s="147">
        <v>56</v>
      </c>
      <c r="H580" s="148">
        <v>58</v>
      </c>
      <c r="I580" s="149">
        <f t="shared" si="9"/>
        <v>3248</v>
      </c>
      <c r="J580" s="150" t="s">
        <v>472</v>
      </c>
      <c r="K580" s="151">
        <v>87.695999999999998</v>
      </c>
      <c r="L580">
        <f>Table13[[#This Row],[Price]]*Table13[[#This Row],[Units]]</f>
        <v>3248</v>
      </c>
    </row>
    <row r="581" spans="1:12" x14ac:dyDescent="0.35">
      <c r="A581" s="145">
        <v>45659</v>
      </c>
      <c r="B581" s="146" t="s">
        <v>1085</v>
      </c>
      <c r="C581" s="147" t="s">
        <v>322</v>
      </c>
      <c r="D581" s="147" t="s">
        <v>477</v>
      </c>
      <c r="E581" s="147" t="s">
        <v>324</v>
      </c>
      <c r="F581" s="147" t="s">
        <v>528</v>
      </c>
      <c r="G581" s="147">
        <v>49</v>
      </c>
      <c r="H581" s="148">
        <v>75</v>
      </c>
      <c r="I581" s="149">
        <f t="shared" si="9"/>
        <v>3675</v>
      </c>
      <c r="J581" s="150" t="s">
        <v>466</v>
      </c>
      <c r="K581" s="151">
        <v>84.525000000000006</v>
      </c>
      <c r="L581">
        <f>Table13[[#This Row],[Price]]*Table13[[#This Row],[Units]]</f>
        <v>3675</v>
      </c>
    </row>
    <row r="582" spans="1:12" x14ac:dyDescent="0.35">
      <c r="A582" s="145">
        <v>45659</v>
      </c>
      <c r="B582" s="146" t="s">
        <v>1086</v>
      </c>
      <c r="C582" s="147" t="s">
        <v>494</v>
      </c>
      <c r="D582" s="147" t="s">
        <v>486</v>
      </c>
      <c r="E582" s="147" t="s">
        <v>483</v>
      </c>
      <c r="F582" s="147" t="s">
        <v>471</v>
      </c>
      <c r="G582" s="147">
        <v>58</v>
      </c>
      <c r="H582" s="148">
        <v>51</v>
      </c>
      <c r="I582" s="149">
        <f t="shared" si="9"/>
        <v>2958</v>
      </c>
      <c r="J582" s="150" t="s">
        <v>472</v>
      </c>
      <c r="K582" s="151">
        <v>73.95</v>
      </c>
      <c r="L582">
        <f>Table13[[#This Row],[Price]]*Table13[[#This Row],[Units]]</f>
        <v>2958</v>
      </c>
    </row>
    <row r="583" spans="1:12" x14ac:dyDescent="0.35">
      <c r="A583" s="145">
        <v>45659</v>
      </c>
      <c r="B583" s="146" t="s">
        <v>1087</v>
      </c>
      <c r="C583" s="147" t="s">
        <v>489</v>
      </c>
      <c r="D583" s="147" t="s">
        <v>490</v>
      </c>
      <c r="E583" s="147" t="s">
        <v>315</v>
      </c>
      <c r="F583" s="147" t="s">
        <v>517</v>
      </c>
      <c r="G583" s="147">
        <v>39</v>
      </c>
      <c r="H583" s="148">
        <v>60</v>
      </c>
      <c r="I583" s="149">
        <f t="shared" si="9"/>
        <v>2340</v>
      </c>
      <c r="J583" s="150" t="s">
        <v>466</v>
      </c>
      <c r="K583" s="151">
        <v>56.16</v>
      </c>
      <c r="L583">
        <f>Table13[[#This Row],[Price]]*Table13[[#This Row],[Units]]</f>
        <v>2340</v>
      </c>
    </row>
    <row r="584" spans="1:12" x14ac:dyDescent="0.35">
      <c r="A584" s="145">
        <v>45659</v>
      </c>
      <c r="B584" s="146" t="s">
        <v>1088</v>
      </c>
      <c r="C584" s="147" t="s">
        <v>476</v>
      </c>
      <c r="D584" s="147" t="s">
        <v>519</v>
      </c>
      <c r="E584" s="147" t="s">
        <v>483</v>
      </c>
      <c r="F584" s="147" t="s">
        <v>523</v>
      </c>
      <c r="G584" s="147">
        <v>49</v>
      </c>
      <c r="H584" s="148">
        <v>62</v>
      </c>
      <c r="I584" s="149">
        <f t="shared" si="9"/>
        <v>3038</v>
      </c>
      <c r="J584" s="150" t="s">
        <v>466</v>
      </c>
      <c r="K584" s="151">
        <v>91.14</v>
      </c>
      <c r="L584">
        <f>Table13[[#This Row],[Price]]*Table13[[#This Row],[Units]]</f>
        <v>3038</v>
      </c>
    </row>
    <row r="585" spans="1:12" x14ac:dyDescent="0.35">
      <c r="A585" s="145">
        <v>45659</v>
      </c>
      <c r="B585" s="146" t="s">
        <v>1089</v>
      </c>
      <c r="C585" s="147" t="s">
        <v>469</v>
      </c>
      <c r="D585" s="147" t="s">
        <v>512</v>
      </c>
      <c r="E585" s="147" t="s">
        <v>483</v>
      </c>
      <c r="F585" s="147" t="s">
        <v>478</v>
      </c>
      <c r="G585" s="147">
        <v>47</v>
      </c>
      <c r="H585" s="148">
        <v>76</v>
      </c>
      <c r="I585" s="149">
        <f t="shared" si="9"/>
        <v>3572</v>
      </c>
      <c r="J585" s="150" t="s">
        <v>472</v>
      </c>
      <c r="K585" s="151">
        <v>82.156000000000006</v>
      </c>
      <c r="L585">
        <f>Table13[[#This Row],[Price]]*Table13[[#This Row],[Units]]</f>
        <v>3572</v>
      </c>
    </row>
    <row r="586" spans="1:12" x14ac:dyDescent="0.35">
      <c r="A586" s="145">
        <v>45659</v>
      </c>
      <c r="B586" s="146" t="s">
        <v>1090</v>
      </c>
      <c r="C586" s="147" t="s">
        <v>494</v>
      </c>
      <c r="D586" s="147" t="s">
        <v>486</v>
      </c>
      <c r="E586" s="147" t="s">
        <v>483</v>
      </c>
      <c r="F586" s="147" t="s">
        <v>510</v>
      </c>
      <c r="G586" s="147">
        <v>18</v>
      </c>
      <c r="H586" s="148">
        <v>60</v>
      </c>
      <c r="I586" s="149">
        <f t="shared" si="9"/>
        <v>1080</v>
      </c>
      <c r="J586" s="150" t="s">
        <v>515</v>
      </c>
      <c r="K586" s="151">
        <v>29.16</v>
      </c>
      <c r="L586">
        <f>Table13[[#This Row],[Price]]*Table13[[#This Row],[Units]]</f>
        <v>1080</v>
      </c>
    </row>
    <row r="587" spans="1:12" x14ac:dyDescent="0.35">
      <c r="A587" s="145">
        <v>45660</v>
      </c>
      <c r="B587" s="146" t="s">
        <v>1091</v>
      </c>
      <c r="C587" s="147" t="s">
        <v>464</v>
      </c>
      <c r="D587" s="147" t="s">
        <v>470</v>
      </c>
      <c r="E587" s="147" t="s">
        <v>483</v>
      </c>
      <c r="F587" s="147" t="s">
        <v>491</v>
      </c>
      <c r="G587" s="147">
        <v>13</v>
      </c>
      <c r="H587" s="148">
        <v>64</v>
      </c>
      <c r="I587" s="149">
        <f t="shared" si="9"/>
        <v>832</v>
      </c>
      <c r="J587" s="150" t="s">
        <v>466</v>
      </c>
      <c r="K587" s="151">
        <v>19.968</v>
      </c>
      <c r="L587">
        <f>Table13[[#This Row],[Price]]*Table13[[#This Row],[Units]]</f>
        <v>832</v>
      </c>
    </row>
    <row r="588" spans="1:12" x14ac:dyDescent="0.35">
      <c r="A588" s="145">
        <v>45660</v>
      </c>
      <c r="B588" s="146" t="s">
        <v>1092</v>
      </c>
      <c r="C588" s="147" t="s">
        <v>492</v>
      </c>
      <c r="D588" s="147" t="s">
        <v>477</v>
      </c>
      <c r="E588" s="147" t="s">
        <v>483</v>
      </c>
      <c r="F588" s="147" t="s">
        <v>497</v>
      </c>
      <c r="G588" s="147">
        <v>10</v>
      </c>
      <c r="H588" s="148">
        <v>79</v>
      </c>
      <c r="I588" s="149">
        <f t="shared" si="9"/>
        <v>790</v>
      </c>
      <c r="J588" s="150" t="s">
        <v>466</v>
      </c>
      <c r="K588" s="151">
        <v>20.54</v>
      </c>
      <c r="L588">
        <f>Table13[[#This Row],[Price]]*Table13[[#This Row],[Units]]</f>
        <v>790</v>
      </c>
    </row>
    <row r="589" spans="1:12" x14ac:dyDescent="0.35">
      <c r="A589" s="145">
        <v>45661</v>
      </c>
      <c r="B589" s="146" t="s">
        <v>1093</v>
      </c>
      <c r="C589" s="147" t="s">
        <v>492</v>
      </c>
      <c r="D589" s="147" t="s">
        <v>470</v>
      </c>
      <c r="E589" s="147" t="s">
        <v>333</v>
      </c>
      <c r="F589" s="147" t="s">
        <v>536</v>
      </c>
      <c r="G589" s="147">
        <v>22</v>
      </c>
      <c r="H589" s="148">
        <v>80</v>
      </c>
      <c r="I589" s="149">
        <f t="shared" si="9"/>
        <v>1760</v>
      </c>
      <c r="J589" s="150" t="s">
        <v>466</v>
      </c>
      <c r="K589" s="151">
        <v>49.28</v>
      </c>
      <c r="L589">
        <f>Table13[[#This Row],[Price]]*Table13[[#This Row],[Units]]</f>
        <v>1760</v>
      </c>
    </row>
    <row r="590" spans="1:12" x14ac:dyDescent="0.35">
      <c r="A590" s="145">
        <v>45661</v>
      </c>
      <c r="B590" s="146" t="s">
        <v>1094</v>
      </c>
      <c r="C590" s="147" t="s">
        <v>476</v>
      </c>
      <c r="D590" s="147" t="s">
        <v>470</v>
      </c>
      <c r="E590" s="147" t="s">
        <v>412</v>
      </c>
      <c r="F590" s="147" t="s">
        <v>471</v>
      </c>
      <c r="G590" s="147">
        <v>35</v>
      </c>
      <c r="H590" s="148">
        <v>37</v>
      </c>
      <c r="I590" s="149">
        <f t="shared" si="9"/>
        <v>1295</v>
      </c>
      <c r="J590" s="150" t="s">
        <v>466</v>
      </c>
      <c r="K590" s="151">
        <v>25.9</v>
      </c>
      <c r="L590">
        <f>Table13[[#This Row],[Price]]*Table13[[#This Row],[Units]]</f>
        <v>1295</v>
      </c>
    </row>
    <row r="591" spans="1:12" x14ac:dyDescent="0.35">
      <c r="A591" s="145">
        <v>45661</v>
      </c>
      <c r="B591" s="146" t="s">
        <v>1095</v>
      </c>
      <c r="C591" s="147" t="s">
        <v>464</v>
      </c>
      <c r="D591" s="147" t="s">
        <v>470</v>
      </c>
      <c r="E591" s="147" t="s">
        <v>483</v>
      </c>
      <c r="F591" s="147" t="s">
        <v>567</v>
      </c>
      <c r="G591" s="147">
        <v>60</v>
      </c>
      <c r="H591" s="148">
        <v>30</v>
      </c>
      <c r="I591" s="149">
        <f t="shared" si="9"/>
        <v>1800</v>
      </c>
      <c r="J591" s="150" t="s">
        <v>503</v>
      </c>
      <c r="K591" s="151">
        <v>48.6</v>
      </c>
      <c r="L591">
        <f>Table13[[#This Row],[Price]]*Table13[[#This Row],[Units]]</f>
        <v>1800</v>
      </c>
    </row>
    <row r="592" spans="1:12" x14ac:dyDescent="0.35">
      <c r="A592" s="145">
        <v>45661</v>
      </c>
      <c r="B592" s="146" t="s">
        <v>1096</v>
      </c>
      <c r="C592" s="147" t="s">
        <v>464</v>
      </c>
      <c r="D592" s="147" t="s">
        <v>519</v>
      </c>
      <c r="E592" s="147" t="s">
        <v>483</v>
      </c>
      <c r="F592" s="147" t="s">
        <v>520</v>
      </c>
      <c r="G592" s="147">
        <v>22</v>
      </c>
      <c r="H592" s="148">
        <v>73</v>
      </c>
      <c r="I592" s="149">
        <f t="shared" si="9"/>
        <v>1606</v>
      </c>
      <c r="J592" s="150" t="s">
        <v>472</v>
      </c>
      <c r="K592" s="151">
        <v>40.15</v>
      </c>
      <c r="L592">
        <f>Table13[[#This Row],[Price]]*Table13[[#This Row],[Units]]</f>
        <v>1606</v>
      </c>
    </row>
    <row r="593" spans="1:12" x14ac:dyDescent="0.35">
      <c r="A593" s="145">
        <v>45661</v>
      </c>
      <c r="B593" s="146" t="s">
        <v>1097</v>
      </c>
      <c r="C593" s="147" t="s">
        <v>501</v>
      </c>
      <c r="D593" s="147" t="s">
        <v>477</v>
      </c>
      <c r="E593" s="147" t="s">
        <v>483</v>
      </c>
      <c r="F593" s="147" t="s">
        <v>487</v>
      </c>
      <c r="G593" s="147">
        <v>47</v>
      </c>
      <c r="H593" s="148">
        <v>75</v>
      </c>
      <c r="I593" s="149">
        <f t="shared" si="9"/>
        <v>3525</v>
      </c>
      <c r="J593" s="150" t="s">
        <v>466</v>
      </c>
      <c r="K593" s="151">
        <v>77.55</v>
      </c>
      <c r="L593">
        <f>Table13[[#This Row],[Price]]*Table13[[#This Row],[Units]]</f>
        <v>3525</v>
      </c>
    </row>
    <row r="594" spans="1:12" x14ac:dyDescent="0.35">
      <c r="A594" s="145">
        <v>45661</v>
      </c>
      <c r="B594" s="146" t="s">
        <v>1098</v>
      </c>
      <c r="C594" s="147" t="s">
        <v>489</v>
      </c>
      <c r="D594" s="147" t="s">
        <v>519</v>
      </c>
      <c r="E594" s="147" t="s">
        <v>320</v>
      </c>
      <c r="F594" s="147" t="s">
        <v>510</v>
      </c>
      <c r="G594" s="147">
        <v>20</v>
      </c>
      <c r="H594" s="148">
        <v>30</v>
      </c>
      <c r="I594" s="149">
        <f t="shared" si="9"/>
        <v>600</v>
      </c>
      <c r="J594" s="150" t="s">
        <v>466</v>
      </c>
      <c r="K594" s="151">
        <v>16.8</v>
      </c>
      <c r="L594">
        <f>Table13[[#This Row],[Price]]*Table13[[#This Row],[Units]]</f>
        <v>600</v>
      </c>
    </row>
    <row r="595" spans="1:12" x14ac:dyDescent="0.35">
      <c r="A595" s="145">
        <v>45661</v>
      </c>
      <c r="B595" s="146" t="s">
        <v>1099</v>
      </c>
      <c r="C595" s="147" t="s">
        <v>469</v>
      </c>
      <c r="D595" s="147" t="s">
        <v>486</v>
      </c>
      <c r="E595" s="147" t="s">
        <v>324</v>
      </c>
      <c r="F595" s="147" t="s">
        <v>536</v>
      </c>
      <c r="G595" s="147">
        <v>27</v>
      </c>
      <c r="H595" s="148">
        <v>59</v>
      </c>
      <c r="I595" s="149">
        <f t="shared" si="9"/>
        <v>1593</v>
      </c>
      <c r="J595" s="150" t="s">
        <v>472</v>
      </c>
      <c r="K595" s="151">
        <v>35.045999999999999</v>
      </c>
      <c r="L595">
        <f>Table13[[#This Row],[Price]]*Table13[[#This Row],[Units]]</f>
        <v>1593</v>
      </c>
    </row>
    <row r="596" spans="1:12" x14ac:dyDescent="0.35">
      <c r="A596" s="145">
        <v>45661</v>
      </c>
      <c r="B596" s="146" t="s">
        <v>1100</v>
      </c>
      <c r="C596" s="147" t="s">
        <v>489</v>
      </c>
      <c r="D596" s="147" t="s">
        <v>465</v>
      </c>
      <c r="E596" s="147" t="s">
        <v>315</v>
      </c>
      <c r="F596" s="147" t="s">
        <v>487</v>
      </c>
      <c r="G596" s="147">
        <v>12</v>
      </c>
      <c r="H596" s="148">
        <v>72</v>
      </c>
      <c r="I596" s="149">
        <f t="shared" si="9"/>
        <v>864</v>
      </c>
      <c r="J596" s="150" t="s">
        <v>466</v>
      </c>
      <c r="K596" s="151">
        <v>23.327999999999999</v>
      </c>
      <c r="L596">
        <f>Table13[[#This Row],[Price]]*Table13[[#This Row],[Units]]</f>
        <v>864</v>
      </c>
    </row>
    <row r="597" spans="1:12" x14ac:dyDescent="0.35">
      <c r="A597" s="145">
        <v>45661</v>
      </c>
      <c r="B597" s="146" t="s">
        <v>1101</v>
      </c>
      <c r="C597" s="147" t="s">
        <v>492</v>
      </c>
      <c r="D597" s="147" t="s">
        <v>465</v>
      </c>
      <c r="E597" s="147" t="s">
        <v>390</v>
      </c>
      <c r="F597" s="147" t="s">
        <v>491</v>
      </c>
      <c r="G597" s="147">
        <v>45</v>
      </c>
      <c r="H597" s="148">
        <v>70</v>
      </c>
      <c r="I597" s="149">
        <f t="shared" si="9"/>
        <v>3150</v>
      </c>
      <c r="J597" s="150" t="s">
        <v>472</v>
      </c>
      <c r="K597" s="151">
        <v>94.5</v>
      </c>
      <c r="L597">
        <f>Table13[[#This Row],[Price]]*Table13[[#This Row],[Units]]</f>
        <v>3150</v>
      </c>
    </row>
    <row r="598" spans="1:12" x14ac:dyDescent="0.35">
      <c r="A598" s="145">
        <v>45661</v>
      </c>
      <c r="B598" s="146" t="s">
        <v>1102</v>
      </c>
      <c r="C598" s="147" t="s">
        <v>322</v>
      </c>
      <c r="D598" s="147" t="s">
        <v>519</v>
      </c>
      <c r="E598" s="147" t="s">
        <v>320</v>
      </c>
      <c r="F598" s="147" t="s">
        <v>523</v>
      </c>
      <c r="G598" s="147">
        <v>25</v>
      </c>
      <c r="H598" s="148">
        <v>57</v>
      </c>
      <c r="I598" s="149">
        <f t="shared" si="9"/>
        <v>1425</v>
      </c>
      <c r="J598" s="150" t="s">
        <v>466</v>
      </c>
      <c r="K598" s="151">
        <v>28.5</v>
      </c>
      <c r="L598">
        <f>Table13[[#This Row],[Price]]*Table13[[#This Row],[Units]]</f>
        <v>1425</v>
      </c>
    </row>
    <row r="599" spans="1:12" x14ac:dyDescent="0.35">
      <c r="A599" s="145">
        <v>45661</v>
      </c>
      <c r="B599" s="146" t="s">
        <v>1103</v>
      </c>
      <c r="C599" s="147" t="s">
        <v>476</v>
      </c>
      <c r="D599" s="147" t="s">
        <v>470</v>
      </c>
      <c r="E599" s="147" t="s">
        <v>483</v>
      </c>
      <c r="F599" s="147" t="s">
        <v>454</v>
      </c>
      <c r="G599" s="147">
        <v>17</v>
      </c>
      <c r="H599" s="148">
        <v>78</v>
      </c>
      <c r="I599" s="149">
        <f t="shared" si="9"/>
        <v>1326</v>
      </c>
      <c r="J599" s="150" t="s">
        <v>466</v>
      </c>
      <c r="K599" s="151">
        <v>37.128</v>
      </c>
      <c r="L599">
        <f>Table13[[#This Row],[Price]]*Table13[[#This Row],[Units]]</f>
        <v>1326</v>
      </c>
    </row>
    <row r="600" spans="1:12" x14ac:dyDescent="0.35">
      <c r="A600" s="145">
        <v>45662</v>
      </c>
      <c r="B600" s="146" t="s">
        <v>1104</v>
      </c>
      <c r="C600" s="147" t="s">
        <v>322</v>
      </c>
      <c r="D600" s="147" t="s">
        <v>477</v>
      </c>
      <c r="E600" s="147" t="s">
        <v>333</v>
      </c>
      <c r="F600" s="147" t="s">
        <v>520</v>
      </c>
      <c r="G600" s="147">
        <v>24</v>
      </c>
      <c r="H600" s="148">
        <v>75</v>
      </c>
      <c r="I600" s="149">
        <f t="shared" si="9"/>
        <v>1800</v>
      </c>
      <c r="J600" s="150" t="s">
        <v>472</v>
      </c>
      <c r="K600" s="151">
        <v>45</v>
      </c>
      <c r="L600">
        <f>Table13[[#This Row],[Price]]*Table13[[#This Row],[Units]]</f>
        <v>1800</v>
      </c>
    </row>
    <row r="601" spans="1:12" x14ac:dyDescent="0.35">
      <c r="A601" s="145">
        <v>45662</v>
      </c>
      <c r="B601" s="146" t="s">
        <v>1105</v>
      </c>
      <c r="C601" s="147" t="s">
        <v>484</v>
      </c>
      <c r="D601" s="147" t="s">
        <v>477</v>
      </c>
      <c r="E601" s="147" t="s">
        <v>324</v>
      </c>
      <c r="F601" s="147" t="s">
        <v>497</v>
      </c>
      <c r="G601" s="147">
        <v>36</v>
      </c>
      <c r="H601" s="148">
        <v>75</v>
      </c>
      <c r="I601" s="149">
        <f t="shared" si="9"/>
        <v>2700</v>
      </c>
      <c r="J601" s="150" t="s">
        <v>472</v>
      </c>
      <c r="K601" s="151">
        <v>75.599999999999994</v>
      </c>
      <c r="L601">
        <f>Table13[[#This Row],[Price]]*Table13[[#This Row],[Units]]</f>
        <v>2700</v>
      </c>
    </row>
    <row r="602" spans="1:12" x14ac:dyDescent="0.35">
      <c r="A602" s="145">
        <v>45662</v>
      </c>
      <c r="B602" s="146" t="s">
        <v>1106</v>
      </c>
      <c r="C602" s="147" t="s">
        <v>469</v>
      </c>
      <c r="D602" s="147" t="s">
        <v>486</v>
      </c>
      <c r="E602" s="147" t="s">
        <v>333</v>
      </c>
      <c r="F602" s="147" t="s">
        <v>487</v>
      </c>
      <c r="G602" s="147">
        <v>50</v>
      </c>
      <c r="H602" s="148">
        <v>76</v>
      </c>
      <c r="I602" s="149">
        <f t="shared" si="9"/>
        <v>3800</v>
      </c>
      <c r="J602" s="150" t="s">
        <v>472</v>
      </c>
      <c r="K602" s="151">
        <v>106.4</v>
      </c>
      <c r="L602">
        <f>Table13[[#This Row],[Price]]*Table13[[#This Row],[Units]]</f>
        <v>3800</v>
      </c>
    </row>
    <row r="603" spans="1:12" x14ac:dyDescent="0.35">
      <c r="A603" s="145">
        <v>45662</v>
      </c>
      <c r="B603" s="146" t="s">
        <v>1107</v>
      </c>
      <c r="C603" s="147" t="s">
        <v>484</v>
      </c>
      <c r="D603" s="147" t="s">
        <v>465</v>
      </c>
      <c r="E603" s="147" t="s">
        <v>320</v>
      </c>
      <c r="F603" s="147" t="s">
        <v>567</v>
      </c>
      <c r="G603" s="147">
        <v>26</v>
      </c>
      <c r="H603" s="148">
        <v>80</v>
      </c>
      <c r="I603" s="149">
        <f t="shared" si="9"/>
        <v>2080</v>
      </c>
      <c r="J603" s="150" t="s">
        <v>466</v>
      </c>
      <c r="K603" s="151">
        <v>41.6</v>
      </c>
      <c r="L603">
        <f>Table13[[#This Row],[Price]]*Table13[[#This Row],[Units]]</f>
        <v>2080</v>
      </c>
    </row>
    <row r="604" spans="1:12" x14ac:dyDescent="0.35">
      <c r="A604" s="145">
        <v>45662</v>
      </c>
      <c r="B604" s="146" t="s">
        <v>1108</v>
      </c>
      <c r="C604" s="147" t="s">
        <v>494</v>
      </c>
      <c r="D604" s="147" t="s">
        <v>490</v>
      </c>
      <c r="E604" s="147" t="s">
        <v>315</v>
      </c>
      <c r="F604" s="147" t="s">
        <v>491</v>
      </c>
      <c r="G604" s="147">
        <v>40</v>
      </c>
      <c r="H604" s="148">
        <v>45</v>
      </c>
      <c r="I604" s="149">
        <f t="shared" si="9"/>
        <v>1800</v>
      </c>
      <c r="J604" s="150" t="s">
        <v>466</v>
      </c>
      <c r="K604" s="151">
        <v>46.8</v>
      </c>
      <c r="L604">
        <f>Table13[[#This Row],[Price]]*Table13[[#This Row],[Units]]</f>
        <v>1800</v>
      </c>
    </row>
    <row r="605" spans="1:12" x14ac:dyDescent="0.35">
      <c r="A605" s="145">
        <v>45662</v>
      </c>
      <c r="B605" s="146" t="s">
        <v>1109</v>
      </c>
      <c r="C605" s="147" t="s">
        <v>494</v>
      </c>
      <c r="D605" s="147" t="s">
        <v>519</v>
      </c>
      <c r="E605" s="147" t="s">
        <v>320</v>
      </c>
      <c r="F605" s="147" t="s">
        <v>505</v>
      </c>
      <c r="G605" s="147">
        <v>12</v>
      </c>
      <c r="H605" s="148">
        <v>45</v>
      </c>
      <c r="I605" s="149">
        <f t="shared" si="9"/>
        <v>540</v>
      </c>
      <c r="J605" s="150" t="s">
        <v>472</v>
      </c>
      <c r="K605" s="151">
        <v>11.88</v>
      </c>
      <c r="L605">
        <f>Table13[[#This Row],[Price]]*Table13[[#This Row],[Units]]</f>
        <v>540</v>
      </c>
    </row>
    <row r="606" spans="1:12" x14ac:dyDescent="0.35">
      <c r="A606" s="145">
        <v>45662</v>
      </c>
      <c r="B606" s="146" t="s">
        <v>1110</v>
      </c>
      <c r="C606" s="147" t="s">
        <v>484</v>
      </c>
      <c r="D606" s="147" t="s">
        <v>486</v>
      </c>
      <c r="E606" s="147" t="s">
        <v>333</v>
      </c>
      <c r="F606" s="147" t="s">
        <v>500</v>
      </c>
      <c r="G606" s="147">
        <v>58</v>
      </c>
      <c r="H606" s="148">
        <v>47</v>
      </c>
      <c r="I606" s="149">
        <f t="shared" si="9"/>
        <v>2726</v>
      </c>
      <c r="J606" s="150" t="s">
        <v>503</v>
      </c>
      <c r="K606" s="151">
        <v>79.054000000000002</v>
      </c>
      <c r="L606">
        <f>Table13[[#This Row],[Price]]*Table13[[#This Row],[Units]]</f>
        <v>2726</v>
      </c>
    </row>
    <row r="607" spans="1:12" x14ac:dyDescent="0.35">
      <c r="A607" s="145">
        <v>45662</v>
      </c>
      <c r="B607" s="146" t="s">
        <v>1111</v>
      </c>
      <c r="C607" s="147" t="s">
        <v>322</v>
      </c>
      <c r="D607" s="147" t="s">
        <v>470</v>
      </c>
      <c r="E607" s="147" t="s">
        <v>483</v>
      </c>
      <c r="F607" s="147" t="s">
        <v>454</v>
      </c>
      <c r="G607" s="147">
        <v>11</v>
      </c>
      <c r="H607" s="148">
        <v>36</v>
      </c>
      <c r="I607" s="149">
        <f t="shared" si="9"/>
        <v>396</v>
      </c>
      <c r="J607" s="150" t="s">
        <v>472</v>
      </c>
      <c r="K607" s="151">
        <v>9.5039999999999996</v>
      </c>
      <c r="L607">
        <f>Table13[[#This Row],[Price]]*Table13[[#This Row],[Units]]</f>
        <v>396</v>
      </c>
    </row>
    <row r="608" spans="1:12" x14ac:dyDescent="0.35">
      <c r="A608" s="145">
        <v>45662</v>
      </c>
      <c r="B608" s="146" t="s">
        <v>1112</v>
      </c>
      <c r="C608" s="147" t="s">
        <v>322</v>
      </c>
      <c r="D608" s="147" t="s">
        <v>519</v>
      </c>
      <c r="E608" s="147" t="s">
        <v>324</v>
      </c>
      <c r="F608" s="147" t="s">
        <v>567</v>
      </c>
      <c r="G608" s="147">
        <v>43</v>
      </c>
      <c r="H608" s="148">
        <v>37</v>
      </c>
      <c r="I608" s="149">
        <f t="shared" si="9"/>
        <v>1591</v>
      </c>
      <c r="J608" s="150" t="s">
        <v>515</v>
      </c>
      <c r="K608" s="151">
        <v>42.957000000000001</v>
      </c>
      <c r="L608">
        <f>Table13[[#This Row],[Price]]*Table13[[#This Row],[Units]]</f>
        <v>1591</v>
      </c>
    </row>
    <row r="609" spans="1:12" x14ac:dyDescent="0.35">
      <c r="A609" s="145">
        <v>45662</v>
      </c>
      <c r="B609" s="146" t="s">
        <v>1113</v>
      </c>
      <c r="C609" s="147" t="s">
        <v>476</v>
      </c>
      <c r="D609" s="147" t="s">
        <v>519</v>
      </c>
      <c r="E609" s="147" t="s">
        <v>320</v>
      </c>
      <c r="F609" s="147" t="s">
        <v>500</v>
      </c>
      <c r="G609" s="147">
        <v>42</v>
      </c>
      <c r="H609" s="148">
        <v>64</v>
      </c>
      <c r="I609" s="149">
        <f t="shared" si="9"/>
        <v>2688</v>
      </c>
      <c r="J609" s="150" t="s">
        <v>466</v>
      </c>
      <c r="K609" s="151">
        <v>80.64</v>
      </c>
      <c r="L609">
        <f>Table13[[#This Row],[Price]]*Table13[[#This Row],[Units]]</f>
        <v>2688</v>
      </c>
    </row>
    <row r="610" spans="1:12" x14ac:dyDescent="0.35">
      <c r="A610" s="145">
        <v>45662</v>
      </c>
      <c r="B610" s="146" t="s">
        <v>1114</v>
      </c>
      <c r="C610" s="147" t="s">
        <v>494</v>
      </c>
      <c r="D610" s="147" t="s">
        <v>465</v>
      </c>
      <c r="E610" s="147" t="s">
        <v>324</v>
      </c>
      <c r="F610" s="147" t="s">
        <v>487</v>
      </c>
      <c r="G610" s="147">
        <v>53</v>
      </c>
      <c r="H610" s="148">
        <v>54</v>
      </c>
      <c r="I610" s="149">
        <f t="shared" si="9"/>
        <v>2862</v>
      </c>
      <c r="J610" s="150" t="s">
        <v>515</v>
      </c>
      <c r="K610" s="151">
        <v>57.24</v>
      </c>
      <c r="L610">
        <f>Table13[[#This Row],[Price]]*Table13[[#This Row],[Units]]</f>
        <v>2862</v>
      </c>
    </row>
    <row r="611" spans="1:12" x14ac:dyDescent="0.35">
      <c r="A611" s="145">
        <v>45662</v>
      </c>
      <c r="B611" s="146" t="s">
        <v>1115</v>
      </c>
      <c r="C611" s="147" t="s">
        <v>501</v>
      </c>
      <c r="D611" s="147" t="s">
        <v>477</v>
      </c>
      <c r="E611" s="147" t="s">
        <v>324</v>
      </c>
      <c r="F611" s="147" t="s">
        <v>471</v>
      </c>
      <c r="G611" s="147">
        <v>17</v>
      </c>
      <c r="H611" s="148">
        <v>59</v>
      </c>
      <c r="I611" s="149">
        <f t="shared" si="9"/>
        <v>1003</v>
      </c>
      <c r="J611" s="150" t="s">
        <v>466</v>
      </c>
      <c r="K611" s="151">
        <v>20.059999999999999</v>
      </c>
      <c r="L611">
        <f>Table13[[#This Row],[Price]]*Table13[[#This Row],[Units]]</f>
        <v>1003</v>
      </c>
    </row>
    <row r="612" spans="1:12" x14ac:dyDescent="0.35">
      <c r="A612" s="145">
        <v>45662</v>
      </c>
      <c r="B612" s="146" t="s">
        <v>1116</v>
      </c>
      <c r="C612" s="147" t="s">
        <v>322</v>
      </c>
      <c r="D612" s="147" t="s">
        <v>490</v>
      </c>
      <c r="E612" s="147" t="s">
        <v>315</v>
      </c>
      <c r="F612" s="147" t="s">
        <v>513</v>
      </c>
      <c r="G612" s="147">
        <v>29</v>
      </c>
      <c r="H612" s="148">
        <v>54</v>
      </c>
      <c r="I612" s="149">
        <f t="shared" si="9"/>
        <v>1566</v>
      </c>
      <c r="J612" s="150" t="s">
        <v>466</v>
      </c>
      <c r="K612" s="151">
        <v>43.847999999999999</v>
      </c>
      <c r="L612">
        <f>Table13[[#This Row],[Price]]*Table13[[#This Row],[Units]]</f>
        <v>1566</v>
      </c>
    </row>
    <row r="613" spans="1:12" x14ac:dyDescent="0.35">
      <c r="A613" s="145">
        <v>45662</v>
      </c>
      <c r="B613" s="146" t="s">
        <v>1117</v>
      </c>
      <c r="C613" s="147" t="s">
        <v>469</v>
      </c>
      <c r="D613" s="147" t="s">
        <v>470</v>
      </c>
      <c r="E613" s="147" t="s">
        <v>320</v>
      </c>
      <c r="F613" s="147" t="s">
        <v>536</v>
      </c>
      <c r="G613" s="147">
        <v>26</v>
      </c>
      <c r="H613" s="148">
        <v>38</v>
      </c>
      <c r="I613" s="149">
        <f t="shared" si="9"/>
        <v>988</v>
      </c>
      <c r="J613" s="150" t="s">
        <v>503</v>
      </c>
      <c r="K613" s="151">
        <v>20.748000000000001</v>
      </c>
      <c r="L613">
        <f>Table13[[#This Row],[Price]]*Table13[[#This Row],[Units]]</f>
        <v>988</v>
      </c>
    </row>
    <row r="614" spans="1:12" x14ac:dyDescent="0.35">
      <c r="A614" s="145">
        <v>45662</v>
      </c>
      <c r="B614" s="146" t="s">
        <v>1118</v>
      </c>
      <c r="C614" s="147" t="s">
        <v>484</v>
      </c>
      <c r="D614" s="147" t="s">
        <v>470</v>
      </c>
      <c r="E614" s="147" t="s">
        <v>483</v>
      </c>
      <c r="F614" s="147" t="s">
        <v>567</v>
      </c>
      <c r="G614" s="147">
        <v>53</v>
      </c>
      <c r="H614" s="148">
        <v>37</v>
      </c>
      <c r="I614" s="149">
        <f t="shared" si="9"/>
        <v>1961</v>
      </c>
      <c r="J614" s="150" t="s">
        <v>472</v>
      </c>
      <c r="K614" s="151">
        <v>43.142000000000003</v>
      </c>
      <c r="L614">
        <f>Table13[[#This Row],[Price]]*Table13[[#This Row],[Units]]</f>
        <v>1961</v>
      </c>
    </row>
    <row r="615" spans="1:12" x14ac:dyDescent="0.35">
      <c r="A615" s="145">
        <v>45662</v>
      </c>
      <c r="B615" s="146" t="s">
        <v>1119</v>
      </c>
      <c r="C615" s="147" t="s">
        <v>501</v>
      </c>
      <c r="D615" s="147" t="s">
        <v>486</v>
      </c>
      <c r="E615" s="147" t="s">
        <v>320</v>
      </c>
      <c r="F615" s="147" t="s">
        <v>454</v>
      </c>
      <c r="G615" s="147">
        <v>29</v>
      </c>
      <c r="H615" s="148">
        <v>32</v>
      </c>
      <c r="I615" s="149">
        <f t="shared" si="9"/>
        <v>928</v>
      </c>
      <c r="J615" s="150" t="s">
        <v>466</v>
      </c>
      <c r="K615" s="151">
        <v>20.416</v>
      </c>
      <c r="L615">
        <f>Table13[[#This Row],[Price]]*Table13[[#This Row],[Units]]</f>
        <v>928</v>
      </c>
    </row>
    <row r="616" spans="1:12" x14ac:dyDescent="0.35">
      <c r="A616" s="145">
        <v>45662</v>
      </c>
      <c r="B616" s="146" t="s">
        <v>1120</v>
      </c>
      <c r="C616" s="147" t="s">
        <v>476</v>
      </c>
      <c r="D616" s="147" t="s">
        <v>512</v>
      </c>
      <c r="E616" s="147" t="s">
        <v>320</v>
      </c>
      <c r="F616" s="147" t="s">
        <v>536</v>
      </c>
      <c r="G616" s="147">
        <v>59</v>
      </c>
      <c r="H616" s="148">
        <v>41</v>
      </c>
      <c r="I616" s="149">
        <f t="shared" si="9"/>
        <v>2419</v>
      </c>
      <c r="J616" s="150" t="s">
        <v>466</v>
      </c>
      <c r="K616" s="151">
        <v>50.798999999999999</v>
      </c>
      <c r="L616">
        <f>Table13[[#This Row],[Price]]*Table13[[#This Row],[Units]]</f>
        <v>2419</v>
      </c>
    </row>
    <row r="617" spans="1:12" x14ac:dyDescent="0.35">
      <c r="A617" s="145">
        <v>45662</v>
      </c>
      <c r="B617" s="146" t="s">
        <v>1121</v>
      </c>
      <c r="C617" s="147" t="s">
        <v>322</v>
      </c>
      <c r="D617" s="147" t="s">
        <v>490</v>
      </c>
      <c r="E617" s="147" t="s">
        <v>315</v>
      </c>
      <c r="F617" s="147" t="s">
        <v>567</v>
      </c>
      <c r="G617" s="147">
        <v>21</v>
      </c>
      <c r="H617" s="148">
        <v>44</v>
      </c>
      <c r="I617" s="149">
        <f t="shared" si="9"/>
        <v>924</v>
      </c>
      <c r="J617" s="150" t="s">
        <v>466</v>
      </c>
      <c r="K617" s="151">
        <v>26.795999999999999</v>
      </c>
      <c r="L617">
        <f>Table13[[#This Row],[Price]]*Table13[[#This Row],[Units]]</f>
        <v>924</v>
      </c>
    </row>
    <row r="618" spans="1:12" x14ac:dyDescent="0.35">
      <c r="A618" s="145">
        <v>45663</v>
      </c>
      <c r="B618" s="146" t="s">
        <v>1122</v>
      </c>
      <c r="C618" s="147" t="s">
        <v>492</v>
      </c>
      <c r="D618" s="147" t="s">
        <v>465</v>
      </c>
      <c r="E618" s="147" t="s">
        <v>390</v>
      </c>
      <c r="F618" s="147" t="s">
        <v>517</v>
      </c>
      <c r="G618" s="147">
        <v>28</v>
      </c>
      <c r="H618" s="148">
        <v>49</v>
      </c>
      <c r="I618" s="149">
        <f t="shared" si="9"/>
        <v>1372</v>
      </c>
      <c r="J618" s="150" t="s">
        <v>472</v>
      </c>
      <c r="K618" s="151">
        <v>28.812000000000001</v>
      </c>
      <c r="L618">
        <f>Table13[[#This Row],[Price]]*Table13[[#This Row],[Units]]</f>
        <v>1372</v>
      </c>
    </row>
    <row r="619" spans="1:12" x14ac:dyDescent="0.35">
      <c r="A619" s="145">
        <v>45664</v>
      </c>
      <c r="B619" s="146" t="s">
        <v>1123</v>
      </c>
      <c r="C619" s="147" t="s">
        <v>501</v>
      </c>
      <c r="D619" s="147" t="s">
        <v>470</v>
      </c>
      <c r="E619" s="147" t="s">
        <v>324</v>
      </c>
      <c r="F619" s="147" t="s">
        <v>500</v>
      </c>
      <c r="G619" s="147">
        <v>50</v>
      </c>
      <c r="H619" s="148">
        <v>47</v>
      </c>
      <c r="I619" s="149">
        <f t="shared" si="9"/>
        <v>2350</v>
      </c>
      <c r="J619" s="150" t="s">
        <v>466</v>
      </c>
      <c r="K619" s="151">
        <v>54.05</v>
      </c>
      <c r="L619">
        <f>Table13[[#This Row],[Price]]*Table13[[#This Row],[Units]]</f>
        <v>2350</v>
      </c>
    </row>
    <row r="620" spans="1:12" x14ac:dyDescent="0.35">
      <c r="A620" s="145">
        <v>45664</v>
      </c>
      <c r="B620" s="146" t="s">
        <v>1124</v>
      </c>
      <c r="C620" s="147" t="s">
        <v>494</v>
      </c>
      <c r="D620" s="147" t="s">
        <v>470</v>
      </c>
      <c r="E620" s="147" t="s">
        <v>333</v>
      </c>
      <c r="F620" s="147" t="s">
        <v>536</v>
      </c>
      <c r="G620" s="147">
        <v>58</v>
      </c>
      <c r="H620" s="148">
        <v>46</v>
      </c>
      <c r="I620" s="149">
        <f t="shared" si="9"/>
        <v>2668</v>
      </c>
      <c r="J620" s="150" t="s">
        <v>472</v>
      </c>
      <c r="K620" s="151">
        <v>66.7</v>
      </c>
      <c r="L620">
        <f>Table13[[#This Row],[Price]]*Table13[[#This Row],[Units]]</f>
        <v>2668</v>
      </c>
    </row>
    <row r="621" spans="1:12" x14ac:dyDescent="0.35">
      <c r="A621" s="145">
        <v>45664</v>
      </c>
      <c r="B621" s="146" t="s">
        <v>1125</v>
      </c>
      <c r="C621" s="147" t="s">
        <v>464</v>
      </c>
      <c r="D621" s="147" t="s">
        <v>470</v>
      </c>
      <c r="E621" s="147" t="s">
        <v>324</v>
      </c>
      <c r="F621" s="147" t="s">
        <v>497</v>
      </c>
      <c r="G621" s="147">
        <v>24</v>
      </c>
      <c r="H621" s="148">
        <v>35</v>
      </c>
      <c r="I621" s="149">
        <f t="shared" si="9"/>
        <v>840</v>
      </c>
      <c r="J621" s="150" t="s">
        <v>466</v>
      </c>
      <c r="K621" s="151">
        <v>23.52</v>
      </c>
      <c r="L621">
        <f>Table13[[#This Row],[Price]]*Table13[[#This Row],[Units]]</f>
        <v>840</v>
      </c>
    </row>
    <row r="622" spans="1:12" x14ac:dyDescent="0.35">
      <c r="A622" s="145">
        <v>45664</v>
      </c>
      <c r="B622" s="146" t="s">
        <v>1126</v>
      </c>
      <c r="C622" s="147" t="s">
        <v>494</v>
      </c>
      <c r="D622" s="147" t="s">
        <v>490</v>
      </c>
      <c r="E622" s="147" t="s">
        <v>333</v>
      </c>
      <c r="F622" s="147" t="s">
        <v>528</v>
      </c>
      <c r="G622" s="147">
        <v>55</v>
      </c>
      <c r="H622" s="148">
        <v>48</v>
      </c>
      <c r="I622" s="149">
        <f t="shared" si="9"/>
        <v>2640</v>
      </c>
      <c r="J622" s="150" t="s">
        <v>466</v>
      </c>
      <c r="K622" s="151">
        <v>55.44</v>
      </c>
      <c r="L622">
        <f>Table13[[#This Row],[Price]]*Table13[[#This Row],[Units]]</f>
        <v>2640</v>
      </c>
    </row>
    <row r="623" spans="1:12" x14ac:dyDescent="0.35">
      <c r="A623" s="145">
        <v>45664</v>
      </c>
      <c r="B623" s="146" t="s">
        <v>1127</v>
      </c>
      <c r="C623" s="147" t="s">
        <v>494</v>
      </c>
      <c r="D623" s="147" t="s">
        <v>477</v>
      </c>
      <c r="E623" s="147" t="s">
        <v>483</v>
      </c>
      <c r="F623" s="147" t="s">
        <v>505</v>
      </c>
      <c r="G623" s="147">
        <v>19</v>
      </c>
      <c r="H623" s="148">
        <v>73</v>
      </c>
      <c r="I623" s="149">
        <f t="shared" si="9"/>
        <v>1387</v>
      </c>
      <c r="J623" s="150" t="s">
        <v>472</v>
      </c>
      <c r="K623" s="151">
        <v>41.61</v>
      </c>
      <c r="L623">
        <f>Table13[[#This Row],[Price]]*Table13[[#This Row],[Units]]</f>
        <v>1387</v>
      </c>
    </row>
    <row r="624" spans="1:12" x14ac:dyDescent="0.35">
      <c r="A624" s="145">
        <v>45664</v>
      </c>
      <c r="B624" s="146" t="s">
        <v>1128</v>
      </c>
      <c r="C624" s="147" t="s">
        <v>492</v>
      </c>
      <c r="D624" s="147" t="s">
        <v>519</v>
      </c>
      <c r="E624" s="147" t="s">
        <v>333</v>
      </c>
      <c r="F624" s="147" t="s">
        <v>454</v>
      </c>
      <c r="G624" s="147">
        <v>37</v>
      </c>
      <c r="H624" s="148">
        <v>73</v>
      </c>
      <c r="I624" s="149">
        <f t="shared" si="9"/>
        <v>2701</v>
      </c>
      <c r="J624" s="150" t="s">
        <v>466</v>
      </c>
      <c r="K624" s="151">
        <v>59.421999999999997</v>
      </c>
      <c r="L624">
        <f>Table13[[#This Row],[Price]]*Table13[[#This Row],[Units]]</f>
        <v>2701</v>
      </c>
    </row>
    <row r="625" spans="1:12" x14ac:dyDescent="0.35">
      <c r="A625" s="145">
        <v>45664</v>
      </c>
      <c r="B625" s="146" t="s">
        <v>1129</v>
      </c>
      <c r="C625" s="147" t="s">
        <v>322</v>
      </c>
      <c r="D625" s="147" t="s">
        <v>470</v>
      </c>
      <c r="E625" s="147" t="s">
        <v>315</v>
      </c>
      <c r="F625" s="147" t="s">
        <v>500</v>
      </c>
      <c r="G625" s="147">
        <v>32</v>
      </c>
      <c r="H625" s="148">
        <v>34</v>
      </c>
      <c r="I625" s="149">
        <f t="shared" si="9"/>
        <v>1088</v>
      </c>
      <c r="J625" s="150" t="s">
        <v>466</v>
      </c>
      <c r="K625" s="151">
        <v>23.936</v>
      </c>
      <c r="L625">
        <f>Table13[[#This Row],[Price]]*Table13[[#This Row],[Units]]</f>
        <v>1088</v>
      </c>
    </row>
    <row r="626" spans="1:12" x14ac:dyDescent="0.35">
      <c r="A626" s="145">
        <v>45664</v>
      </c>
      <c r="B626" s="146" t="s">
        <v>1130</v>
      </c>
      <c r="C626" s="147" t="s">
        <v>322</v>
      </c>
      <c r="D626" s="147" t="s">
        <v>470</v>
      </c>
      <c r="E626" s="147" t="s">
        <v>483</v>
      </c>
      <c r="F626" s="147" t="s">
        <v>513</v>
      </c>
      <c r="G626" s="147">
        <v>46</v>
      </c>
      <c r="H626" s="148">
        <v>42</v>
      </c>
      <c r="I626" s="149">
        <f t="shared" si="9"/>
        <v>1932</v>
      </c>
      <c r="J626" s="150" t="s">
        <v>466</v>
      </c>
      <c r="K626" s="151">
        <v>38.64</v>
      </c>
      <c r="L626">
        <f>Table13[[#This Row],[Price]]*Table13[[#This Row],[Units]]</f>
        <v>1932</v>
      </c>
    </row>
    <row r="627" spans="1:12" x14ac:dyDescent="0.35">
      <c r="A627" s="145">
        <v>45664</v>
      </c>
      <c r="B627" s="146" t="s">
        <v>1131</v>
      </c>
      <c r="C627" s="147" t="s">
        <v>484</v>
      </c>
      <c r="D627" s="147" t="s">
        <v>519</v>
      </c>
      <c r="E627" s="147" t="s">
        <v>412</v>
      </c>
      <c r="F627" s="147" t="s">
        <v>513</v>
      </c>
      <c r="G627" s="147">
        <v>53</v>
      </c>
      <c r="H627" s="148">
        <v>36</v>
      </c>
      <c r="I627" s="149">
        <f t="shared" si="9"/>
        <v>1908</v>
      </c>
      <c r="J627" s="150" t="s">
        <v>472</v>
      </c>
      <c r="K627" s="151">
        <v>45.792000000000002</v>
      </c>
      <c r="L627">
        <f>Table13[[#This Row],[Price]]*Table13[[#This Row],[Units]]</f>
        <v>1908</v>
      </c>
    </row>
    <row r="628" spans="1:12" x14ac:dyDescent="0.35">
      <c r="A628" s="145">
        <v>45664</v>
      </c>
      <c r="B628" s="146" t="s">
        <v>1132</v>
      </c>
      <c r="C628" s="147" t="s">
        <v>494</v>
      </c>
      <c r="D628" s="147" t="s">
        <v>477</v>
      </c>
      <c r="E628" s="147" t="s">
        <v>320</v>
      </c>
      <c r="F628" s="147" t="s">
        <v>567</v>
      </c>
      <c r="G628" s="147">
        <v>33</v>
      </c>
      <c r="H628" s="148">
        <v>73</v>
      </c>
      <c r="I628" s="149">
        <f t="shared" si="9"/>
        <v>2409</v>
      </c>
      <c r="J628" s="150" t="s">
        <v>472</v>
      </c>
      <c r="K628" s="151">
        <v>50.588999999999999</v>
      </c>
      <c r="L628">
        <f>Table13[[#This Row],[Price]]*Table13[[#This Row],[Units]]</f>
        <v>2409</v>
      </c>
    </row>
    <row r="629" spans="1:12" x14ac:dyDescent="0.35">
      <c r="A629" s="145">
        <v>45664</v>
      </c>
      <c r="B629" s="146" t="s">
        <v>1133</v>
      </c>
      <c r="C629" s="147" t="s">
        <v>464</v>
      </c>
      <c r="D629" s="147" t="s">
        <v>470</v>
      </c>
      <c r="E629" s="147" t="s">
        <v>324</v>
      </c>
      <c r="F629" s="147" t="s">
        <v>454</v>
      </c>
      <c r="G629" s="147">
        <v>20</v>
      </c>
      <c r="H629" s="148">
        <v>59</v>
      </c>
      <c r="I629" s="149">
        <f t="shared" si="9"/>
        <v>1180</v>
      </c>
      <c r="J629" s="150" t="s">
        <v>466</v>
      </c>
      <c r="K629" s="151">
        <v>31.86</v>
      </c>
      <c r="L629">
        <f>Table13[[#This Row],[Price]]*Table13[[#This Row],[Units]]</f>
        <v>1180</v>
      </c>
    </row>
    <row r="630" spans="1:12" x14ac:dyDescent="0.35">
      <c r="A630" s="145">
        <v>45664</v>
      </c>
      <c r="B630" s="146" t="s">
        <v>1134</v>
      </c>
      <c r="C630" s="147" t="s">
        <v>464</v>
      </c>
      <c r="D630" s="147" t="s">
        <v>512</v>
      </c>
      <c r="E630" s="147" t="s">
        <v>483</v>
      </c>
      <c r="F630" s="147" t="s">
        <v>536</v>
      </c>
      <c r="G630" s="147">
        <v>46</v>
      </c>
      <c r="H630" s="148">
        <v>30</v>
      </c>
      <c r="I630" s="149">
        <f t="shared" si="9"/>
        <v>1380</v>
      </c>
      <c r="J630" s="150" t="s">
        <v>472</v>
      </c>
      <c r="K630" s="151">
        <v>37.26</v>
      </c>
      <c r="L630">
        <f>Table13[[#This Row],[Price]]*Table13[[#This Row],[Units]]</f>
        <v>1380</v>
      </c>
    </row>
    <row r="631" spans="1:12" x14ac:dyDescent="0.35">
      <c r="A631" s="145">
        <v>45664</v>
      </c>
      <c r="B631" s="146" t="s">
        <v>1135</v>
      </c>
      <c r="C631" s="147" t="s">
        <v>469</v>
      </c>
      <c r="D631" s="147" t="s">
        <v>465</v>
      </c>
      <c r="E631" s="147" t="s">
        <v>333</v>
      </c>
      <c r="F631" s="147" t="s">
        <v>536</v>
      </c>
      <c r="G631" s="147">
        <v>38</v>
      </c>
      <c r="H631" s="148">
        <v>36</v>
      </c>
      <c r="I631" s="149">
        <f t="shared" si="9"/>
        <v>1368</v>
      </c>
      <c r="J631" s="150" t="s">
        <v>466</v>
      </c>
      <c r="K631" s="151">
        <v>32.832000000000001</v>
      </c>
      <c r="L631">
        <f>Table13[[#This Row],[Price]]*Table13[[#This Row],[Units]]</f>
        <v>1368</v>
      </c>
    </row>
    <row r="632" spans="1:12" x14ac:dyDescent="0.35">
      <c r="A632" s="145">
        <v>45664</v>
      </c>
      <c r="B632" s="146" t="s">
        <v>1136</v>
      </c>
      <c r="C632" s="147" t="s">
        <v>492</v>
      </c>
      <c r="D632" s="147" t="s">
        <v>477</v>
      </c>
      <c r="E632" s="147" t="s">
        <v>315</v>
      </c>
      <c r="F632" s="147" t="s">
        <v>517</v>
      </c>
      <c r="G632" s="147">
        <v>20</v>
      </c>
      <c r="H632" s="148">
        <v>67</v>
      </c>
      <c r="I632" s="149">
        <f t="shared" si="9"/>
        <v>1340</v>
      </c>
      <c r="J632" s="150" t="s">
        <v>466</v>
      </c>
      <c r="K632" s="151">
        <v>32.159999999999997</v>
      </c>
      <c r="L632">
        <f>Table13[[#This Row],[Price]]*Table13[[#This Row],[Units]]</f>
        <v>1340</v>
      </c>
    </row>
    <row r="633" spans="1:12" x14ac:dyDescent="0.35">
      <c r="A633" s="145">
        <v>45664</v>
      </c>
      <c r="B633" s="146" t="s">
        <v>1137</v>
      </c>
      <c r="C633" s="147" t="s">
        <v>489</v>
      </c>
      <c r="D633" s="147" t="s">
        <v>519</v>
      </c>
      <c r="E633" s="147" t="s">
        <v>390</v>
      </c>
      <c r="F633" s="147" t="s">
        <v>567</v>
      </c>
      <c r="G633" s="147">
        <v>30</v>
      </c>
      <c r="H633" s="148">
        <v>67</v>
      </c>
      <c r="I633" s="149">
        <f t="shared" si="9"/>
        <v>2010</v>
      </c>
      <c r="J633" s="150" t="s">
        <v>466</v>
      </c>
      <c r="K633" s="151">
        <v>40.200000000000003</v>
      </c>
      <c r="L633">
        <f>Table13[[#This Row],[Price]]*Table13[[#This Row],[Units]]</f>
        <v>2010</v>
      </c>
    </row>
    <row r="634" spans="1:12" x14ac:dyDescent="0.35">
      <c r="A634" s="145">
        <v>45664</v>
      </c>
      <c r="B634" s="146" t="s">
        <v>1138</v>
      </c>
      <c r="C634" s="147" t="s">
        <v>501</v>
      </c>
      <c r="D634" s="147" t="s">
        <v>490</v>
      </c>
      <c r="E634" s="147" t="s">
        <v>315</v>
      </c>
      <c r="F634" s="147" t="s">
        <v>478</v>
      </c>
      <c r="G634" s="147">
        <v>50</v>
      </c>
      <c r="H634" s="148">
        <v>79</v>
      </c>
      <c r="I634" s="149">
        <f t="shared" si="9"/>
        <v>3950</v>
      </c>
      <c r="J634" s="150" t="s">
        <v>472</v>
      </c>
      <c r="K634" s="151">
        <v>79</v>
      </c>
      <c r="L634">
        <f>Table13[[#This Row],[Price]]*Table13[[#This Row],[Units]]</f>
        <v>3950</v>
      </c>
    </row>
    <row r="635" spans="1:12" x14ac:dyDescent="0.35">
      <c r="A635" s="145">
        <v>45664</v>
      </c>
      <c r="B635" s="146" t="s">
        <v>1139</v>
      </c>
      <c r="C635" s="147" t="s">
        <v>464</v>
      </c>
      <c r="D635" s="147" t="s">
        <v>470</v>
      </c>
      <c r="E635" s="147" t="s">
        <v>324</v>
      </c>
      <c r="F635" s="147" t="s">
        <v>487</v>
      </c>
      <c r="G635" s="147">
        <v>38</v>
      </c>
      <c r="H635" s="148">
        <v>59</v>
      </c>
      <c r="I635" s="149">
        <f t="shared" si="9"/>
        <v>2242</v>
      </c>
      <c r="J635" s="150" t="s">
        <v>466</v>
      </c>
      <c r="K635" s="151">
        <v>44.84</v>
      </c>
      <c r="L635">
        <f>Table13[[#This Row],[Price]]*Table13[[#This Row],[Units]]</f>
        <v>2242</v>
      </c>
    </row>
    <row r="636" spans="1:12" x14ac:dyDescent="0.35">
      <c r="A636" s="145">
        <v>45664</v>
      </c>
      <c r="B636" s="146" t="s">
        <v>1140</v>
      </c>
      <c r="C636" s="147" t="s">
        <v>494</v>
      </c>
      <c r="D636" s="147" t="s">
        <v>470</v>
      </c>
      <c r="E636" s="147" t="s">
        <v>324</v>
      </c>
      <c r="F636" s="147" t="s">
        <v>491</v>
      </c>
      <c r="G636" s="147">
        <v>27</v>
      </c>
      <c r="H636" s="148">
        <v>59</v>
      </c>
      <c r="I636" s="149">
        <f t="shared" si="9"/>
        <v>1593</v>
      </c>
      <c r="J636" s="150" t="s">
        <v>466</v>
      </c>
      <c r="K636" s="151">
        <v>33.453000000000003</v>
      </c>
      <c r="L636">
        <f>Table13[[#This Row],[Price]]*Table13[[#This Row],[Units]]</f>
        <v>1593</v>
      </c>
    </row>
    <row r="637" spans="1:12" x14ac:dyDescent="0.35">
      <c r="A637" s="145">
        <v>45664</v>
      </c>
      <c r="B637" s="146" t="s">
        <v>1141</v>
      </c>
      <c r="C637" s="147" t="s">
        <v>494</v>
      </c>
      <c r="D637" s="147" t="s">
        <v>470</v>
      </c>
      <c r="E637" s="147" t="s">
        <v>320</v>
      </c>
      <c r="F637" s="147" t="s">
        <v>520</v>
      </c>
      <c r="G637" s="147">
        <v>49</v>
      </c>
      <c r="H637" s="148">
        <v>65</v>
      </c>
      <c r="I637" s="149">
        <f t="shared" si="9"/>
        <v>3185</v>
      </c>
      <c r="J637" s="150" t="s">
        <v>515</v>
      </c>
      <c r="K637" s="151">
        <v>89.18</v>
      </c>
      <c r="L637">
        <f>Table13[[#This Row],[Price]]*Table13[[#This Row],[Units]]</f>
        <v>3185</v>
      </c>
    </row>
    <row r="638" spans="1:12" x14ac:dyDescent="0.35">
      <c r="A638" s="145">
        <v>45664</v>
      </c>
      <c r="B638" s="146" t="s">
        <v>1142</v>
      </c>
      <c r="C638" s="147" t="s">
        <v>476</v>
      </c>
      <c r="D638" s="147" t="s">
        <v>512</v>
      </c>
      <c r="E638" s="147" t="s">
        <v>315</v>
      </c>
      <c r="F638" s="147" t="s">
        <v>520</v>
      </c>
      <c r="G638" s="147">
        <v>22</v>
      </c>
      <c r="H638" s="148">
        <v>55</v>
      </c>
      <c r="I638" s="149">
        <f t="shared" si="9"/>
        <v>1210</v>
      </c>
      <c r="J638" s="150" t="s">
        <v>466</v>
      </c>
      <c r="K638" s="151">
        <v>33.880000000000003</v>
      </c>
      <c r="L638">
        <f>Table13[[#This Row],[Price]]*Table13[[#This Row],[Units]]</f>
        <v>1210</v>
      </c>
    </row>
    <row r="639" spans="1:12" x14ac:dyDescent="0.35">
      <c r="A639" s="145">
        <v>45664</v>
      </c>
      <c r="B639" s="146" t="s">
        <v>1143</v>
      </c>
      <c r="C639" s="147" t="s">
        <v>476</v>
      </c>
      <c r="D639" s="147" t="s">
        <v>512</v>
      </c>
      <c r="E639" s="147" t="s">
        <v>412</v>
      </c>
      <c r="F639" s="147" t="s">
        <v>454</v>
      </c>
      <c r="G639" s="147">
        <v>37</v>
      </c>
      <c r="H639" s="148">
        <v>47</v>
      </c>
      <c r="I639" s="149">
        <f t="shared" si="9"/>
        <v>1739</v>
      </c>
      <c r="J639" s="150" t="s">
        <v>466</v>
      </c>
      <c r="K639" s="151">
        <v>45.213999999999999</v>
      </c>
      <c r="L639">
        <f>Table13[[#This Row],[Price]]*Table13[[#This Row],[Units]]</f>
        <v>1739</v>
      </c>
    </row>
    <row r="640" spans="1:12" x14ac:dyDescent="0.35">
      <c r="A640" s="145">
        <v>45665</v>
      </c>
      <c r="B640" s="146" t="s">
        <v>1144</v>
      </c>
      <c r="C640" s="147" t="s">
        <v>489</v>
      </c>
      <c r="D640" s="147" t="s">
        <v>470</v>
      </c>
      <c r="E640" s="147" t="s">
        <v>315</v>
      </c>
      <c r="F640" s="147" t="s">
        <v>454</v>
      </c>
      <c r="G640" s="147">
        <v>34</v>
      </c>
      <c r="H640" s="148">
        <v>60</v>
      </c>
      <c r="I640" s="149">
        <f t="shared" si="9"/>
        <v>2040</v>
      </c>
      <c r="J640" s="150" t="s">
        <v>466</v>
      </c>
      <c r="K640" s="151">
        <v>48.96</v>
      </c>
      <c r="L640">
        <f>Table13[[#This Row],[Price]]*Table13[[#This Row],[Units]]</f>
        <v>2040</v>
      </c>
    </row>
    <row r="641" spans="1:12" x14ac:dyDescent="0.35">
      <c r="A641" s="145">
        <v>45665</v>
      </c>
      <c r="B641" s="146" t="s">
        <v>1145</v>
      </c>
      <c r="C641" s="147" t="s">
        <v>484</v>
      </c>
      <c r="D641" s="147" t="s">
        <v>490</v>
      </c>
      <c r="E641" s="147" t="s">
        <v>320</v>
      </c>
      <c r="F641" s="147" t="s">
        <v>517</v>
      </c>
      <c r="G641" s="147">
        <v>19</v>
      </c>
      <c r="H641" s="148">
        <v>52</v>
      </c>
      <c r="I641" s="149">
        <f t="shared" si="9"/>
        <v>988</v>
      </c>
      <c r="J641" s="150" t="s">
        <v>466</v>
      </c>
      <c r="K641" s="151">
        <v>25.687999999999999</v>
      </c>
      <c r="L641">
        <f>Table13[[#This Row],[Price]]*Table13[[#This Row],[Units]]</f>
        <v>988</v>
      </c>
    </row>
    <row r="642" spans="1:12" x14ac:dyDescent="0.35">
      <c r="A642" s="145">
        <v>45665</v>
      </c>
      <c r="B642" s="146" t="s">
        <v>1146</v>
      </c>
      <c r="C642" s="147" t="s">
        <v>322</v>
      </c>
      <c r="D642" s="147" t="s">
        <v>470</v>
      </c>
      <c r="E642" s="147" t="s">
        <v>333</v>
      </c>
      <c r="F642" s="147" t="s">
        <v>536</v>
      </c>
      <c r="G642" s="147">
        <v>12</v>
      </c>
      <c r="H642" s="148">
        <v>69</v>
      </c>
      <c r="I642" s="149">
        <f t="shared" si="9"/>
        <v>828</v>
      </c>
      <c r="J642" s="150" t="s">
        <v>466</v>
      </c>
      <c r="K642" s="151">
        <v>24.012</v>
      </c>
      <c r="L642">
        <f>Table13[[#This Row],[Price]]*Table13[[#This Row],[Units]]</f>
        <v>828</v>
      </c>
    </row>
    <row r="643" spans="1:12" x14ac:dyDescent="0.35">
      <c r="A643" s="145">
        <v>45665</v>
      </c>
      <c r="B643" s="146" t="s">
        <v>1147</v>
      </c>
      <c r="C643" s="147" t="s">
        <v>501</v>
      </c>
      <c r="D643" s="147" t="s">
        <v>477</v>
      </c>
      <c r="E643" s="147" t="s">
        <v>483</v>
      </c>
      <c r="F643" s="147" t="s">
        <v>536</v>
      </c>
      <c r="G643" s="147">
        <v>11</v>
      </c>
      <c r="H643" s="148">
        <v>63</v>
      </c>
      <c r="I643" s="149">
        <f t="shared" ref="I643:I706" si="10">G643*H643</f>
        <v>693</v>
      </c>
      <c r="J643" s="150" t="s">
        <v>466</v>
      </c>
      <c r="K643" s="151">
        <v>13.86</v>
      </c>
      <c r="L643">
        <f>Table13[[#This Row],[Price]]*Table13[[#This Row],[Units]]</f>
        <v>693</v>
      </c>
    </row>
    <row r="644" spans="1:12" x14ac:dyDescent="0.35">
      <c r="A644" s="145">
        <v>45665</v>
      </c>
      <c r="B644" s="146" t="s">
        <v>1148</v>
      </c>
      <c r="C644" s="147" t="s">
        <v>489</v>
      </c>
      <c r="D644" s="147" t="s">
        <v>477</v>
      </c>
      <c r="E644" s="147" t="s">
        <v>320</v>
      </c>
      <c r="F644" s="147" t="s">
        <v>487</v>
      </c>
      <c r="G644" s="147">
        <v>41</v>
      </c>
      <c r="H644" s="148">
        <v>48</v>
      </c>
      <c r="I644" s="149">
        <f t="shared" si="10"/>
        <v>1968</v>
      </c>
      <c r="J644" s="150" t="s">
        <v>466</v>
      </c>
      <c r="K644" s="151">
        <v>49.2</v>
      </c>
      <c r="L644">
        <f>Table13[[#This Row],[Price]]*Table13[[#This Row],[Units]]</f>
        <v>1968</v>
      </c>
    </row>
    <row r="645" spans="1:12" x14ac:dyDescent="0.35">
      <c r="A645" s="145">
        <v>45666</v>
      </c>
      <c r="B645" s="146" t="s">
        <v>1149</v>
      </c>
      <c r="C645" s="147" t="s">
        <v>469</v>
      </c>
      <c r="D645" s="147" t="s">
        <v>470</v>
      </c>
      <c r="E645" s="147" t="s">
        <v>320</v>
      </c>
      <c r="F645" s="147" t="s">
        <v>539</v>
      </c>
      <c r="G645" s="147">
        <v>27</v>
      </c>
      <c r="H645" s="148">
        <v>30</v>
      </c>
      <c r="I645" s="149">
        <f t="shared" si="10"/>
        <v>810</v>
      </c>
      <c r="J645" s="150" t="s">
        <v>466</v>
      </c>
      <c r="K645" s="151">
        <v>17.82</v>
      </c>
      <c r="L645">
        <f>Table13[[#This Row],[Price]]*Table13[[#This Row],[Units]]</f>
        <v>810</v>
      </c>
    </row>
    <row r="646" spans="1:12" x14ac:dyDescent="0.35">
      <c r="A646" s="145">
        <v>45666</v>
      </c>
      <c r="B646" s="146" t="s">
        <v>1150</v>
      </c>
      <c r="C646" s="147" t="s">
        <v>492</v>
      </c>
      <c r="D646" s="147" t="s">
        <v>519</v>
      </c>
      <c r="E646" s="147" t="s">
        <v>390</v>
      </c>
      <c r="F646" s="147" t="s">
        <v>510</v>
      </c>
      <c r="G646" s="147">
        <v>49</v>
      </c>
      <c r="H646" s="148">
        <v>31</v>
      </c>
      <c r="I646" s="149">
        <f t="shared" si="10"/>
        <v>1519</v>
      </c>
      <c r="J646" s="150" t="s">
        <v>472</v>
      </c>
      <c r="K646" s="151">
        <v>44.051000000000002</v>
      </c>
      <c r="L646">
        <f>Table13[[#This Row],[Price]]*Table13[[#This Row],[Units]]</f>
        <v>1519</v>
      </c>
    </row>
    <row r="647" spans="1:12" x14ac:dyDescent="0.35">
      <c r="A647" s="145">
        <v>45666</v>
      </c>
      <c r="B647" s="146" t="s">
        <v>1151</v>
      </c>
      <c r="C647" s="147" t="s">
        <v>492</v>
      </c>
      <c r="D647" s="147" t="s">
        <v>519</v>
      </c>
      <c r="E647" s="147" t="s">
        <v>324</v>
      </c>
      <c r="F647" s="147" t="s">
        <v>497</v>
      </c>
      <c r="G647" s="147">
        <v>15</v>
      </c>
      <c r="H647" s="148">
        <v>48</v>
      </c>
      <c r="I647" s="149">
        <f t="shared" si="10"/>
        <v>720</v>
      </c>
      <c r="J647" s="150" t="s">
        <v>466</v>
      </c>
      <c r="K647" s="151">
        <v>17.28</v>
      </c>
      <c r="L647">
        <f>Table13[[#This Row],[Price]]*Table13[[#This Row],[Units]]</f>
        <v>720</v>
      </c>
    </row>
    <row r="648" spans="1:12" x14ac:dyDescent="0.35">
      <c r="A648" s="145">
        <v>45666</v>
      </c>
      <c r="B648" s="146" t="s">
        <v>1152</v>
      </c>
      <c r="C648" s="147" t="s">
        <v>476</v>
      </c>
      <c r="D648" s="147" t="s">
        <v>486</v>
      </c>
      <c r="E648" s="147" t="s">
        <v>333</v>
      </c>
      <c r="F648" s="147" t="s">
        <v>539</v>
      </c>
      <c r="G648" s="147">
        <v>27</v>
      </c>
      <c r="H648" s="148">
        <v>64</v>
      </c>
      <c r="I648" s="149">
        <f t="shared" si="10"/>
        <v>1728</v>
      </c>
      <c r="J648" s="150" t="s">
        <v>515</v>
      </c>
      <c r="K648" s="151">
        <v>51.84</v>
      </c>
      <c r="L648">
        <f>Table13[[#This Row],[Price]]*Table13[[#This Row],[Units]]</f>
        <v>1728</v>
      </c>
    </row>
    <row r="649" spans="1:12" x14ac:dyDescent="0.35">
      <c r="A649" s="145">
        <v>45666</v>
      </c>
      <c r="B649" s="146" t="s">
        <v>1153</v>
      </c>
      <c r="C649" s="147" t="s">
        <v>501</v>
      </c>
      <c r="D649" s="147" t="s">
        <v>519</v>
      </c>
      <c r="E649" s="147" t="s">
        <v>333</v>
      </c>
      <c r="F649" s="147" t="s">
        <v>491</v>
      </c>
      <c r="G649" s="147">
        <v>19</v>
      </c>
      <c r="H649" s="148">
        <v>69</v>
      </c>
      <c r="I649" s="149">
        <f t="shared" si="10"/>
        <v>1311</v>
      </c>
      <c r="J649" s="150" t="s">
        <v>466</v>
      </c>
      <c r="K649" s="151">
        <v>34.085999999999999</v>
      </c>
      <c r="L649">
        <f>Table13[[#This Row],[Price]]*Table13[[#This Row],[Units]]</f>
        <v>1311</v>
      </c>
    </row>
    <row r="650" spans="1:12" x14ac:dyDescent="0.35">
      <c r="A650" s="145">
        <v>45666</v>
      </c>
      <c r="B650" s="146" t="s">
        <v>1154</v>
      </c>
      <c r="C650" s="147" t="s">
        <v>501</v>
      </c>
      <c r="D650" s="147" t="s">
        <v>490</v>
      </c>
      <c r="E650" s="147" t="s">
        <v>324</v>
      </c>
      <c r="F650" s="147" t="s">
        <v>539</v>
      </c>
      <c r="G650" s="147">
        <v>33</v>
      </c>
      <c r="H650" s="148">
        <v>79</v>
      </c>
      <c r="I650" s="149">
        <f t="shared" si="10"/>
        <v>2607</v>
      </c>
      <c r="J650" s="150" t="s">
        <v>466</v>
      </c>
      <c r="K650" s="151">
        <v>62.567999999999998</v>
      </c>
      <c r="L650">
        <f>Table13[[#This Row],[Price]]*Table13[[#This Row],[Units]]</f>
        <v>2607</v>
      </c>
    </row>
    <row r="651" spans="1:12" x14ac:dyDescent="0.35">
      <c r="A651" s="145">
        <v>45666</v>
      </c>
      <c r="B651" s="146" t="s">
        <v>1155</v>
      </c>
      <c r="C651" s="147" t="s">
        <v>489</v>
      </c>
      <c r="D651" s="147" t="s">
        <v>470</v>
      </c>
      <c r="E651" s="147" t="s">
        <v>315</v>
      </c>
      <c r="F651" s="147" t="s">
        <v>520</v>
      </c>
      <c r="G651" s="147">
        <v>53</v>
      </c>
      <c r="H651" s="148">
        <v>38</v>
      </c>
      <c r="I651" s="149">
        <f t="shared" si="10"/>
        <v>2014</v>
      </c>
      <c r="J651" s="150" t="s">
        <v>515</v>
      </c>
      <c r="K651" s="151">
        <v>52.363999999999997</v>
      </c>
      <c r="L651">
        <f>Table13[[#This Row],[Price]]*Table13[[#This Row],[Units]]</f>
        <v>2014</v>
      </c>
    </row>
    <row r="652" spans="1:12" x14ac:dyDescent="0.35">
      <c r="A652" s="145">
        <v>45666</v>
      </c>
      <c r="B652" s="146" t="s">
        <v>1156</v>
      </c>
      <c r="C652" s="147" t="s">
        <v>492</v>
      </c>
      <c r="D652" s="147" t="s">
        <v>470</v>
      </c>
      <c r="E652" s="147" t="s">
        <v>333</v>
      </c>
      <c r="F652" s="147" t="s">
        <v>510</v>
      </c>
      <c r="G652" s="147">
        <v>16</v>
      </c>
      <c r="H652" s="148">
        <v>47</v>
      </c>
      <c r="I652" s="149">
        <f t="shared" si="10"/>
        <v>752</v>
      </c>
      <c r="J652" s="150" t="s">
        <v>466</v>
      </c>
      <c r="K652" s="151">
        <v>18.8</v>
      </c>
      <c r="L652">
        <f>Table13[[#This Row],[Price]]*Table13[[#This Row],[Units]]</f>
        <v>752</v>
      </c>
    </row>
    <row r="653" spans="1:12" x14ac:dyDescent="0.35">
      <c r="A653" s="145">
        <v>45666</v>
      </c>
      <c r="B653" s="146" t="s">
        <v>1157</v>
      </c>
      <c r="C653" s="147" t="s">
        <v>494</v>
      </c>
      <c r="D653" s="147" t="s">
        <v>477</v>
      </c>
      <c r="E653" s="147" t="s">
        <v>324</v>
      </c>
      <c r="F653" s="147" t="s">
        <v>505</v>
      </c>
      <c r="G653" s="147">
        <v>49</v>
      </c>
      <c r="H653" s="148">
        <v>43</v>
      </c>
      <c r="I653" s="149">
        <f t="shared" si="10"/>
        <v>2107</v>
      </c>
      <c r="J653" s="150" t="s">
        <v>515</v>
      </c>
      <c r="K653" s="151">
        <v>56.889000000000003</v>
      </c>
      <c r="L653">
        <f>Table13[[#This Row],[Price]]*Table13[[#This Row],[Units]]</f>
        <v>2107</v>
      </c>
    </row>
    <row r="654" spans="1:12" x14ac:dyDescent="0.35">
      <c r="A654" s="145">
        <v>45667</v>
      </c>
      <c r="B654" s="146" t="s">
        <v>1158</v>
      </c>
      <c r="C654" s="147" t="s">
        <v>489</v>
      </c>
      <c r="D654" s="147" t="s">
        <v>477</v>
      </c>
      <c r="E654" s="147" t="s">
        <v>333</v>
      </c>
      <c r="F654" s="147" t="s">
        <v>510</v>
      </c>
      <c r="G654" s="147">
        <v>22</v>
      </c>
      <c r="H654" s="148">
        <v>53</v>
      </c>
      <c r="I654" s="149">
        <f t="shared" si="10"/>
        <v>1166</v>
      </c>
      <c r="J654" s="150" t="s">
        <v>503</v>
      </c>
      <c r="K654" s="151">
        <v>25.652000000000001</v>
      </c>
      <c r="L654">
        <f>Table13[[#This Row],[Price]]*Table13[[#This Row],[Units]]</f>
        <v>1166</v>
      </c>
    </row>
    <row r="655" spans="1:12" x14ac:dyDescent="0.35">
      <c r="A655" s="145">
        <v>45667</v>
      </c>
      <c r="B655" s="146" t="s">
        <v>1159</v>
      </c>
      <c r="C655" s="147" t="s">
        <v>492</v>
      </c>
      <c r="D655" s="147" t="s">
        <v>512</v>
      </c>
      <c r="E655" s="147" t="s">
        <v>390</v>
      </c>
      <c r="F655" s="147" t="s">
        <v>500</v>
      </c>
      <c r="G655" s="147">
        <v>30</v>
      </c>
      <c r="H655" s="148">
        <v>55</v>
      </c>
      <c r="I655" s="149">
        <f t="shared" si="10"/>
        <v>1650</v>
      </c>
      <c r="J655" s="150" t="s">
        <v>466</v>
      </c>
      <c r="K655" s="151">
        <v>34.65</v>
      </c>
      <c r="L655">
        <f>Table13[[#This Row],[Price]]*Table13[[#This Row],[Units]]</f>
        <v>1650</v>
      </c>
    </row>
    <row r="656" spans="1:12" x14ac:dyDescent="0.35">
      <c r="A656" s="145">
        <v>45667</v>
      </c>
      <c r="B656" s="146" t="s">
        <v>1160</v>
      </c>
      <c r="C656" s="147" t="s">
        <v>469</v>
      </c>
      <c r="D656" s="147" t="s">
        <v>512</v>
      </c>
      <c r="E656" s="147" t="s">
        <v>320</v>
      </c>
      <c r="F656" s="147" t="s">
        <v>497</v>
      </c>
      <c r="G656" s="147">
        <v>14</v>
      </c>
      <c r="H656" s="148">
        <v>68</v>
      </c>
      <c r="I656" s="149">
        <f t="shared" si="10"/>
        <v>952</v>
      </c>
      <c r="J656" s="150" t="s">
        <v>503</v>
      </c>
      <c r="K656" s="151">
        <v>28.56</v>
      </c>
      <c r="L656">
        <f>Table13[[#This Row],[Price]]*Table13[[#This Row],[Units]]</f>
        <v>952</v>
      </c>
    </row>
    <row r="657" spans="1:12" x14ac:dyDescent="0.35">
      <c r="A657" s="145">
        <v>45667</v>
      </c>
      <c r="B657" s="146" t="s">
        <v>1161</v>
      </c>
      <c r="C657" s="147" t="s">
        <v>476</v>
      </c>
      <c r="D657" s="147" t="s">
        <v>477</v>
      </c>
      <c r="E657" s="147" t="s">
        <v>333</v>
      </c>
      <c r="F657" s="147" t="s">
        <v>454</v>
      </c>
      <c r="G657" s="147">
        <v>59</v>
      </c>
      <c r="H657" s="148">
        <v>63</v>
      </c>
      <c r="I657" s="149">
        <f t="shared" si="10"/>
        <v>3717</v>
      </c>
      <c r="J657" s="150" t="s">
        <v>466</v>
      </c>
      <c r="K657" s="151">
        <v>89.207999999999998</v>
      </c>
      <c r="L657">
        <f>Table13[[#This Row],[Price]]*Table13[[#This Row],[Units]]</f>
        <v>3717</v>
      </c>
    </row>
    <row r="658" spans="1:12" x14ac:dyDescent="0.35">
      <c r="A658" s="145">
        <v>45667</v>
      </c>
      <c r="B658" s="146" t="s">
        <v>1162</v>
      </c>
      <c r="C658" s="147" t="s">
        <v>494</v>
      </c>
      <c r="D658" s="147" t="s">
        <v>477</v>
      </c>
      <c r="E658" s="147" t="s">
        <v>412</v>
      </c>
      <c r="F658" s="147" t="s">
        <v>567</v>
      </c>
      <c r="G658" s="147">
        <v>51</v>
      </c>
      <c r="H658" s="148">
        <v>78</v>
      </c>
      <c r="I658" s="149">
        <f t="shared" si="10"/>
        <v>3978</v>
      </c>
      <c r="J658" s="150" t="s">
        <v>472</v>
      </c>
      <c r="K658" s="151">
        <v>103.428</v>
      </c>
      <c r="L658">
        <f>Table13[[#This Row],[Price]]*Table13[[#This Row],[Units]]</f>
        <v>3978</v>
      </c>
    </row>
    <row r="659" spans="1:12" x14ac:dyDescent="0.35">
      <c r="A659" s="145">
        <v>45667</v>
      </c>
      <c r="B659" s="146" t="s">
        <v>1163</v>
      </c>
      <c r="C659" s="147" t="s">
        <v>469</v>
      </c>
      <c r="D659" s="147" t="s">
        <v>519</v>
      </c>
      <c r="E659" s="147" t="s">
        <v>390</v>
      </c>
      <c r="F659" s="147" t="s">
        <v>505</v>
      </c>
      <c r="G659" s="147">
        <v>14</v>
      </c>
      <c r="H659" s="148">
        <v>59</v>
      </c>
      <c r="I659" s="149">
        <f t="shared" si="10"/>
        <v>826</v>
      </c>
      <c r="J659" s="150" t="s">
        <v>466</v>
      </c>
      <c r="K659" s="151">
        <v>17.346</v>
      </c>
      <c r="L659">
        <f>Table13[[#This Row],[Price]]*Table13[[#This Row],[Units]]</f>
        <v>826</v>
      </c>
    </row>
    <row r="660" spans="1:12" x14ac:dyDescent="0.35">
      <c r="A660" s="145">
        <v>45667</v>
      </c>
      <c r="B660" s="146" t="s">
        <v>1164</v>
      </c>
      <c r="C660" s="147" t="s">
        <v>469</v>
      </c>
      <c r="D660" s="147" t="s">
        <v>470</v>
      </c>
      <c r="E660" s="147" t="s">
        <v>333</v>
      </c>
      <c r="F660" s="147" t="s">
        <v>500</v>
      </c>
      <c r="G660" s="147">
        <v>52</v>
      </c>
      <c r="H660" s="148">
        <v>80</v>
      </c>
      <c r="I660" s="149">
        <f t="shared" si="10"/>
        <v>4160</v>
      </c>
      <c r="J660" s="150" t="s">
        <v>472</v>
      </c>
      <c r="K660" s="151">
        <v>124.8</v>
      </c>
      <c r="L660">
        <f>Table13[[#This Row],[Price]]*Table13[[#This Row],[Units]]</f>
        <v>4160</v>
      </c>
    </row>
    <row r="661" spans="1:12" x14ac:dyDescent="0.35">
      <c r="A661" s="145">
        <v>45667</v>
      </c>
      <c r="B661" s="146" t="s">
        <v>1165</v>
      </c>
      <c r="C661" s="147" t="s">
        <v>469</v>
      </c>
      <c r="D661" s="147" t="s">
        <v>470</v>
      </c>
      <c r="E661" s="147" t="s">
        <v>390</v>
      </c>
      <c r="F661" s="147" t="s">
        <v>505</v>
      </c>
      <c r="G661" s="147">
        <v>49</v>
      </c>
      <c r="H661" s="148">
        <v>35</v>
      </c>
      <c r="I661" s="149">
        <f t="shared" si="10"/>
        <v>1715</v>
      </c>
      <c r="J661" s="150" t="s">
        <v>466</v>
      </c>
      <c r="K661" s="151">
        <v>41.16</v>
      </c>
      <c r="L661">
        <f>Table13[[#This Row],[Price]]*Table13[[#This Row],[Units]]</f>
        <v>1715</v>
      </c>
    </row>
    <row r="662" spans="1:12" x14ac:dyDescent="0.35">
      <c r="A662" s="145">
        <v>45667</v>
      </c>
      <c r="B662" s="146" t="s">
        <v>1166</v>
      </c>
      <c r="C662" s="147" t="s">
        <v>494</v>
      </c>
      <c r="D662" s="147" t="s">
        <v>486</v>
      </c>
      <c r="E662" s="147" t="s">
        <v>333</v>
      </c>
      <c r="F662" s="147" t="s">
        <v>539</v>
      </c>
      <c r="G662" s="147">
        <v>48</v>
      </c>
      <c r="H662" s="148">
        <v>72</v>
      </c>
      <c r="I662" s="149">
        <f t="shared" si="10"/>
        <v>3456</v>
      </c>
      <c r="J662" s="150" t="s">
        <v>466</v>
      </c>
      <c r="K662" s="151">
        <v>76.031999999999996</v>
      </c>
      <c r="L662">
        <f>Table13[[#This Row],[Price]]*Table13[[#This Row],[Units]]</f>
        <v>3456</v>
      </c>
    </row>
    <row r="663" spans="1:12" x14ac:dyDescent="0.35">
      <c r="A663" s="145">
        <v>45667</v>
      </c>
      <c r="B663" s="146" t="s">
        <v>1167</v>
      </c>
      <c r="C663" s="147" t="s">
        <v>469</v>
      </c>
      <c r="D663" s="147" t="s">
        <v>486</v>
      </c>
      <c r="E663" s="147" t="s">
        <v>333</v>
      </c>
      <c r="F663" s="147" t="s">
        <v>510</v>
      </c>
      <c r="G663" s="147">
        <v>47</v>
      </c>
      <c r="H663" s="148">
        <v>41</v>
      </c>
      <c r="I663" s="149">
        <f t="shared" si="10"/>
        <v>1927</v>
      </c>
      <c r="J663" s="150" t="s">
        <v>503</v>
      </c>
      <c r="K663" s="151">
        <v>46.247999999999998</v>
      </c>
      <c r="L663">
        <f>Table13[[#This Row],[Price]]*Table13[[#This Row],[Units]]</f>
        <v>1927</v>
      </c>
    </row>
    <row r="664" spans="1:12" x14ac:dyDescent="0.35">
      <c r="A664" s="145">
        <v>45668</v>
      </c>
      <c r="B664" s="146" t="s">
        <v>1168</v>
      </c>
      <c r="C664" s="147" t="s">
        <v>501</v>
      </c>
      <c r="D664" s="147" t="s">
        <v>477</v>
      </c>
      <c r="E664" s="147" t="s">
        <v>412</v>
      </c>
      <c r="F664" s="147" t="s">
        <v>478</v>
      </c>
      <c r="G664" s="147">
        <v>39</v>
      </c>
      <c r="H664" s="148">
        <v>51</v>
      </c>
      <c r="I664" s="149">
        <f t="shared" si="10"/>
        <v>1989</v>
      </c>
      <c r="J664" s="150" t="s">
        <v>503</v>
      </c>
      <c r="K664" s="151">
        <v>55.692</v>
      </c>
      <c r="L664">
        <f>Table13[[#This Row],[Price]]*Table13[[#This Row],[Units]]</f>
        <v>1989</v>
      </c>
    </row>
    <row r="665" spans="1:12" x14ac:dyDescent="0.35">
      <c r="A665" s="145">
        <v>45669</v>
      </c>
      <c r="B665" s="146" t="s">
        <v>1169</v>
      </c>
      <c r="C665" s="147" t="s">
        <v>494</v>
      </c>
      <c r="D665" s="147" t="s">
        <v>477</v>
      </c>
      <c r="E665" s="147" t="s">
        <v>324</v>
      </c>
      <c r="F665" s="147" t="s">
        <v>520</v>
      </c>
      <c r="G665" s="147">
        <v>10</v>
      </c>
      <c r="H665" s="148">
        <v>70</v>
      </c>
      <c r="I665" s="149">
        <f t="shared" si="10"/>
        <v>700</v>
      </c>
      <c r="J665" s="150" t="s">
        <v>515</v>
      </c>
      <c r="K665" s="151">
        <v>21</v>
      </c>
      <c r="L665">
        <f>Table13[[#This Row],[Price]]*Table13[[#This Row],[Units]]</f>
        <v>700</v>
      </c>
    </row>
    <row r="666" spans="1:12" x14ac:dyDescent="0.35">
      <c r="A666" s="145">
        <v>45669</v>
      </c>
      <c r="B666" s="146" t="s">
        <v>1170</v>
      </c>
      <c r="C666" s="147" t="s">
        <v>494</v>
      </c>
      <c r="D666" s="147" t="s">
        <v>486</v>
      </c>
      <c r="E666" s="147" t="s">
        <v>483</v>
      </c>
      <c r="F666" s="147" t="s">
        <v>517</v>
      </c>
      <c r="G666" s="147">
        <v>15</v>
      </c>
      <c r="H666" s="148">
        <v>52</v>
      </c>
      <c r="I666" s="149">
        <f t="shared" si="10"/>
        <v>780</v>
      </c>
      <c r="J666" s="150" t="s">
        <v>466</v>
      </c>
      <c r="K666" s="151">
        <v>16.38</v>
      </c>
      <c r="L666">
        <f>Table13[[#This Row],[Price]]*Table13[[#This Row],[Units]]</f>
        <v>780</v>
      </c>
    </row>
    <row r="667" spans="1:12" x14ac:dyDescent="0.35">
      <c r="A667" s="145">
        <v>45669</v>
      </c>
      <c r="B667" s="146" t="s">
        <v>1171</v>
      </c>
      <c r="C667" s="147" t="s">
        <v>494</v>
      </c>
      <c r="D667" s="147" t="s">
        <v>470</v>
      </c>
      <c r="E667" s="147" t="s">
        <v>333</v>
      </c>
      <c r="F667" s="147" t="s">
        <v>497</v>
      </c>
      <c r="G667" s="147">
        <v>58</v>
      </c>
      <c r="H667" s="148">
        <v>56</v>
      </c>
      <c r="I667" s="149">
        <f t="shared" si="10"/>
        <v>3248</v>
      </c>
      <c r="J667" s="150" t="s">
        <v>515</v>
      </c>
      <c r="K667" s="151">
        <v>84.447999999999993</v>
      </c>
      <c r="L667">
        <f>Table13[[#This Row],[Price]]*Table13[[#This Row],[Units]]</f>
        <v>3248</v>
      </c>
    </row>
    <row r="668" spans="1:12" x14ac:dyDescent="0.35">
      <c r="A668" s="145">
        <v>45669</v>
      </c>
      <c r="B668" s="146" t="s">
        <v>1172</v>
      </c>
      <c r="C668" s="147" t="s">
        <v>322</v>
      </c>
      <c r="D668" s="147" t="s">
        <v>477</v>
      </c>
      <c r="E668" s="147" t="s">
        <v>320</v>
      </c>
      <c r="F668" s="147" t="s">
        <v>567</v>
      </c>
      <c r="G668" s="147">
        <v>46</v>
      </c>
      <c r="H668" s="148">
        <v>31</v>
      </c>
      <c r="I668" s="149">
        <f t="shared" si="10"/>
        <v>1426</v>
      </c>
      <c r="J668" s="150" t="s">
        <v>503</v>
      </c>
      <c r="K668" s="151">
        <v>34.223999999999997</v>
      </c>
      <c r="L668">
        <f>Table13[[#This Row],[Price]]*Table13[[#This Row],[Units]]</f>
        <v>1426</v>
      </c>
    </row>
    <row r="669" spans="1:12" x14ac:dyDescent="0.35">
      <c r="A669" s="145">
        <v>45669</v>
      </c>
      <c r="B669" s="146" t="s">
        <v>1173</v>
      </c>
      <c r="C669" s="147" t="s">
        <v>494</v>
      </c>
      <c r="D669" s="147" t="s">
        <v>465</v>
      </c>
      <c r="E669" s="147" t="s">
        <v>320</v>
      </c>
      <c r="F669" s="147" t="s">
        <v>454</v>
      </c>
      <c r="G669" s="147">
        <v>30</v>
      </c>
      <c r="H669" s="148">
        <v>69</v>
      </c>
      <c r="I669" s="149">
        <f t="shared" si="10"/>
        <v>2070</v>
      </c>
      <c r="J669" s="150" t="s">
        <v>466</v>
      </c>
      <c r="K669" s="151">
        <v>62.1</v>
      </c>
      <c r="L669">
        <f>Table13[[#This Row],[Price]]*Table13[[#This Row],[Units]]</f>
        <v>2070</v>
      </c>
    </row>
    <row r="670" spans="1:12" x14ac:dyDescent="0.35">
      <c r="A670" s="145">
        <v>45669</v>
      </c>
      <c r="B670" s="146" t="s">
        <v>1174</v>
      </c>
      <c r="C670" s="147" t="s">
        <v>492</v>
      </c>
      <c r="D670" s="147" t="s">
        <v>519</v>
      </c>
      <c r="E670" s="147" t="s">
        <v>483</v>
      </c>
      <c r="F670" s="147" t="s">
        <v>528</v>
      </c>
      <c r="G670" s="147">
        <v>12</v>
      </c>
      <c r="H670" s="148">
        <v>58</v>
      </c>
      <c r="I670" s="149">
        <f t="shared" si="10"/>
        <v>696</v>
      </c>
      <c r="J670" s="150" t="s">
        <v>466</v>
      </c>
      <c r="K670" s="151">
        <v>18.792000000000002</v>
      </c>
      <c r="L670">
        <f>Table13[[#This Row],[Price]]*Table13[[#This Row],[Units]]</f>
        <v>696</v>
      </c>
    </row>
    <row r="671" spans="1:12" x14ac:dyDescent="0.35">
      <c r="A671" s="145">
        <v>45669</v>
      </c>
      <c r="B671" s="146" t="s">
        <v>1175</v>
      </c>
      <c r="C671" s="147" t="s">
        <v>492</v>
      </c>
      <c r="D671" s="147" t="s">
        <v>477</v>
      </c>
      <c r="E671" s="147" t="s">
        <v>315</v>
      </c>
      <c r="F671" s="147" t="s">
        <v>539</v>
      </c>
      <c r="G671" s="147">
        <v>11</v>
      </c>
      <c r="H671" s="148">
        <v>73</v>
      </c>
      <c r="I671" s="149">
        <f t="shared" si="10"/>
        <v>803</v>
      </c>
      <c r="J671" s="150" t="s">
        <v>472</v>
      </c>
      <c r="K671" s="151">
        <v>18.469000000000001</v>
      </c>
      <c r="L671">
        <f>Table13[[#This Row],[Price]]*Table13[[#This Row],[Units]]</f>
        <v>803</v>
      </c>
    </row>
    <row r="672" spans="1:12" x14ac:dyDescent="0.35">
      <c r="A672" s="145">
        <v>45669</v>
      </c>
      <c r="B672" s="146" t="s">
        <v>1176</v>
      </c>
      <c r="C672" s="147" t="s">
        <v>476</v>
      </c>
      <c r="D672" s="147" t="s">
        <v>465</v>
      </c>
      <c r="E672" s="147" t="s">
        <v>315</v>
      </c>
      <c r="F672" s="147" t="s">
        <v>491</v>
      </c>
      <c r="G672" s="147">
        <v>51</v>
      </c>
      <c r="H672" s="148">
        <v>38</v>
      </c>
      <c r="I672" s="149">
        <f t="shared" si="10"/>
        <v>1938</v>
      </c>
      <c r="J672" s="150" t="s">
        <v>515</v>
      </c>
      <c r="K672" s="151">
        <v>50.387999999999998</v>
      </c>
      <c r="L672">
        <f>Table13[[#This Row],[Price]]*Table13[[#This Row],[Units]]</f>
        <v>1938</v>
      </c>
    </row>
    <row r="673" spans="1:12" x14ac:dyDescent="0.35">
      <c r="A673" s="145">
        <v>45669</v>
      </c>
      <c r="B673" s="146" t="s">
        <v>1177</v>
      </c>
      <c r="C673" s="147" t="s">
        <v>492</v>
      </c>
      <c r="D673" s="147" t="s">
        <v>519</v>
      </c>
      <c r="E673" s="147" t="s">
        <v>483</v>
      </c>
      <c r="F673" s="147" t="s">
        <v>510</v>
      </c>
      <c r="G673" s="147">
        <v>48</v>
      </c>
      <c r="H673" s="148">
        <v>41</v>
      </c>
      <c r="I673" s="149">
        <f t="shared" si="10"/>
        <v>1968</v>
      </c>
      <c r="J673" s="150" t="s">
        <v>466</v>
      </c>
      <c r="K673" s="151">
        <v>55.103999999999999</v>
      </c>
      <c r="L673">
        <f>Table13[[#This Row],[Price]]*Table13[[#This Row],[Units]]</f>
        <v>1968</v>
      </c>
    </row>
    <row r="674" spans="1:12" x14ac:dyDescent="0.35">
      <c r="A674" s="145">
        <v>45669</v>
      </c>
      <c r="B674" s="146" t="s">
        <v>1178</v>
      </c>
      <c r="C674" s="147" t="s">
        <v>492</v>
      </c>
      <c r="D674" s="147" t="s">
        <v>519</v>
      </c>
      <c r="E674" s="147" t="s">
        <v>483</v>
      </c>
      <c r="F674" s="147" t="s">
        <v>487</v>
      </c>
      <c r="G674" s="147">
        <v>35</v>
      </c>
      <c r="H674" s="148">
        <v>36</v>
      </c>
      <c r="I674" s="149">
        <f t="shared" si="10"/>
        <v>1260</v>
      </c>
      <c r="J674" s="150" t="s">
        <v>466</v>
      </c>
      <c r="K674" s="151">
        <v>32.76</v>
      </c>
      <c r="L674">
        <f>Table13[[#This Row],[Price]]*Table13[[#This Row],[Units]]</f>
        <v>1260</v>
      </c>
    </row>
    <row r="675" spans="1:12" x14ac:dyDescent="0.35">
      <c r="A675" s="145">
        <v>45669</v>
      </c>
      <c r="B675" s="146" t="s">
        <v>1179</v>
      </c>
      <c r="C675" s="147" t="s">
        <v>469</v>
      </c>
      <c r="D675" s="147" t="s">
        <v>470</v>
      </c>
      <c r="E675" s="147" t="s">
        <v>324</v>
      </c>
      <c r="F675" s="147" t="s">
        <v>517</v>
      </c>
      <c r="G675" s="147">
        <v>45</v>
      </c>
      <c r="H675" s="148">
        <v>76</v>
      </c>
      <c r="I675" s="149">
        <f t="shared" si="10"/>
        <v>3420</v>
      </c>
      <c r="J675" s="150" t="s">
        <v>472</v>
      </c>
      <c r="K675" s="151">
        <v>82.08</v>
      </c>
      <c r="L675">
        <f>Table13[[#This Row],[Price]]*Table13[[#This Row],[Units]]</f>
        <v>3420</v>
      </c>
    </row>
    <row r="676" spans="1:12" x14ac:dyDescent="0.35">
      <c r="A676" s="145">
        <v>45669</v>
      </c>
      <c r="B676" s="146" t="s">
        <v>1180</v>
      </c>
      <c r="C676" s="147" t="s">
        <v>484</v>
      </c>
      <c r="D676" s="147" t="s">
        <v>470</v>
      </c>
      <c r="E676" s="147" t="s">
        <v>333</v>
      </c>
      <c r="F676" s="147" t="s">
        <v>505</v>
      </c>
      <c r="G676" s="147">
        <v>30</v>
      </c>
      <c r="H676" s="148">
        <v>68</v>
      </c>
      <c r="I676" s="149">
        <f t="shared" si="10"/>
        <v>2040</v>
      </c>
      <c r="J676" s="150" t="s">
        <v>515</v>
      </c>
      <c r="K676" s="151">
        <v>51</v>
      </c>
      <c r="L676">
        <f>Table13[[#This Row],[Price]]*Table13[[#This Row],[Units]]</f>
        <v>2040</v>
      </c>
    </row>
    <row r="677" spans="1:12" x14ac:dyDescent="0.35">
      <c r="A677" s="145">
        <v>45670</v>
      </c>
      <c r="B677" s="146" t="s">
        <v>1181</v>
      </c>
      <c r="C677" s="147" t="s">
        <v>322</v>
      </c>
      <c r="D677" s="147" t="s">
        <v>465</v>
      </c>
      <c r="E677" s="147" t="s">
        <v>324</v>
      </c>
      <c r="F677" s="147" t="s">
        <v>471</v>
      </c>
      <c r="G677" s="147">
        <v>33</v>
      </c>
      <c r="H677" s="148">
        <v>65</v>
      </c>
      <c r="I677" s="149">
        <f t="shared" si="10"/>
        <v>2145</v>
      </c>
      <c r="J677" s="150" t="s">
        <v>515</v>
      </c>
      <c r="K677" s="151">
        <v>55.77</v>
      </c>
      <c r="L677">
        <f>Table13[[#This Row],[Price]]*Table13[[#This Row],[Units]]</f>
        <v>2145</v>
      </c>
    </row>
    <row r="678" spans="1:12" x14ac:dyDescent="0.35">
      <c r="A678" s="145">
        <v>45670</v>
      </c>
      <c r="B678" s="146" t="s">
        <v>1182</v>
      </c>
      <c r="C678" s="147" t="s">
        <v>501</v>
      </c>
      <c r="D678" s="147" t="s">
        <v>470</v>
      </c>
      <c r="E678" s="147" t="s">
        <v>412</v>
      </c>
      <c r="F678" s="147" t="s">
        <v>536</v>
      </c>
      <c r="G678" s="147">
        <v>32</v>
      </c>
      <c r="H678" s="148">
        <v>70</v>
      </c>
      <c r="I678" s="149">
        <f t="shared" si="10"/>
        <v>2240</v>
      </c>
      <c r="J678" s="150" t="s">
        <v>472</v>
      </c>
      <c r="K678" s="151">
        <v>51.52</v>
      </c>
      <c r="L678">
        <f>Table13[[#This Row],[Price]]*Table13[[#This Row],[Units]]</f>
        <v>2240</v>
      </c>
    </row>
    <row r="679" spans="1:12" x14ac:dyDescent="0.35">
      <c r="A679" s="145">
        <v>45670</v>
      </c>
      <c r="B679" s="146" t="s">
        <v>1183</v>
      </c>
      <c r="C679" s="147" t="s">
        <v>322</v>
      </c>
      <c r="D679" s="147" t="s">
        <v>465</v>
      </c>
      <c r="E679" s="147" t="s">
        <v>333</v>
      </c>
      <c r="F679" s="147" t="s">
        <v>517</v>
      </c>
      <c r="G679" s="147">
        <v>14</v>
      </c>
      <c r="H679" s="148">
        <v>51</v>
      </c>
      <c r="I679" s="149">
        <f t="shared" si="10"/>
        <v>714</v>
      </c>
      <c r="J679" s="150" t="s">
        <v>472</v>
      </c>
      <c r="K679" s="151">
        <v>14.28</v>
      </c>
      <c r="L679">
        <f>Table13[[#This Row],[Price]]*Table13[[#This Row],[Units]]</f>
        <v>714</v>
      </c>
    </row>
    <row r="680" spans="1:12" x14ac:dyDescent="0.35">
      <c r="A680" s="145">
        <v>45670</v>
      </c>
      <c r="B680" s="146" t="s">
        <v>1184</v>
      </c>
      <c r="C680" s="147" t="s">
        <v>464</v>
      </c>
      <c r="D680" s="147" t="s">
        <v>490</v>
      </c>
      <c r="E680" s="147" t="s">
        <v>333</v>
      </c>
      <c r="F680" s="147" t="s">
        <v>471</v>
      </c>
      <c r="G680" s="147">
        <v>12</v>
      </c>
      <c r="H680" s="148">
        <v>77</v>
      </c>
      <c r="I680" s="149">
        <f t="shared" si="10"/>
        <v>924</v>
      </c>
      <c r="J680" s="150" t="s">
        <v>472</v>
      </c>
      <c r="K680" s="151">
        <v>26.795999999999999</v>
      </c>
      <c r="L680">
        <f>Table13[[#This Row],[Price]]*Table13[[#This Row],[Units]]</f>
        <v>924</v>
      </c>
    </row>
    <row r="681" spans="1:12" x14ac:dyDescent="0.35">
      <c r="A681" s="145">
        <v>45670</v>
      </c>
      <c r="B681" s="146" t="s">
        <v>1185</v>
      </c>
      <c r="C681" s="147" t="s">
        <v>492</v>
      </c>
      <c r="D681" s="147" t="s">
        <v>477</v>
      </c>
      <c r="E681" s="147" t="s">
        <v>333</v>
      </c>
      <c r="F681" s="147" t="s">
        <v>536</v>
      </c>
      <c r="G681" s="147">
        <v>36</v>
      </c>
      <c r="H681" s="148">
        <v>67</v>
      </c>
      <c r="I681" s="149">
        <f t="shared" si="10"/>
        <v>2412</v>
      </c>
      <c r="J681" s="150" t="s">
        <v>472</v>
      </c>
      <c r="K681" s="151">
        <v>50.652000000000001</v>
      </c>
      <c r="L681">
        <f>Table13[[#This Row],[Price]]*Table13[[#This Row],[Units]]</f>
        <v>2412</v>
      </c>
    </row>
    <row r="682" spans="1:12" x14ac:dyDescent="0.35">
      <c r="A682" s="145">
        <v>45671</v>
      </c>
      <c r="B682" s="146" t="s">
        <v>1186</v>
      </c>
      <c r="C682" s="147" t="s">
        <v>469</v>
      </c>
      <c r="D682" s="147" t="s">
        <v>465</v>
      </c>
      <c r="E682" s="147" t="s">
        <v>390</v>
      </c>
      <c r="F682" s="147" t="s">
        <v>500</v>
      </c>
      <c r="G682" s="147">
        <v>27</v>
      </c>
      <c r="H682" s="148">
        <v>34</v>
      </c>
      <c r="I682" s="149">
        <f t="shared" si="10"/>
        <v>918</v>
      </c>
      <c r="J682" s="150" t="s">
        <v>515</v>
      </c>
      <c r="K682" s="151">
        <v>25.704000000000001</v>
      </c>
      <c r="L682">
        <f>Table13[[#This Row],[Price]]*Table13[[#This Row],[Units]]</f>
        <v>918</v>
      </c>
    </row>
    <row r="683" spans="1:12" x14ac:dyDescent="0.35">
      <c r="A683" s="145">
        <v>45671</v>
      </c>
      <c r="B683" s="146" t="s">
        <v>1187</v>
      </c>
      <c r="C683" s="147" t="s">
        <v>469</v>
      </c>
      <c r="D683" s="147" t="s">
        <v>519</v>
      </c>
      <c r="E683" s="147" t="s">
        <v>390</v>
      </c>
      <c r="F683" s="147" t="s">
        <v>487</v>
      </c>
      <c r="G683" s="147">
        <v>27</v>
      </c>
      <c r="H683" s="148">
        <v>32</v>
      </c>
      <c r="I683" s="149">
        <f t="shared" si="10"/>
        <v>864</v>
      </c>
      <c r="J683" s="150" t="s">
        <v>515</v>
      </c>
      <c r="K683" s="151">
        <v>20.736000000000001</v>
      </c>
      <c r="L683">
        <f>Table13[[#This Row],[Price]]*Table13[[#This Row],[Units]]</f>
        <v>864</v>
      </c>
    </row>
    <row r="684" spans="1:12" x14ac:dyDescent="0.35">
      <c r="A684" s="145">
        <v>45672</v>
      </c>
      <c r="B684" s="146" t="s">
        <v>1188</v>
      </c>
      <c r="C684" s="147" t="s">
        <v>492</v>
      </c>
      <c r="D684" s="147" t="s">
        <v>477</v>
      </c>
      <c r="E684" s="147" t="s">
        <v>333</v>
      </c>
      <c r="F684" s="147" t="s">
        <v>523</v>
      </c>
      <c r="G684" s="147">
        <v>53</v>
      </c>
      <c r="H684" s="148">
        <v>33</v>
      </c>
      <c r="I684" s="149">
        <f t="shared" si="10"/>
        <v>1749</v>
      </c>
      <c r="J684" s="150" t="s">
        <v>466</v>
      </c>
      <c r="K684" s="151">
        <v>34.979999999999997</v>
      </c>
      <c r="L684">
        <f>Table13[[#This Row],[Price]]*Table13[[#This Row],[Units]]</f>
        <v>1749</v>
      </c>
    </row>
    <row r="685" spans="1:12" x14ac:dyDescent="0.35">
      <c r="A685" s="145">
        <v>45672</v>
      </c>
      <c r="B685" s="146" t="s">
        <v>1189</v>
      </c>
      <c r="C685" s="147" t="s">
        <v>322</v>
      </c>
      <c r="D685" s="147" t="s">
        <v>519</v>
      </c>
      <c r="E685" s="147" t="s">
        <v>483</v>
      </c>
      <c r="F685" s="147" t="s">
        <v>539</v>
      </c>
      <c r="G685" s="147">
        <v>45</v>
      </c>
      <c r="H685" s="148">
        <v>48</v>
      </c>
      <c r="I685" s="149">
        <f t="shared" si="10"/>
        <v>2160</v>
      </c>
      <c r="J685" s="150" t="s">
        <v>503</v>
      </c>
      <c r="K685" s="151">
        <v>43.2</v>
      </c>
      <c r="L685">
        <f>Table13[[#This Row],[Price]]*Table13[[#This Row],[Units]]</f>
        <v>2160</v>
      </c>
    </row>
    <row r="686" spans="1:12" x14ac:dyDescent="0.35">
      <c r="A686" s="145">
        <v>45672</v>
      </c>
      <c r="B686" s="146" t="s">
        <v>1190</v>
      </c>
      <c r="C686" s="147" t="s">
        <v>494</v>
      </c>
      <c r="D686" s="147" t="s">
        <v>519</v>
      </c>
      <c r="E686" s="147" t="s">
        <v>412</v>
      </c>
      <c r="F686" s="147" t="s">
        <v>487</v>
      </c>
      <c r="G686" s="147">
        <v>53</v>
      </c>
      <c r="H686" s="148">
        <v>79</v>
      </c>
      <c r="I686" s="149">
        <f t="shared" si="10"/>
        <v>4187</v>
      </c>
      <c r="J686" s="150" t="s">
        <v>503</v>
      </c>
      <c r="K686" s="151">
        <v>113.04900000000001</v>
      </c>
      <c r="L686">
        <f>Table13[[#This Row],[Price]]*Table13[[#This Row],[Units]]</f>
        <v>4187</v>
      </c>
    </row>
    <row r="687" spans="1:12" x14ac:dyDescent="0.35">
      <c r="A687" s="145">
        <v>45672</v>
      </c>
      <c r="B687" s="146" t="s">
        <v>1191</v>
      </c>
      <c r="C687" s="147" t="s">
        <v>494</v>
      </c>
      <c r="D687" s="147" t="s">
        <v>490</v>
      </c>
      <c r="E687" s="147" t="s">
        <v>483</v>
      </c>
      <c r="F687" s="147" t="s">
        <v>491</v>
      </c>
      <c r="G687" s="147">
        <v>16</v>
      </c>
      <c r="H687" s="148">
        <v>67</v>
      </c>
      <c r="I687" s="149">
        <f t="shared" si="10"/>
        <v>1072</v>
      </c>
      <c r="J687" s="150" t="s">
        <v>472</v>
      </c>
      <c r="K687" s="151">
        <v>31.088000000000001</v>
      </c>
      <c r="L687">
        <f>Table13[[#This Row],[Price]]*Table13[[#This Row],[Units]]</f>
        <v>1072</v>
      </c>
    </row>
    <row r="688" spans="1:12" x14ac:dyDescent="0.35">
      <c r="A688" s="145">
        <v>45672</v>
      </c>
      <c r="B688" s="146" t="s">
        <v>1192</v>
      </c>
      <c r="C688" s="147" t="s">
        <v>476</v>
      </c>
      <c r="D688" s="147" t="s">
        <v>519</v>
      </c>
      <c r="E688" s="147" t="s">
        <v>390</v>
      </c>
      <c r="F688" s="147" t="s">
        <v>471</v>
      </c>
      <c r="G688" s="147">
        <v>24</v>
      </c>
      <c r="H688" s="148">
        <v>73</v>
      </c>
      <c r="I688" s="149">
        <f t="shared" si="10"/>
        <v>1752</v>
      </c>
      <c r="J688" s="150" t="s">
        <v>466</v>
      </c>
      <c r="K688" s="151">
        <v>52.56</v>
      </c>
      <c r="L688">
        <f>Table13[[#This Row],[Price]]*Table13[[#This Row],[Units]]</f>
        <v>1752</v>
      </c>
    </row>
    <row r="689" spans="1:12" x14ac:dyDescent="0.35">
      <c r="A689" s="145">
        <v>45673</v>
      </c>
      <c r="B689" s="146" t="s">
        <v>1193</v>
      </c>
      <c r="C689" s="147" t="s">
        <v>322</v>
      </c>
      <c r="D689" s="147" t="s">
        <v>465</v>
      </c>
      <c r="E689" s="147" t="s">
        <v>320</v>
      </c>
      <c r="F689" s="147" t="s">
        <v>491</v>
      </c>
      <c r="G689" s="147">
        <v>16</v>
      </c>
      <c r="H689" s="148">
        <v>65</v>
      </c>
      <c r="I689" s="149">
        <f t="shared" si="10"/>
        <v>1040</v>
      </c>
      <c r="J689" s="150" t="s">
        <v>466</v>
      </c>
      <c r="K689" s="151">
        <v>27.04</v>
      </c>
      <c r="L689">
        <f>Table13[[#This Row],[Price]]*Table13[[#This Row],[Units]]</f>
        <v>1040</v>
      </c>
    </row>
    <row r="690" spans="1:12" x14ac:dyDescent="0.35">
      <c r="A690" s="145">
        <v>45673</v>
      </c>
      <c r="B690" s="146" t="s">
        <v>1194</v>
      </c>
      <c r="C690" s="147" t="s">
        <v>464</v>
      </c>
      <c r="D690" s="147" t="s">
        <v>465</v>
      </c>
      <c r="E690" s="147" t="s">
        <v>324</v>
      </c>
      <c r="F690" s="147" t="s">
        <v>513</v>
      </c>
      <c r="G690" s="147">
        <v>41</v>
      </c>
      <c r="H690" s="148">
        <v>78</v>
      </c>
      <c r="I690" s="149">
        <f t="shared" si="10"/>
        <v>3198</v>
      </c>
      <c r="J690" s="150" t="s">
        <v>466</v>
      </c>
      <c r="K690" s="151">
        <v>63.96</v>
      </c>
      <c r="L690">
        <f>Table13[[#This Row],[Price]]*Table13[[#This Row],[Units]]</f>
        <v>3198</v>
      </c>
    </row>
    <row r="691" spans="1:12" x14ac:dyDescent="0.35">
      <c r="A691" s="145">
        <v>45673</v>
      </c>
      <c r="B691" s="146" t="s">
        <v>1195</v>
      </c>
      <c r="C691" s="147" t="s">
        <v>501</v>
      </c>
      <c r="D691" s="147" t="s">
        <v>465</v>
      </c>
      <c r="E691" s="147" t="s">
        <v>324</v>
      </c>
      <c r="F691" s="147" t="s">
        <v>491</v>
      </c>
      <c r="G691" s="147">
        <v>49</v>
      </c>
      <c r="H691" s="148">
        <v>45</v>
      </c>
      <c r="I691" s="149">
        <f t="shared" si="10"/>
        <v>2205</v>
      </c>
      <c r="J691" s="150" t="s">
        <v>466</v>
      </c>
      <c r="K691" s="151">
        <v>55.125</v>
      </c>
      <c r="L691">
        <f>Table13[[#This Row],[Price]]*Table13[[#This Row],[Units]]</f>
        <v>2205</v>
      </c>
    </row>
    <row r="692" spans="1:12" x14ac:dyDescent="0.35">
      <c r="A692" s="145">
        <v>45673</v>
      </c>
      <c r="B692" s="146" t="s">
        <v>1196</v>
      </c>
      <c r="C692" s="147" t="s">
        <v>469</v>
      </c>
      <c r="D692" s="147" t="s">
        <v>490</v>
      </c>
      <c r="E692" s="147" t="s">
        <v>483</v>
      </c>
      <c r="F692" s="147" t="s">
        <v>505</v>
      </c>
      <c r="G692" s="147">
        <v>22</v>
      </c>
      <c r="H692" s="148">
        <v>71</v>
      </c>
      <c r="I692" s="149">
        <f t="shared" si="10"/>
        <v>1562</v>
      </c>
      <c r="J692" s="150" t="s">
        <v>466</v>
      </c>
      <c r="K692" s="151">
        <v>37.488</v>
      </c>
      <c r="L692">
        <f>Table13[[#This Row],[Price]]*Table13[[#This Row],[Units]]</f>
        <v>1562</v>
      </c>
    </row>
    <row r="693" spans="1:12" x14ac:dyDescent="0.35">
      <c r="A693" s="145">
        <v>45674</v>
      </c>
      <c r="B693" s="146" t="s">
        <v>1197</v>
      </c>
      <c r="C693" s="147" t="s">
        <v>494</v>
      </c>
      <c r="D693" s="147" t="s">
        <v>477</v>
      </c>
      <c r="E693" s="147" t="s">
        <v>412</v>
      </c>
      <c r="F693" s="147" t="s">
        <v>454</v>
      </c>
      <c r="G693" s="147">
        <v>59</v>
      </c>
      <c r="H693" s="148">
        <v>57</v>
      </c>
      <c r="I693" s="149">
        <f t="shared" si="10"/>
        <v>3363</v>
      </c>
      <c r="J693" s="150" t="s">
        <v>466</v>
      </c>
      <c r="K693" s="151">
        <v>100.89</v>
      </c>
      <c r="L693">
        <f>Table13[[#This Row],[Price]]*Table13[[#This Row],[Units]]</f>
        <v>3363</v>
      </c>
    </row>
    <row r="694" spans="1:12" x14ac:dyDescent="0.35">
      <c r="A694" s="145">
        <v>45674</v>
      </c>
      <c r="B694" s="146" t="s">
        <v>1198</v>
      </c>
      <c r="C694" s="147" t="s">
        <v>489</v>
      </c>
      <c r="D694" s="147" t="s">
        <v>490</v>
      </c>
      <c r="E694" s="147" t="s">
        <v>412</v>
      </c>
      <c r="F694" s="147" t="s">
        <v>523</v>
      </c>
      <c r="G694" s="147">
        <v>40</v>
      </c>
      <c r="H694" s="148">
        <v>41</v>
      </c>
      <c r="I694" s="149">
        <f t="shared" si="10"/>
        <v>1640</v>
      </c>
      <c r="J694" s="150" t="s">
        <v>466</v>
      </c>
      <c r="K694" s="151">
        <v>45.92</v>
      </c>
      <c r="L694">
        <f>Table13[[#This Row],[Price]]*Table13[[#This Row],[Units]]</f>
        <v>1640</v>
      </c>
    </row>
    <row r="695" spans="1:12" x14ac:dyDescent="0.35">
      <c r="A695" s="145">
        <v>45674</v>
      </c>
      <c r="B695" s="146" t="s">
        <v>1199</v>
      </c>
      <c r="C695" s="147" t="s">
        <v>501</v>
      </c>
      <c r="D695" s="147" t="s">
        <v>486</v>
      </c>
      <c r="E695" s="147" t="s">
        <v>324</v>
      </c>
      <c r="F695" s="147" t="s">
        <v>539</v>
      </c>
      <c r="G695" s="147">
        <v>52</v>
      </c>
      <c r="H695" s="148">
        <v>40</v>
      </c>
      <c r="I695" s="149">
        <f t="shared" si="10"/>
        <v>2080</v>
      </c>
      <c r="J695" s="150" t="s">
        <v>472</v>
      </c>
      <c r="K695" s="151">
        <v>41.6</v>
      </c>
      <c r="L695">
        <f>Table13[[#This Row],[Price]]*Table13[[#This Row],[Units]]</f>
        <v>2080</v>
      </c>
    </row>
    <row r="696" spans="1:12" x14ac:dyDescent="0.35">
      <c r="A696" s="145">
        <v>45674</v>
      </c>
      <c r="B696" s="146" t="s">
        <v>1200</v>
      </c>
      <c r="C696" s="147" t="s">
        <v>494</v>
      </c>
      <c r="D696" s="147" t="s">
        <v>490</v>
      </c>
      <c r="E696" s="147" t="s">
        <v>390</v>
      </c>
      <c r="F696" s="147" t="s">
        <v>497</v>
      </c>
      <c r="G696" s="147">
        <v>43</v>
      </c>
      <c r="H696" s="148">
        <v>67</v>
      </c>
      <c r="I696" s="149">
        <f t="shared" si="10"/>
        <v>2881</v>
      </c>
      <c r="J696" s="150" t="s">
        <v>472</v>
      </c>
      <c r="K696" s="151">
        <v>60.500999999999998</v>
      </c>
      <c r="L696">
        <f>Table13[[#This Row],[Price]]*Table13[[#This Row],[Units]]</f>
        <v>2881</v>
      </c>
    </row>
    <row r="697" spans="1:12" x14ac:dyDescent="0.35">
      <c r="A697" s="145">
        <v>45674</v>
      </c>
      <c r="B697" s="146" t="s">
        <v>1201</v>
      </c>
      <c r="C697" s="147" t="s">
        <v>494</v>
      </c>
      <c r="D697" s="147" t="s">
        <v>490</v>
      </c>
      <c r="E697" s="147" t="s">
        <v>320</v>
      </c>
      <c r="F697" s="147" t="s">
        <v>510</v>
      </c>
      <c r="G697" s="147">
        <v>44</v>
      </c>
      <c r="H697" s="148">
        <v>35</v>
      </c>
      <c r="I697" s="149">
        <f t="shared" si="10"/>
        <v>1540</v>
      </c>
      <c r="J697" s="150" t="s">
        <v>466</v>
      </c>
      <c r="K697" s="151">
        <v>40.04</v>
      </c>
      <c r="L697">
        <f>Table13[[#This Row],[Price]]*Table13[[#This Row],[Units]]</f>
        <v>1540</v>
      </c>
    </row>
    <row r="698" spans="1:12" x14ac:dyDescent="0.35">
      <c r="A698" s="145">
        <v>45674</v>
      </c>
      <c r="B698" s="146" t="s">
        <v>1202</v>
      </c>
      <c r="C698" s="147" t="s">
        <v>476</v>
      </c>
      <c r="D698" s="147" t="s">
        <v>490</v>
      </c>
      <c r="E698" s="147" t="s">
        <v>315</v>
      </c>
      <c r="F698" s="147" t="s">
        <v>520</v>
      </c>
      <c r="G698" s="147">
        <v>54</v>
      </c>
      <c r="H698" s="148">
        <v>72</v>
      </c>
      <c r="I698" s="149">
        <f t="shared" si="10"/>
        <v>3888</v>
      </c>
      <c r="J698" s="150" t="s">
        <v>515</v>
      </c>
      <c r="K698" s="151">
        <v>97.2</v>
      </c>
      <c r="L698">
        <f>Table13[[#This Row],[Price]]*Table13[[#This Row],[Units]]</f>
        <v>3888</v>
      </c>
    </row>
    <row r="699" spans="1:12" x14ac:dyDescent="0.35">
      <c r="A699" s="145">
        <v>45674</v>
      </c>
      <c r="B699" s="146" t="s">
        <v>1203</v>
      </c>
      <c r="C699" s="147" t="s">
        <v>484</v>
      </c>
      <c r="D699" s="147" t="s">
        <v>486</v>
      </c>
      <c r="E699" s="147" t="s">
        <v>320</v>
      </c>
      <c r="F699" s="147" t="s">
        <v>471</v>
      </c>
      <c r="G699" s="147">
        <v>24</v>
      </c>
      <c r="H699" s="148">
        <v>52</v>
      </c>
      <c r="I699" s="149">
        <f t="shared" si="10"/>
        <v>1248</v>
      </c>
      <c r="J699" s="150" t="s">
        <v>472</v>
      </c>
      <c r="K699" s="151">
        <v>27.456</v>
      </c>
      <c r="L699">
        <f>Table13[[#This Row],[Price]]*Table13[[#This Row],[Units]]</f>
        <v>1248</v>
      </c>
    </row>
    <row r="700" spans="1:12" x14ac:dyDescent="0.35">
      <c r="A700" s="145">
        <v>45674</v>
      </c>
      <c r="B700" s="146" t="s">
        <v>1204</v>
      </c>
      <c r="C700" s="147" t="s">
        <v>494</v>
      </c>
      <c r="D700" s="147" t="s">
        <v>477</v>
      </c>
      <c r="E700" s="147" t="s">
        <v>320</v>
      </c>
      <c r="F700" s="147" t="s">
        <v>536</v>
      </c>
      <c r="G700" s="147">
        <v>58</v>
      </c>
      <c r="H700" s="148">
        <v>69</v>
      </c>
      <c r="I700" s="149">
        <f t="shared" si="10"/>
        <v>4002</v>
      </c>
      <c r="J700" s="150" t="s">
        <v>466</v>
      </c>
      <c r="K700" s="151">
        <v>84.042000000000002</v>
      </c>
      <c r="L700">
        <f>Table13[[#This Row],[Price]]*Table13[[#This Row],[Units]]</f>
        <v>4002</v>
      </c>
    </row>
    <row r="701" spans="1:12" x14ac:dyDescent="0.35">
      <c r="A701" s="145">
        <v>45675</v>
      </c>
      <c r="B701" s="146" t="s">
        <v>1205</v>
      </c>
      <c r="C701" s="147" t="s">
        <v>489</v>
      </c>
      <c r="D701" s="147" t="s">
        <v>465</v>
      </c>
      <c r="E701" s="147" t="s">
        <v>483</v>
      </c>
      <c r="F701" s="147" t="s">
        <v>491</v>
      </c>
      <c r="G701" s="147">
        <v>20</v>
      </c>
      <c r="H701" s="148">
        <v>60</v>
      </c>
      <c r="I701" s="149">
        <f t="shared" si="10"/>
        <v>1200</v>
      </c>
      <c r="J701" s="150" t="s">
        <v>503</v>
      </c>
      <c r="K701" s="151">
        <v>33.6</v>
      </c>
      <c r="L701">
        <f>Table13[[#This Row],[Price]]*Table13[[#This Row],[Units]]</f>
        <v>1200</v>
      </c>
    </row>
    <row r="702" spans="1:12" x14ac:dyDescent="0.35">
      <c r="A702" s="145">
        <v>45675</v>
      </c>
      <c r="B702" s="146" t="s">
        <v>1206</v>
      </c>
      <c r="C702" s="147" t="s">
        <v>494</v>
      </c>
      <c r="D702" s="147" t="s">
        <v>465</v>
      </c>
      <c r="E702" s="147" t="s">
        <v>320</v>
      </c>
      <c r="F702" s="147" t="s">
        <v>539</v>
      </c>
      <c r="G702" s="147">
        <v>43</v>
      </c>
      <c r="H702" s="148">
        <v>44</v>
      </c>
      <c r="I702" s="149">
        <f t="shared" si="10"/>
        <v>1892</v>
      </c>
      <c r="J702" s="150" t="s">
        <v>472</v>
      </c>
      <c r="K702" s="151">
        <v>52.975999999999999</v>
      </c>
      <c r="L702">
        <f>Table13[[#This Row],[Price]]*Table13[[#This Row],[Units]]</f>
        <v>1892</v>
      </c>
    </row>
    <row r="703" spans="1:12" x14ac:dyDescent="0.35">
      <c r="A703" s="145">
        <v>45675</v>
      </c>
      <c r="B703" s="146" t="s">
        <v>1207</v>
      </c>
      <c r="C703" s="147" t="s">
        <v>484</v>
      </c>
      <c r="D703" s="147" t="s">
        <v>477</v>
      </c>
      <c r="E703" s="147" t="s">
        <v>412</v>
      </c>
      <c r="F703" s="147" t="s">
        <v>536</v>
      </c>
      <c r="G703" s="147">
        <v>16</v>
      </c>
      <c r="H703" s="148">
        <v>58</v>
      </c>
      <c r="I703" s="149">
        <f t="shared" si="10"/>
        <v>928</v>
      </c>
      <c r="J703" s="150" t="s">
        <v>515</v>
      </c>
      <c r="K703" s="151">
        <v>24.128</v>
      </c>
      <c r="L703">
        <f>Table13[[#This Row],[Price]]*Table13[[#This Row],[Units]]</f>
        <v>928</v>
      </c>
    </row>
    <row r="704" spans="1:12" x14ac:dyDescent="0.35">
      <c r="A704" s="145">
        <v>45675</v>
      </c>
      <c r="B704" s="146" t="s">
        <v>1208</v>
      </c>
      <c r="C704" s="147" t="s">
        <v>489</v>
      </c>
      <c r="D704" s="147" t="s">
        <v>477</v>
      </c>
      <c r="E704" s="147" t="s">
        <v>390</v>
      </c>
      <c r="F704" s="147" t="s">
        <v>523</v>
      </c>
      <c r="G704" s="147">
        <v>20</v>
      </c>
      <c r="H704" s="148">
        <v>50</v>
      </c>
      <c r="I704" s="149">
        <f t="shared" si="10"/>
        <v>1000</v>
      </c>
      <c r="J704" s="150" t="s">
        <v>466</v>
      </c>
      <c r="K704" s="151">
        <v>30</v>
      </c>
      <c r="L704">
        <f>Table13[[#This Row],[Price]]*Table13[[#This Row],[Units]]</f>
        <v>1000</v>
      </c>
    </row>
    <row r="705" spans="1:12" x14ac:dyDescent="0.35">
      <c r="A705" s="145">
        <v>45675</v>
      </c>
      <c r="B705" s="146" t="s">
        <v>1209</v>
      </c>
      <c r="C705" s="147" t="s">
        <v>484</v>
      </c>
      <c r="D705" s="147" t="s">
        <v>512</v>
      </c>
      <c r="E705" s="147" t="s">
        <v>333</v>
      </c>
      <c r="F705" s="147" t="s">
        <v>567</v>
      </c>
      <c r="G705" s="147">
        <v>48</v>
      </c>
      <c r="H705" s="148">
        <v>45</v>
      </c>
      <c r="I705" s="149">
        <f t="shared" si="10"/>
        <v>2160</v>
      </c>
      <c r="J705" s="150" t="s">
        <v>466</v>
      </c>
      <c r="K705" s="151">
        <v>54</v>
      </c>
      <c r="L705">
        <f>Table13[[#This Row],[Price]]*Table13[[#This Row],[Units]]</f>
        <v>2160</v>
      </c>
    </row>
    <row r="706" spans="1:12" x14ac:dyDescent="0.35">
      <c r="A706" s="145">
        <v>45675</v>
      </c>
      <c r="B706" s="146" t="s">
        <v>1210</v>
      </c>
      <c r="C706" s="147" t="s">
        <v>469</v>
      </c>
      <c r="D706" s="147" t="s">
        <v>470</v>
      </c>
      <c r="E706" s="147" t="s">
        <v>483</v>
      </c>
      <c r="F706" s="147" t="s">
        <v>471</v>
      </c>
      <c r="G706" s="147">
        <v>13</v>
      </c>
      <c r="H706" s="148">
        <v>56</v>
      </c>
      <c r="I706" s="149">
        <f t="shared" si="10"/>
        <v>728</v>
      </c>
      <c r="J706" s="150" t="s">
        <v>466</v>
      </c>
      <c r="K706" s="151">
        <v>18.928000000000001</v>
      </c>
      <c r="L706">
        <f>Table13[[#This Row],[Price]]*Table13[[#This Row],[Units]]</f>
        <v>728</v>
      </c>
    </row>
    <row r="707" spans="1:12" x14ac:dyDescent="0.35">
      <c r="A707" s="145">
        <v>45676</v>
      </c>
      <c r="B707" s="146" t="s">
        <v>1211</v>
      </c>
      <c r="C707" s="147" t="s">
        <v>322</v>
      </c>
      <c r="D707" s="147" t="s">
        <v>477</v>
      </c>
      <c r="E707" s="147" t="s">
        <v>320</v>
      </c>
      <c r="F707" s="147" t="s">
        <v>567</v>
      </c>
      <c r="G707" s="147">
        <v>59</v>
      </c>
      <c r="H707" s="148">
        <v>57</v>
      </c>
      <c r="I707" s="149">
        <f t="shared" ref="I707:I770" si="11">G707*H707</f>
        <v>3363</v>
      </c>
      <c r="J707" s="150" t="s">
        <v>515</v>
      </c>
      <c r="K707" s="151">
        <v>97.527000000000001</v>
      </c>
      <c r="L707">
        <f>Table13[[#This Row],[Price]]*Table13[[#This Row],[Units]]</f>
        <v>3363</v>
      </c>
    </row>
    <row r="708" spans="1:12" x14ac:dyDescent="0.35">
      <c r="A708" s="145">
        <v>45677</v>
      </c>
      <c r="B708" s="146" t="s">
        <v>1212</v>
      </c>
      <c r="C708" s="147" t="s">
        <v>469</v>
      </c>
      <c r="D708" s="147" t="s">
        <v>477</v>
      </c>
      <c r="E708" s="147" t="s">
        <v>390</v>
      </c>
      <c r="F708" s="147" t="s">
        <v>454</v>
      </c>
      <c r="G708" s="147">
        <v>25</v>
      </c>
      <c r="H708" s="148">
        <v>51</v>
      </c>
      <c r="I708" s="149">
        <f t="shared" si="11"/>
        <v>1275</v>
      </c>
      <c r="J708" s="150" t="s">
        <v>466</v>
      </c>
      <c r="K708" s="151">
        <v>35.700000000000003</v>
      </c>
      <c r="L708">
        <f>Table13[[#This Row],[Price]]*Table13[[#This Row],[Units]]</f>
        <v>1275</v>
      </c>
    </row>
    <row r="709" spans="1:12" x14ac:dyDescent="0.35">
      <c r="A709" s="145">
        <v>45677</v>
      </c>
      <c r="B709" s="146" t="s">
        <v>1213</v>
      </c>
      <c r="C709" s="147" t="s">
        <v>492</v>
      </c>
      <c r="D709" s="147" t="s">
        <v>477</v>
      </c>
      <c r="E709" s="147" t="s">
        <v>390</v>
      </c>
      <c r="F709" s="147" t="s">
        <v>510</v>
      </c>
      <c r="G709" s="147">
        <v>46</v>
      </c>
      <c r="H709" s="148">
        <v>53</v>
      </c>
      <c r="I709" s="149">
        <f t="shared" si="11"/>
        <v>2438</v>
      </c>
      <c r="J709" s="150" t="s">
        <v>515</v>
      </c>
      <c r="K709" s="151">
        <v>63.387999999999998</v>
      </c>
      <c r="L709">
        <f>Table13[[#This Row],[Price]]*Table13[[#This Row],[Units]]</f>
        <v>2438</v>
      </c>
    </row>
    <row r="710" spans="1:12" x14ac:dyDescent="0.35">
      <c r="A710" s="145">
        <v>45677</v>
      </c>
      <c r="B710" s="146" t="s">
        <v>1214</v>
      </c>
      <c r="C710" s="147" t="s">
        <v>494</v>
      </c>
      <c r="D710" s="147" t="s">
        <v>512</v>
      </c>
      <c r="E710" s="147" t="s">
        <v>320</v>
      </c>
      <c r="F710" s="147" t="s">
        <v>454</v>
      </c>
      <c r="G710" s="147">
        <v>34</v>
      </c>
      <c r="H710" s="148">
        <v>21</v>
      </c>
      <c r="I710" s="149">
        <f t="shared" si="11"/>
        <v>714</v>
      </c>
      <c r="J710" s="150" t="s">
        <v>472</v>
      </c>
      <c r="K710" s="151">
        <v>17.135999999999999</v>
      </c>
      <c r="L710">
        <f>Table13[[#This Row],[Price]]*Table13[[#This Row],[Units]]</f>
        <v>714</v>
      </c>
    </row>
    <row r="711" spans="1:12" x14ac:dyDescent="0.35">
      <c r="A711" s="145">
        <v>45677</v>
      </c>
      <c r="B711" s="146" t="s">
        <v>1215</v>
      </c>
      <c r="C711" s="147" t="s">
        <v>322</v>
      </c>
      <c r="D711" s="147" t="s">
        <v>490</v>
      </c>
      <c r="E711" s="147" t="s">
        <v>324</v>
      </c>
      <c r="F711" s="147" t="s">
        <v>517</v>
      </c>
      <c r="G711" s="147">
        <v>24</v>
      </c>
      <c r="H711" s="148">
        <v>49</v>
      </c>
      <c r="I711" s="149">
        <f t="shared" si="11"/>
        <v>1176</v>
      </c>
      <c r="J711" s="150" t="s">
        <v>503</v>
      </c>
      <c r="K711" s="151">
        <v>35.28</v>
      </c>
      <c r="L711">
        <f>Table13[[#This Row],[Price]]*Table13[[#This Row],[Units]]</f>
        <v>1176</v>
      </c>
    </row>
    <row r="712" spans="1:12" x14ac:dyDescent="0.35">
      <c r="A712" s="145">
        <v>45677</v>
      </c>
      <c r="B712" s="146" t="s">
        <v>1216</v>
      </c>
      <c r="C712" s="147" t="s">
        <v>322</v>
      </c>
      <c r="D712" s="147" t="s">
        <v>512</v>
      </c>
      <c r="E712" s="147" t="s">
        <v>320</v>
      </c>
      <c r="F712" s="147" t="s">
        <v>517</v>
      </c>
      <c r="G712" s="147">
        <v>29</v>
      </c>
      <c r="H712" s="148">
        <v>48</v>
      </c>
      <c r="I712" s="149">
        <f t="shared" si="11"/>
        <v>1392</v>
      </c>
      <c r="J712" s="150" t="s">
        <v>472</v>
      </c>
      <c r="K712" s="151">
        <v>32.015999999999998</v>
      </c>
      <c r="L712">
        <f>Table13[[#This Row],[Price]]*Table13[[#This Row],[Units]]</f>
        <v>1392</v>
      </c>
    </row>
    <row r="713" spans="1:12" x14ac:dyDescent="0.35">
      <c r="A713" s="145">
        <v>45677</v>
      </c>
      <c r="B713" s="146" t="s">
        <v>1217</v>
      </c>
      <c r="C713" s="147" t="s">
        <v>469</v>
      </c>
      <c r="D713" s="147" t="s">
        <v>512</v>
      </c>
      <c r="E713" s="147" t="s">
        <v>315</v>
      </c>
      <c r="F713" s="147" t="s">
        <v>487</v>
      </c>
      <c r="G713" s="147">
        <v>11</v>
      </c>
      <c r="H713" s="148">
        <v>30</v>
      </c>
      <c r="I713" s="149">
        <f t="shared" si="11"/>
        <v>330</v>
      </c>
      <c r="J713" s="150" t="s">
        <v>515</v>
      </c>
      <c r="K713" s="151">
        <v>6.93</v>
      </c>
      <c r="L713">
        <f>Table13[[#This Row],[Price]]*Table13[[#This Row],[Units]]</f>
        <v>330</v>
      </c>
    </row>
    <row r="714" spans="1:12" x14ac:dyDescent="0.35">
      <c r="A714" s="145">
        <v>45677</v>
      </c>
      <c r="B714" s="146" t="s">
        <v>1218</v>
      </c>
      <c r="C714" s="147" t="s">
        <v>494</v>
      </c>
      <c r="D714" s="147" t="s">
        <v>477</v>
      </c>
      <c r="E714" s="147" t="s">
        <v>483</v>
      </c>
      <c r="F714" s="147" t="s">
        <v>539</v>
      </c>
      <c r="G714" s="147">
        <v>40</v>
      </c>
      <c r="H714" s="148">
        <v>53</v>
      </c>
      <c r="I714" s="149">
        <f t="shared" si="11"/>
        <v>2120</v>
      </c>
      <c r="J714" s="150" t="s">
        <v>466</v>
      </c>
      <c r="K714" s="151">
        <v>48.76</v>
      </c>
      <c r="L714">
        <f>Table13[[#This Row],[Price]]*Table13[[#This Row],[Units]]</f>
        <v>2120</v>
      </c>
    </row>
    <row r="715" spans="1:12" x14ac:dyDescent="0.35">
      <c r="A715" s="145">
        <v>45677</v>
      </c>
      <c r="B715" s="146" t="s">
        <v>1219</v>
      </c>
      <c r="C715" s="147" t="s">
        <v>322</v>
      </c>
      <c r="D715" s="147" t="s">
        <v>477</v>
      </c>
      <c r="E715" s="147" t="s">
        <v>315</v>
      </c>
      <c r="F715" s="147" t="s">
        <v>539</v>
      </c>
      <c r="G715" s="147">
        <v>15</v>
      </c>
      <c r="H715" s="148">
        <v>40</v>
      </c>
      <c r="I715" s="149">
        <f t="shared" si="11"/>
        <v>600</v>
      </c>
      <c r="J715" s="150" t="s">
        <v>472</v>
      </c>
      <c r="K715" s="151">
        <v>16.8</v>
      </c>
      <c r="L715">
        <f>Table13[[#This Row],[Price]]*Table13[[#This Row],[Units]]</f>
        <v>600</v>
      </c>
    </row>
    <row r="716" spans="1:12" x14ac:dyDescent="0.35">
      <c r="A716" s="145">
        <v>45677</v>
      </c>
      <c r="B716" s="146" t="s">
        <v>1220</v>
      </c>
      <c r="C716" s="147" t="s">
        <v>501</v>
      </c>
      <c r="D716" s="147" t="s">
        <v>486</v>
      </c>
      <c r="E716" s="147" t="s">
        <v>333</v>
      </c>
      <c r="F716" s="147" t="s">
        <v>520</v>
      </c>
      <c r="G716" s="147">
        <v>29</v>
      </c>
      <c r="H716" s="148">
        <v>24</v>
      </c>
      <c r="I716" s="149">
        <f t="shared" si="11"/>
        <v>696</v>
      </c>
      <c r="J716" s="150" t="s">
        <v>515</v>
      </c>
      <c r="K716" s="151">
        <v>18.792000000000002</v>
      </c>
      <c r="L716">
        <f>Table13[[#This Row],[Price]]*Table13[[#This Row],[Units]]</f>
        <v>696</v>
      </c>
    </row>
    <row r="717" spans="1:12" x14ac:dyDescent="0.35">
      <c r="A717" s="145">
        <v>45677</v>
      </c>
      <c r="B717" s="146" t="s">
        <v>1221</v>
      </c>
      <c r="C717" s="147" t="s">
        <v>322</v>
      </c>
      <c r="D717" s="147" t="s">
        <v>519</v>
      </c>
      <c r="E717" s="147" t="s">
        <v>412</v>
      </c>
      <c r="F717" s="147" t="s">
        <v>520</v>
      </c>
      <c r="G717" s="147">
        <v>56</v>
      </c>
      <c r="H717" s="148">
        <v>46</v>
      </c>
      <c r="I717" s="149">
        <f t="shared" si="11"/>
        <v>2576</v>
      </c>
      <c r="J717" s="150" t="s">
        <v>472</v>
      </c>
      <c r="K717" s="151">
        <v>59.247999999999998</v>
      </c>
      <c r="L717">
        <f>Table13[[#This Row],[Price]]*Table13[[#This Row],[Units]]</f>
        <v>2576</v>
      </c>
    </row>
    <row r="718" spans="1:12" x14ac:dyDescent="0.35">
      <c r="A718" s="145">
        <v>45678</v>
      </c>
      <c r="B718" s="146" t="s">
        <v>1222</v>
      </c>
      <c r="C718" s="147" t="s">
        <v>469</v>
      </c>
      <c r="D718" s="147" t="s">
        <v>519</v>
      </c>
      <c r="E718" s="147" t="s">
        <v>333</v>
      </c>
      <c r="F718" s="147" t="s">
        <v>478</v>
      </c>
      <c r="G718" s="147">
        <v>12</v>
      </c>
      <c r="H718" s="148">
        <v>37</v>
      </c>
      <c r="I718" s="149">
        <f t="shared" si="11"/>
        <v>444</v>
      </c>
      <c r="J718" s="150" t="s">
        <v>515</v>
      </c>
      <c r="K718" s="151">
        <v>11.544</v>
      </c>
      <c r="L718">
        <f>Table13[[#This Row],[Price]]*Table13[[#This Row],[Units]]</f>
        <v>444</v>
      </c>
    </row>
    <row r="719" spans="1:12" x14ac:dyDescent="0.35">
      <c r="A719" s="145">
        <v>45678</v>
      </c>
      <c r="B719" s="146" t="s">
        <v>1223</v>
      </c>
      <c r="C719" s="147" t="s">
        <v>322</v>
      </c>
      <c r="D719" s="147" t="s">
        <v>465</v>
      </c>
      <c r="E719" s="147" t="s">
        <v>483</v>
      </c>
      <c r="F719" s="147" t="s">
        <v>497</v>
      </c>
      <c r="G719" s="147">
        <v>24</v>
      </c>
      <c r="H719" s="148">
        <v>47</v>
      </c>
      <c r="I719" s="149">
        <f t="shared" si="11"/>
        <v>1128</v>
      </c>
      <c r="J719" s="150" t="s">
        <v>466</v>
      </c>
      <c r="K719" s="151">
        <v>22.56</v>
      </c>
      <c r="L719">
        <f>Table13[[#This Row],[Price]]*Table13[[#This Row],[Units]]</f>
        <v>1128</v>
      </c>
    </row>
    <row r="720" spans="1:12" x14ac:dyDescent="0.35">
      <c r="A720" s="145">
        <v>45678</v>
      </c>
      <c r="B720" s="146" t="s">
        <v>1224</v>
      </c>
      <c r="C720" s="147" t="s">
        <v>322</v>
      </c>
      <c r="D720" s="147" t="s">
        <v>519</v>
      </c>
      <c r="E720" s="147" t="s">
        <v>315</v>
      </c>
      <c r="F720" s="147" t="s">
        <v>478</v>
      </c>
      <c r="G720" s="147">
        <v>30</v>
      </c>
      <c r="H720" s="148">
        <v>60</v>
      </c>
      <c r="I720" s="149">
        <f t="shared" si="11"/>
        <v>1800</v>
      </c>
      <c r="J720" s="150" t="s">
        <v>466</v>
      </c>
      <c r="K720" s="151">
        <v>48.6</v>
      </c>
      <c r="L720">
        <f>Table13[[#This Row],[Price]]*Table13[[#This Row],[Units]]</f>
        <v>1800</v>
      </c>
    </row>
    <row r="721" spans="1:12" x14ac:dyDescent="0.35">
      <c r="A721" s="145">
        <v>45678</v>
      </c>
      <c r="B721" s="146" t="s">
        <v>1225</v>
      </c>
      <c r="C721" s="147" t="s">
        <v>492</v>
      </c>
      <c r="D721" s="147" t="s">
        <v>470</v>
      </c>
      <c r="E721" s="147" t="s">
        <v>324</v>
      </c>
      <c r="F721" s="147" t="s">
        <v>454</v>
      </c>
      <c r="G721" s="147">
        <v>26</v>
      </c>
      <c r="H721" s="148">
        <v>53</v>
      </c>
      <c r="I721" s="149">
        <f t="shared" si="11"/>
        <v>1378</v>
      </c>
      <c r="J721" s="150" t="s">
        <v>515</v>
      </c>
      <c r="K721" s="151">
        <v>31.693999999999999</v>
      </c>
      <c r="L721">
        <f>Table13[[#This Row],[Price]]*Table13[[#This Row],[Units]]</f>
        <v>1378</v>
      </c>
    </row>
    <row r="722" spans="1:12" x14ac:dyDescent="0.35">
      <c r="A722" s="145">
        <v>45678</v>
      </c>
      <c r="B722" s="146" t="s">
        <v>1226</v>
      </c>
      <c r="C722" s="147" t="s">
        <v>494</v>
      </c>
      <c r="D722" s="147" t="s">
        <v>470</v>
      </c>
      <c r="E722" s="147" t="s">
        <v>333</v>
      </c>
      <c r="F722" s="147" t="s">
        <v>505</v>
      </c>
      <c r="G722" s="147">
        <v>56</v>
      </c>
      <c r="H722" s="148">
        <v>52</v>
      </c>
      <c r="I722" s="149">
        <f t="shared" si="11"/>
        <v>2912</v>
      </c>
      <c r="J722" s="150" t="s">
        <v>466</v>
      </c>
      <c r="K722" s="151">
        <v>87.36</v>
      </c>
      <c r="L722">
        <f>Table13[[#This Row],[Price]]*Table13[[#This Row],[Units]]</f>
        <v>2912</v>
      </c>
    </row>
    <row r="723" spans="1:12" x14ac:dyDescent="0.35">
      <c r="A723" s="145">
        <v>45678</v>
      </c>
      <c r="B723" s="146" t="s">
        <v>1227</v>
      </c>
      <c r="C723" s="147" t="s">
        <v>322</v>
      </c>
      <c r="D723" s="147" t="s">
        <v>477</v>
      </c>
      <c r="E723" s="147" t="s">
        <v>333</v>
      </c>
      <c r="F723" s="147" t="s">
        <v>513</v>
      </c>
      <c r="G723" s="147">
        <v>10</v>
      </c>
      <c r="H723" s="148">
        <v>48</v>
      </c>
      <c r="I723" s="149">
        <f t="shared" si="11"/>
        <v>480</v>
      </c>
      <c r="J723" s="150" t="s">
        <v>472</v>
      </c>
      <c r="K723" s="151">
        <v>12.48</v>
      </c>
      <c r="L723">
        <f>Table13[[#This Row],[Price]]*Table13[[#This Row],[Units]]</f>
        <v>480</v>
      </c>
    </row>
    <row r="724" spans="1:12" x14ac:dyDescent="0.35">
      <c r="A724" s="145">
        <v>45678</v>
      </c>
      <c r="B724" s="146" t="s">
        <v>1228</v>
      </c>
      <c r="C724" s="147" t="s">
        <v>464</v>
      </c>
      <c r="D724" s="147" t="s">
        <v>486</v>
      </c>
      <c r="E724" s="147" t="s">
        <v>483</v>
      </c>
      <c r="F724" s="147" t="s">
        <v>487</v>
      </c>
      <c r="G724" s="147">
        <v>38</v>
      </c>
      <c r="H724" s="148">
        <v>52</v>
      </c>
      <c r="I724" s="149">
        <f t="shared" si="11"/>
        <v>1976</v>
      </c>
      <c r="J724" s="150" t="s">
        <v>472</v>
      </c>
      <c r="K724" s="151">
        <v>55.328000000000003</v>
      </c>
      <c r="L724">
        <f>Table13[[#This Row],[Price]]*Table13[[#This Row],[Units]]</f>
        <v>1976</v>
      </c>
    </row>
    <row r="725" spans="1:12" x14ac:dyDescent="0.35">
      <c r="A725" s="145">
        <v>45678</v>
      </c>
      <c r="B725" s="146" t="s">
        <v>1229</v>
      </c>
      <c r="C725" s="147" t="s">
        <v>494</v>
      </c>
      <c r="D725" s="147" t="s">
        <v>486</v>
      </c>
      <c r="E725" s="147" t="s">
        <v>320</v>
      </c>
      <c r="F725" s="147" t="s">
        <v>539</v>
      </c>
      <c r="G725" s="147">
        <v>48</v>
      </c>
      <c r="H725" s="148">
        <v>47</v>
      </c>
      <c r="I725" s="149">
        <f t="shared" si="11"/>
        <v>2256</v>
      </c>
      <c r="J725" s="150" t="s">
        <v>466</v>
      </c>
      <c r="K725" s="151">
        <v>47.375999999999998</v>
      </c>
      <c r="L725">
        <f>Table13[[#This Row],[Price]]*Table13[[#This Row],[Units]]</f>
        <v>2256</v>
      </c>
    </row>
    <row r="726" spans="1:12" x14ac:dyDescent="0.35">
      <c r="A726" s="145">
        <v>45678</v>
      </c>
      <c r="B726" s="146" t="s">
        <v>1230</v>
      </c>
      <c r="C726" s="147" t="s">
        <v>484</v>
      </c>
      <c r="D726" s="147" t="s">
        <v>465</v>
      </c>
      <c r="E726" s="147" t="s">
        <v>320</v>
      </c>
      <c r="F726" s="147" t="s">
        <v>520</v>
      </c>
      <c r="G726" s="147">
        <v>41</v>
      </c>
      <c r="H726" s="148">
        <v>45</v>
      </c>
      <c r="I726" s="149">
        <f t="shared" si="11"/>
        <v>1845</v>
      </c>
      <c r="J726" s="150" t="s">
        <v>503</v>
      </c>
      <c r="K726" s="151">
        <v>47.97</v>
      </c>
      <c r="L726">
        <f>Table13[[#This Row],[Price]]*Table13[[#This Row],[Units]]</f>
        <v>1845</v>
      </c>
    </row>
    <row r="727" spans="1:12" x14ac:dyDescent="0.35">
      <c r="A727" s="145">
        <v>45678</v>
      </c>
      <c r="B727" s="146" t="s">
        <v>1231</v>
      </c>
      <c r="C727" s="147" t="s">
        <v>322</v>
      </c>
      <c r="D727" s="147" t="s">
        <v>519</v>
      </c>
      <c r="E727" s="147" t="s">
        <v>333</v>
      </c>
      <c r="F727" s="147" t="s">
        <v>536</v>
      </c>
      <c r="G727" s="147">
        <v>29</v>
      </c>
      <c r="H727" s="148">
        <v>47</v>
      </c>
      <c r="I727" s="149">
        <f t="shared" si="11"/>
        <v>1363</v>
      </c>
      <c r="J727" s="150" t="s">
        <v>466</v>
      </c>
      <c r="K727" s="151">
        <v>35.438000000000002</v>
      </c>
      <c r="L727">
        <f>Table13[[#This Row],[Price]]*Table13[[#This Row],[Units]]</f>
        <v>1363</v>
      </c>
    </row>
    <row r="728" spans="1:12" x14ac:dyDescent="0.35">
      <c r="A728" s="145">
        <v>45678</v>
      </c>
      <c r="B728" s="146" t="s">
        <v>1232</v>
      </c>
      <c r="C728" s="147" t="s">
        <v>464</v>
      </c>
      <c r="D728" s="147" t="s">
        <v>486</v>
      </c>
      <c r="E728" s="147" t="s">
        <v>324</v>
      </c>
      <c r="F728" s="147" t="s">
        <v>471</v>
      </c>
      <c r="G728" s="147">
        <v>28</v>
      </c>
      <c r="H728" s="148">
        <v>31</v>
      </c>
      <c r="I728" s="149">
        <f t="shared" si="11"/>
        <v>868</v>
      </c>
      <c r="J728" s="150" t="s">
        <v>466</v>
      </c>
      <c r="K728" s="151">
        <v>19.963999999999999</v>
      </c>
      <c r="L728">
        <f>Table13[[#This Row],[Price]]*Table13[[#This Row],[Units]]</f>
        <v>868</v>
      </c>
    </row>
    <row r="729" spans="1:12" x14ac:dyDescent="0.35">
      <c r="A729" s="145">
        <v>45678</v>
      </c>
      <c r="B729" s="146" t="s">
        <v>1233</v>
      </c>
      <c r="C729" s="147" t="s">
        <v>469</v>
      </c>
      <c r="D729" s="147" t="s">
        <v>465</v>
      </c>
      <c r="E729" s="147" t="s">
        <v>333</v>
      </c>
      <c r="F729" s="147" t="s">
        <v>539</v>
      </c>
      <c r="G729" s="147">
        <v>35</v>
      </c>
      <c r="H729" s="148">
        <v>53</v>
      </c>
      <c r="I729" s="149">
        <f t="shared" si="11"/>
        <v>1855</v>
      </c>
      <c r="J729" s="150" t="s">
        <v>466</v>
      </c>
      <c r="K729" s="151">
        <v>50.085000000000001</v>
      </c>
      <c r="L729">
        <f>Table13[[#This Row],[Price]]*Table13[[#This Row],[Units]]</f>
        <v>1855</v>
      </c>
    </row>
    <row r="730" spans="1:12" x14ac:dyDescent="0.35">
      <c r="A730" s="145">
        <v>45678</v>
      </c>
      <c r="B730" s="146" t="s">
        <v>1234</v>
      </c>
      <c r="C730" s="147" t="s">
        <v>469</v>
      </c>
      <c r="D730" s="147" t="s">
        <v>465</v>
      </c>
      <c r="E730" s="147" t="s">
        <v>483</v>
      </c>
      <c r="F730" s="147" t="s">
        <v>539</v>
      </c>
      <c r="G730" s="147">
        <v>60</v>
      </c>
      <c r="H730" s="148">
        <v>36</v>
      </c>
      <c r="I730" s="149">
        <f t="shared" si="11"/>
        <v>2160</v>
      </c>
      <c r="J730" s="150" t="s">
        <v>472</v>
      </c>
      <c r="K730" s="151">
        <v>45.36</v>
      </c>
      <c r="L730">
        <f>Table13[[#This Row],[Price]]*Table13[[#This Row],[Units]]</f>
        <v>2160</v>
      </c>
    </row>
    <row r="731" spans="1:12" x14ac:dyDescent="0.35">
      <c r="A731" s="145">
        <v>45678</v>
      </c>
      <c r="B731" s="146" t="s">
        <v>1235</v>
      </c>
      <c r="C731" s="147" t="s">
        <v>322</v>
      </c>
      <c r="D731" s="147" t="s">
        <v>512</v>
      </c>
      <c r="E731" s="147" t="s">
        <v>320</v>
      </c>
      <c r="F731" s="147" t="s">
        <v>520</v>
      </c>
      <c r="G731" s="147">
        <v>27</v>
      </c>
      <c r="H731" s="148">
        <v>48</v>
      </c>
      <c r="I731" s="149">
        <f t="shared" si="11"/>
        <v>1296</v>
      </c>
      <c r="J731" s="150" t="s">
        <v>515</v>
      </c>
      <c r="K731" s="151">
        <v>33.695999999999998</v>
      </c>
      <c r="L731">
        <f>Table13[[#This Row],[Price]]*Table13[[#This Row],[Units]]</f>
        <v>1296</v>
      </c>
    </row>
    <row r="732" spans="1:12" x14ac:dyDescent="0.35">
      <c r="A732" s="145">
        <v>45678</v>
      </c>
      <c r="B732" s="146" t="s">
        <v>1236</v>
      </c>
      <c r="C732" s="147" t="s">
        <v>489</v>
      </c>
      <c r="D732" s="147" t="s">
        <v>490</v>
      </c>
      <c r="E732" s="147" t="s">
        <v>333</v>
      </c>
      <c r="F732" s="147" t="s">
        <v>517</v>
      </c>
      <c r="G732" s="147">
        <v>16</v>
      </c>
      <c r="H732" s="148">
        <v>35</v>
      </c>
      <c r="I732" s="149">
        <f t="shared" si="11"/>
        <v>560</v>
      </c>
      <c r="J732" s="150" t="s">
        <v>515</v>
      </c>
      <c r="K732" s="151">
        <v>15.68</v>
      </c>
      <c r="L732">
        <f>Table13[[#This Row],[Price]]*Table13[[#This Row],[Units]]</f>
        <v>560</v>
      </c>
    </row>
    <row r="733" spans="1:12" x14ac:dyDescent="0.35">
      <c r="A733" s="145">
        <v>45679</v>
      </c>
      <c r="B733" s="146" t="s">
        <v>1237</v>
      </c>
      <c r="C733" s="147" t="s">
        <v>484</v>
      </c>
      <c r="D733" s="147" t="s">
        <v>477</v>
      </c>
      <c r="E733" s="147" t="s">
        <v>315</v>
      </c>
      <c r="F733" s="147" t="s">
        <v>497</v>
      </c>
      <c r="G733" s="147">
        <v>60</v>
      </c>
      <c r="H733" s="148">
        <v>60</v>
      </c>
      <c r="I733" s="149">
        <f t="shared" si="11"/>
        <v>3600</v>
      </c>
      <c r="J733" s="150" t="s">
        <v>472</v>
      </c>
      <c r="K733" s="151">
        <v>108</v>
      </c>
      <c r="L733">
        <f>Table13[[#This Row],[Price]]*Table13[[#This Row],[Units]]</f>
        <v>3600</v>
      </c>
    </row>
    <row r="734" spans="1:12" x14ac:dyDescent="0.35">
      <c r="A734" s="145">
        <v>45679</v>
      </c>
      <c r="B734" s="146" t="s">
        <v>1238</v>
      </c>
      <c r="C734" s="147" t="s">
        <v>322</v>
      </c>
      <c r="D734" s="147" t="s">
        <v>519</v>
      </c>
      <c r="E734" s="147" t="s">
        <v>315</v>
      </c>
      <c r="F734" s="147" t="s">
        <v>517</v>
      </c>
      <c r="G734" s="147">
        <v>44</v>
      </c>
      <c r="H734" s="148">
        <v>53</v>
      </c>
      <c r="I734" s="149">
        <f t="shared" si="11"/>
        <v>2332</v>
      </c>
      <c r="J734" s="150" t="s">
        <v>472</v>
      </c>
      <c r="K734" s="151">
        <v>51.304000000000002</v>
      </c>
      <c r="L734">
        <f>Table13[[#This Row],[Price]]*Table13[[#This Row],[Units]]</f>
        <v>2332</v>
      </c>
    </row>
    <row r="735" spans="1:12" x14ac:dyDescent="0.35">
      <c r="A735" s="145">
        <v>45679</v>
      </c>
      <c r="B735" s="146" t="s">
        <v>1239</v>
      </c>
      <c r="C735" s="147" t="s">
        <v>476</v>
      </c>
      <c r="D735" s="147" t="s">
        <v>470</v>
      </c>
      <c r="E735" s="147" t="s">
        <v>333</v>
      </c>
      <c r="F735" s="147" t="s">
        <v>567</v>
      </c>
      <c r="G735" s="147">
        <v>60</v>
      </c>
      <c r="H735" s="148">
        <v>38</v>
      </c>
      <c r="I735" s="149">
        <f t="shared" si="11"/>
        <v>2280</v>
      </c>
      <c r="J735" s="150" t="s">
        <v>466</v>
      </c>
      <c r="K735" s="151">
        <v>61.56</v>
      </c>
      <c r="L735">
        <f>Table13[[#This Row],[Price]]*Table13[[#This Row],[Units]]</f>
        <v>2280</v>
      </c>
    </row>
    <row r="736" spans="1:12" x14ac:dyDescent="0.35">
      <c r="A736" s="145">
        <v>45679</v>
      </c>
      <c r="B736" s="146" t="s">
        <v>1240</v>
      </c>
      <c r="C736" s="147" t="s">
        <v>476</v>
      </c>
      <c r="D736" s="147" t="s">
        <v>512</v>
      </c>
      <c r="E736" s="147" t="s">
        <v>320</v>
      </c>
      <c r="F736" s="147" t="s">
        <v>497</v>
      </c>
      <c r="G736" s="147">
        <v>51</v>
      </c>
      <c r="H736" s="148">
        <v>20</v>
      </c>
      <c r="I736" s="149">
        <f t="shared" si="11"/>
        <v>1020</v>
      </c>
      <c r="J736" s="150" t="s">
        <v>472</v>
      </c>
      <c r="K736" s="151">
        <v>24.48</v>
      </c>
      <c r="L736">
        <f>Table13[[#This Row],[Price]]*Table13[[#This Row],[Units]]</f>
        <v>1020</v>
      </c>
    </row>
    <row r="737" spans="1:12" x14ac:dyDescent="0.35">
      <c r="A737" s="145">
        <v>45680</v>
      </c>
      <c r="B737" s="146" t="s">
        <v>1241</v>
      </c>
      <c r="C737" s="147" t="s">
        <v>494</v>
      </c>
      <c r="D737" s="147" t="s">
        <v>512</v>
      </c>
      <c r="E737" s="147" t="s">
        <v>333</v>
      </c>
      <c r="F737" s="147" t="s">
        <v>528</v>
      </c>
      <c r="G737" s="147">
        <v>39</v>
      </c>
      <c r="H737" s="148">
        <v>26</v>
      </c>
      <c r="I737" s="149">
        <f t="shared" si="11"/>
        <v>1014</v>
      </c>
      <c r="J737" s="150" t="s">
        <v>466</v>
      </c>
      <c r="K737" s="151">
        <v>20.28</v>
      </c>
      <c r="L737">
        <f>Table13[[#This Row],[Price]]*Table13[[#This Row],[Units]]</f>
        <v>1014</v>
      </c>
    </row>
    <row r="738" spans="1:12" x14ac:dyDescent="0.35">
      <c r="A738" s="145">
        <v>45681</v>
      </c>
      <c r="B738" s="146" t="s">
        <v>1242</v>
      </c>
      <c r="C738" s="147" t="s">
        <v>489</v>
      </c>
      <c r="D738" s="147" t="s">
        <v>490</v>
      </c>
      <c r="E738" s="147" t="s">
        <v>315</v>
      </c>
      <c r="F738" s="147" t="s">
        <v>510</v>
      </c>
      <c r="G738" s="147">
        <v>59</v>
      </c>
      <c r="H738" s="148">
        <v>41</v>
      </c>
      <c r="I738" s="149">
        <f t="shared" si="11"/>
        <v>2419</v>
      </c>
      <c r="J738" s="150" t="s">
        <v>503</v>
      </c>
      <c r="K738" s="151">
        <v>65.313000000000002</v>
      </c>
      <c r="L738">
        <f>Table13[[#This Row],[Price]]*Table13[[#This Row],[Units]]</f>
        <v>2419</v>
      </c>
    </row>
    <row r="739" spans="1:12" x14ac:dyDescent="0.35">
      <c r="A739" s="145">
        <v>45681</v>
      </c>
      <c r="B739" s="146" t="s">
        <v>1243</v>
      </c>
      <c r="C739" s="147" t="s">
        <v>476</v>
      </c>
      <c r="D739" s="147" t="s">
        <v>512</v>
      </c>
      <c r="E739" s="147" t="s">
        <v>324</v>
      </c>
      <c r="F739" s="147" t="s">
        <v>500</v>
      </c>
      <c r="G739" s="147">
        <v>56</v>
      </c>
      <c r="H739" s="148">
        <v>25</v>
      </c>
      <c r="I739" s="149">
        <f t="shared" si="11"/>
        <v>1400</v>
      </c>
      <c r="J739" s="150" t="s">
        <v>466</v>
      </c>
      <c r="K739" s="151">
        <v>42</v>
      </c>
      <c r="L739">
        <f>Table13[[#This Row],[Price]]*Table13[[#This Row],[Units]]</f>
        <v>1400</v>
      </c>
    </row>
    <row r="740" spans="1:12" x14ac:dyDescent="0.35">
      <c r="A740" s="145">
        <v>45682</v>
      </c>
      <c r="B740" s="146" t="s">
        <v>1244</v>
      </c>
      <c r="C740" s="147" t="s">
        <v>322</v>
      </c>
      <c r="D740" s="147" t="s">
        <v>477</v>
      </c>
      <c r="E740" s="147" t="s">
        <v>390</v>
      </c>
      <c r="F740" s="147" t="s">
        <v>539</v>
      </c>
      <c r="G740" s="147">
        <v>41</v>
      </c>
      <c r="H740" s="148">
        <v>25</v>
      </c>
      <c r="I740" s="149">
        <f t="shared" si="11"/>
        <v>1025</v>
      </c>
      <c r="J740" s="150" t="s">
        <v>472</v>
      </c>
      <c r="K740" s="151">
        <v>26.65</v>
      </c>
      <c r="L740">
        <f>Table13[[#This Row],[Price]]*Table13[[#This Row],[Units]]</f>
        <v>1025</v>
      </c>
    </row>
    <row r="741" spans="1:12" x14ac:dyDescent="0.35">
      <c r="A741" s="145">
        <v>45682</v>
      </c>
      <c r="B741" s="146" t="s">
        <v>1245</v>
      </c>
      <c r="C741" s="147" t="s">
        <v>322</v>
      </c>
      <c r="D741" s="147" t="s">
        <v>477</v>
      </c>
      <c r="E741" s="147" t="s">
        <v>320</v>
      </c>
      <c r="F741" s="147" t="s">
        <v>505</v>
      </c>
      <c r="G741" s="147">
        <v>32</v>
      </c>
      <c r="H741" s="148">
        <v>51</v>
      </c>
      <c r="I741" s="149">
        <f t="shared" si="11"/>
        <v>1632</v>
      </c>
      <c r="J741" s="150" t="s">
        <v>472</v>
      </c>
      <c r="K741" s="151">
        <v>40.799999999999997</v>
      </c>
      <c r="L741">
        <f>Table13[[#This Row],[Price]]*Table13[[#This Row],[Units]]</f>
        <v>1632</v>
      </c>
    </row>
    <row r="742" spans="1:12" x14ac:dyDescent="0.35">
      <c r="A742" s="145">
        <v>45682</v>
      </c>
      <c r="B742" s="146" t="s">
        <v>1246</v>
      </c>
      <c r="C742" s="147" t="s">
        <v>494</v>
      </c>
      <c r="D742" s="147" t="s">
        <v>490</v>
      </c>
      <c r="E742" s="147" t="s">
        <v>390</v>
      </c>
      <c r="F742" s="147" t="s">
        <v>567</v>
      </c>
      <c r="G742" s="147">
        <v>10</v>
      </c>
      <c r="H742" s="148">
        <v>39</v>
      </c>
      <c r="I742" s="149">
        <f t="shared" si="11"/>
        <v>390</v>
      </c>
      <c r="J742" s="150" t="s">
        <v>472</v>
      </c>
      <c r="K742" s="151">
        <v>8.19</v>
      </c>
      <c r="L742">
        <f>Table13[[#This Row],[Price]]*Table13[[#This Row],[Units]]</f>
        <v>390</v>
      </c>
    </row>
    <row r="743" spans="1:12" x14ac:dyDescent="0.35">
      <c r="A743" s="145">
        <v>45682</v>
      </c>
      <c r="B743" s="146" t="s">
        <v>1247</v>
      </c>
      <c r="C743" s="147" t="s">
        <v>484</v>
      </c>
      <c r="D743" s="147" t="s">
        <v>470</v>
      </c>
      <c r="E743" s="147" t="s">
        <v>320</v>
      </c>
      <c r="F743" s="147" t="s">
        <v>497</v>
      </c>
      <c r="G743" s="147">
        <v>17</v>
      </c>
      <c r="H743" s="148">
        <v>55</v>
      </c>
      <c r="I743" s="149">
        <f t="shared" si="11"/>
        <v>935</v>
      </c>
      <c r="J743" s="150" t="s">
        <v>466</v>
      </c>
      <c r="K743" s="151">
        <v>24.31</v>
      </c>
      <c r="L743">
        <f>Table13[[#This Row],[Price]]*Table13[[#This Row],[Units]]</f>
        <v>935</v>
      </c>
    </row>
    <row r="744" spans="1:12" x14ac:dyDescent="0.35">
      <c r="A744" s="145">
        <v>45682</v>
      </c>
      <c r="B744" s="146" t="s">
        <v>1248</v>
      </c>
      <c r="C744" s="147" t="s">
        <v>476</v>
      </c>
      <c r="D744" s="147" t="s">
        <v>470</v>
      </c>
      <c r="E744" s="147" t="s">
        <v>324</v>
      </c>
      <c r="F744" s="147" t="s">
        <v>528</v>
      </c>
      <c r="G744" s="147">
        <v>37</v>
      </c>
      <c r="H744" s="148">
        <v>45</v>
      </c>
      <c r="I744" s="149">
        <f t="shared" si="11"/>
        <v>1665</v>
      </c>
      <c r="J744" s="150" t="s">
        <v>472</v>
      </c>
      <c r="K744" s="151">
        <v>33.299999999999997</v>
      </c>
      <c r="L744">
        <f>Table13[[#This Row],[Price]]*Table13[[#This Row],[Units]]</f>
        <v>1665</v>
      </c>
    </row>
    <row r="745" spans="1:12" x14ac:dyDescent="0.35">
      <c r="A745" s="145">
        <v>45682</v>
      </c>
      <c r="B745" s="146" t="s">
        <v>1249</v>
      </c>
      <c r="C745" s="147" t="s">
        <v>494</v>
      </c>
      <c r="D745" s="147" t="s">
        <v>490</v>
      </c>
      <c r="E745" s="147" t="s">
        <v>390</v>
      </c>
      <c r="F745" s="147" t="s">
        <v>536</v>
      </c>
      <c r="G745" s="147">
        <v>43</v>
      </c>
      <c r="H745" s="148">
        <v>25</v>
      </c>
      <c r="I745" s="149">
        <f t="shared" si="11"/>
        <v>1075</v>
      </c>
      <c r="J745" s="150" t="s">
        <v>466</v>
      </c>
      <c r="K745" s="151">
        <v>22.574999999999999</v>
      </c>
      <c r="L745">
        <f>Table13[[#This Row],[Price]]*Table13[[#This Row],[Units]]</f>
        <v>1075</v>
      </c>
    </row>
    <row r="746" spans="1:12" x14ac:dyDescent="0.35">
      <c r="A746" s="145">
        <v>45682</v>
      </c>
      <c r="B746" s="146" t="s">
        <v>1250</v>
      </c>
      <c r="C746" s="147" t="s">
        <v>476</v>
      </c>
      <c r="D746" s="147" t="s">
        <v>519</v>
      </c>
      <c r="E746" s="147" t="s">
        <v>333</v>
      </c>
      <c r="F746" s="147" t="s">
        <v>505</v>
      </c>
      <c r="G746" s="147">
        <v>53</v>
      </c>
      <c r="H746" s="148">
        <v>57</v>
      </c>
      <c r="I746" s="149">
        <f t="shared" si="11"/>
        <v>3021</v>
      </c>
      <c r="J746" s="150" t="s">
        <v>466</v>
      </c>
      <c r="K746" s="151">
        <v>66.462000000000003</v>
      </c>
      <c r="L746">
        <f>Table13[[#This Row],[Price]]*Table13[[#This Row],[Units]]</f>
        <v>3021</v>
      </c>
    </row>
    <row r="747" spans="1:12" x14ac:dyDescent="0.35">
      <c r="A747" s="145">
        <v>45682</v>
      </c>
      <c r="B747" s="146" t="s">
        <v>1251</v>
      </c>
      <c r="C747" s="147" t="s">
        <v>501</v>
      </c>
      <c r="D747" s="147" t="s">
        <v>477</v>
      </c>
      <c r="E747" s="147" t="s">
        <v>483</v>
      </c>
      <c r="F747" s="147" t="s">
        <v>539</v>
      </c>
      <c r="G747" s="147">
        <v>13</v>
      </c>
      <c r="H747" s="148">
        <v>49</v>
      </c>
      <c r="I747" s="149">
        <f t="shared" si="11"/>
        <v>637</v>
      </c>
      <c r="J747" s="150" t="s">
        <v>466</v>
      </c>
      <c r="K747" s="151">
        <v>15.925000000000001</v>
      </c>
      <c r="L747">
        <f>Table13[[#This Row],[Price]]*Table13[[#This Row],[Units]]</f>
        <v>637</v>
      </c>
    </row>
    <row r="748" spans="1:12" x14ac:dyDescent="0.35">
      <c r="A748" s="145">
        <v>45682</v>
      </c>
      <c r="B748" s="146" t="s">
        <v>1252</v>
      </c>
      <c r="C748" s="147" t="s">
        <v>489</v>
      </c>
      <c r="D748" s="147" t="s">
        <v>486</v>
      </c>
      <c r="E748" s="147" t="s">
        <v>315</v>
      </c>
      <c r="F748" s="147" t="s">
        <v>471</v>
      </c>
      <c r="G748" s="147">
        <v>30</v>
      </c>
      <c r="H748" s="148">
        <v>58</v>
      </c>
      <c r="I748" s="149">
        <f t="shared" si="11"/>
        <v>1740</v>
      </c>
      <c r="J748" s="150" t="s">
        <v>503</v>
      </c>
      <c r="K748" s="151">
        <v>48.72</v>
      </c>
      <c r="L748">
        <f>Table13[[#This Row],[Price]]*Table13[[#This Row],[Units]]</f>
        <v>1740</v>
      </c>
    </row>
    <row r="749" spans="1:12" x14ac:dyDescent="0.35">
      <c r="A749" s="145">
        <v>45682</v>
      </c>
      <c r="B749" s="146" t="s">
        <v>1253</v>
      </c>
      <c r="C749" s="147" t="s">
        <v>322</v>
      </c>
      <c r="D749" s="147" t="s">
        <v>486</v>
      </c>
      <c r="E749" s="147" t="s">
        <v>483</v>
      </c>
      <c r="F749" s="147" t="s">
        <v>478</v>
      </c>
      <c r="G749" s="147">
        <v>21</v>
      </c>
      <c r="H749" s="148">
        <v>47</v>
      </c>
      <c r="I749" s="149">
        <f t="shared" si="11"/>
        <v>987</v>
      </c>
      <c r="J749" s="150" t="s">
        <v>466</v>
      </c>
      <c r="K749" s="151">
        <v>28.623000000000001</v>
      </c>
      <c r="L749">
        <f>Table13[[#This Row],[Price]]*Table13[[#This Row],[Units]]</f>
        <v>987</v>
      </c>
    </row>
    <row r="750" spans="1:12" x14ac:dyDescent="0.35">
      <c r="A750" s="145">
        <v>45682</v>
      </c>
      <c r="B750" s="146" t="s">
        <v>1254</v>
      </c>
      <c r="C750" s="147" t="s">
        <v>469</v>
      </c>
      <c r="D750" s="147" t="s">
        <v>490</v>
      </c>
      <c r="E750" s="147" t="s">
        <v>324</v>
      </c>
      <c r="F750" s="147" t="s">
        <v>513</v>
      </c>
      <c r="G750" s="147">
        <v>12</v>
      </c>
      <c r="H750" s="148">
        <v>37</v>
      </c>
      <c r="I750" s="149">
        <f t="shared" si="11"/>
        <v>444</v>
      </c>
      <c r="J750" s="150" t="s">
        <v>503</v>
      </c>
      <c r="K750" s="151">
        <v>9.3239999999999998</v>
      </c>
      <c r="L750">
        <f>Table13[[#This Row],[Price]]*Table13[[#This Row],[Units]]</f>
        <v>444</v>
      </c>
    </row>
    <row r="751" spans="1:12" x14ac:dyDescent="0.35">
      <c r="A751" s="145">
        <v>45682</v>
      </c>
      <c r="B751" s="146" t="s">
        <v>1255</v>
      </c>
      <c r="C751" s="147" t="s">
        <v>322</v>
      </c>
      <c r="D751" s="147" t="s">
        <v>486</v>
      </c>
      <c r="E751" s="147" t="s">
        <v>483</v>
      </c>
      <c r="F751" s="147" t="s">
        <v>491</v>
      </c>
      <c r="G751" s="147">
        <v>25</v>
      </c>
      <c r="H751" s="148">
        <v>43</v>
      </c>
      <c r="I751" s="149">
        <f t="shared" si="11"/>
        <v>1075</v>
      </c>
      <c r="J751" s="150" t="s">
        <v>472</v>
      </c>
      <c r="K751" s="151">
        <v>31.175000000000001</v>
      </c>
      <c r="L751">
        <f>Table13[[#This Row],[Price]]*Table13[[#This Row],[Units]]</f>
        <v>1075</v>
      </c>
    </row>
    <row r="752" spans="1:12" x14ac:dyDescent="0.35">
      <c r="A752" s="145">
        <v>45682</v>
      </c>
      <c r="B752" s="146" t="s">
        <v>1256</v>
      </c>
      <c r="C752" s="147" t="s">
        <v>464</v>
      </c>
      <c r="D752" s="147" t="s">
        <v>490</v>
      </c>
      <c r="E752" s="147" t="s">
        <v>483</v>
      </c>
      <c r="F752" s="147" t="s">
        <v>505</v>
      </c>
      <c r="G752" s="147">
        <v>15</v>
      </c>
      <c r="H752" s="148">
        <v>30</v>
      </c>
      <c r="I752" s="149">
        <f t="shared" si="11"/>
        <v>450</v>
      </c>
      <c r="J752" s="150" t="s">
        <v>515</v>
      </c>
      <c r="K752" s="151">
        <v>12.6</v>
      </c>
      <c r="L752">
        <f>Table13[[#This Row],[Price]]*Table13[[#This Row],[Units]]</f>
        <v>450</v>
      </c>
    </row>
    <row r="753" spans="1:12" x14ac:dyDescent="0.35">
      <c r="A753" s="145">
        <v>45683</v>
      </c>
      <c r="B753" s="146" t="s">
        <v>1257</v>
      </c>
      <c r="C753" s="147" t="s">
        <v>501</v>
      </c>
      <c r="D753" s="147" t="s">
        <v>477</v>
      </c>
      <c r="E753" s="147" t="s">
        <v>320</v>
      </c>
      <c r="F753" s="147" t="s">
        <v>539</v>
      </c>
      <c r="G753" s="147">
        <v>56</v>
      </c>
      <c r="H753" s="148">
        <v>45</v>
      </c>
      <c r="I753" s="149">
        <f t="shared" si="11"/>
        <v>2520</v>
      </c>
      <c r="J753" s="150" t="s">
        <v>466</v>
      </c>
      <c r="K753" s="151">
        <v>57.96</v>
      </c>
      <c r="L753">
        <f>Table13[[#This Row],[Price]]*Table13[[#This Row],[Units]]</f>
        <v>2520</v>
      </c>
    </row>
    <row r="754" spans="1:12" x14ac:dyDescent="0.35">
      <c r="A754" s="145">
        <v>45683</v>
      </c>
      <c r="B754" s="146" t="s">
        <v>1258</v>
      </c>
      <c r="C754" s="147" t="s">
        <v>484</v>
      </c>
      <c r="D754" s="147" t="s">
        <v>470</v>
      </c>
      <c r="E754" s="147" t="s">
        <v>333</v>
      </c>
      <c r="F754" s="147" t="s">
        <v>536</v>
      </c>
      <c r="G754" s="147">
        <v>51</v>
      </c>
      <c r="H754" s="148">
        <v>55</v>
      </c>
      <c r="I754" s="149">
        <f t="shared" si="11"/>
        <v>2805</v>
      </c>
      <c r="J754" s="150" t="s">
        <v>466</v>
      </c>
      <c r="K754" s="151">
        <v>72.930000000000007</v>
      </c>
      <c r="L754">
        <f>Table13[[#This Row],[Price]]*Table13[[#This Row],[Units]]</f>
        <v>2805</v>
      </c>
    </row>
    <row r="755" spans="1:12" x14ac:dyDescent="0.35">
      <c r="A755" s="145">
        <v>45683</v>
      </c>
      <c r="B755" s="146" t="s">
        <v>1259</v>
      </c>
      <c r="C755" s="147" t="s">
        <v>489</v>
      </c>
      <c r="D755" s="147" t="s">
        <v>519</v>
      </c>
      <c r="E755" s="147" t="s">
        <v>390</v>
      </c>
      <c r="F755" s="147" t="s">
        <v>471</v>
      </c>
      <c r="G755" s="147">
        <v>15</v>
      </c>
      <c r="H755" s="148">
        <v>40</v>
      </c>
      <c r="I755" s="149">
        <f t="shared" si="11"/>
        <v>600</v>
      </c>
      <c r="J755" s="150" t="s">
        <v>466</v>
      </c>
      <c r="K755" s="151">
        <v>15</v>
      </c>
      <c r="L755">
        <f>Table13[[#This Row],[Price]]*Table13[[#This Row],[Units]]</f>
        <v>600</v>
      </c>
    </row>
    <row r="756" spans="1:12" x14ac:dyDescent="0.35">
      <c r="A756" s="145">
        <v>45683</v>
      </c>
      <c r="B756" s="146" t="s">
        <v>1260</v>
      </c>
      <c r="C756" s="147" t="s">
        <v>476</v>
      </c>
      <c r="D756" s="147" t="s">
        <v>470</v>
      </c>
      <c r="E756" s="147" t="s">
        <v>483</v>
      </c>
      <c r="F756" s="147" t="s">
        <v>500</v>
      </c>
      <c r="G756" s="147">
        <v>19</v>
      </c>
      <c r="H756" s="148">
        <v>23</v>
      </c>
      <c r="I756" s="149">
        <f t="shared" si="11"/>
        <v>437</v>
      </c>
      <c r="J756" s="150" t="s">
        <v>466</v>
      </c>
      <c r="K756" s="151">
        <v>8.74</v>
      </c>
      <c r="L756">
        <f>Table13[[#This Row],[Price]]*Table13[[#This Row],[Units]]</f>
        <v>437</v>
      </c>
    </row>
    <row r="757" spans="1:12" x14ac:dyDescent="0.35">
      <c r="A757" s="145">
        <v>45683</v>
      </c>
      <c r="B757" s="146" t="s">
        <v>1261</v>
      </c>
      <c r="C757" s="147" t="s">
        <v>476</v>
      </c>
      <c r="D757" s="147" t="s">
        <v>486</v>
      </c>
      <c r="E757" s="147" t="s">
        <v>483</v>
      </c>
      <c r="F757" s="147" t="s">
        <v>487</v>
      </c>
      <c r="G757" s="147">
        <v>45</v>
      </c>
      <c r="H757" s="148">
        <v>52</v>
      </c>
      <c r="I757" s="149">
        <f t="shared" si="11"/>
        <v>2340</v>
      </c>
      <c r="J757" s="150" t="s">
        <v>466</v>
      </c>
      <c r="K757" s="151">
        <v>60.84</v>
      </c>
      <c r="L757">
        <f>Table13[[#This Row],[Price]]*Table13[[#This Row],[Units]]</f>
        <v>2340</v>
      </c>
    </row>
    <row r="758" spans="1:12" x14ac:dyDescent="0.35">
      <c r="A758" s="145">
        <v>45683</v>
      </c>
      <c r="B758" s="146" t="s">
        <v>1262</v>
      </c>
      <c r="C758" s="147" t="s">
        <v>489</v>
      </c>
      <c r="D758" s="147" t="s">
        <v>519</v>
      </c>
      <c r="E758" s="147" t="s">
        <v>333</v>
      </c>
      <c r="F758" s="147" t="s">
        <v>478</v>
      </c>
      <c r="G758" s="147">
        <v>22</v>
      </c>
      <c r="H758" s="148">
        <v>59</v>
      </c>
      <c r="I758" s="149">
        <f t="shared" si="11"/>
        <v>1298</v>
      </c>
      <c r="J758" s="150" t="s">
        <v>515</v>
      </c>
      <c r="K758" s="151">
        <v>38.94</v>
      </c>
      <c r="L758">
        <f>Table13[[#This Row],[Price]]*Table13[[#This Row],[Units]]</f>
        <v>1298</v>
      </c>
    </row>
    <row r="759" spans="1:12" x14ac:dyDescent="0.35">
      <c r="A759" s="145">
        <v>45684</v>
      </c>
      <c r="B759" s="146" t="s">
        <v>1263</v>
      </c>
      <c r="C759" s="147" t="s">
        <v>494</v>
      </c>
      <c r="D759" s="147" t="s">
        <v>490</v>
      </c>
      <c r="E759" s="147" t="s">
        <v>483</v>
      </c>
      <c r="F759" s="147" t="s">
        <v>454</v>
      </c>
      <c r="G759" s="147">
        <v>38</v>
      </c>
      <c r="H759" s="148">
        <v>53</v>
      </c>
      <c r="I759" s="149">
        <f t="shared" si="11"/>
        <v>2014</v>
      </c>
      <c r="J759" s="150" t="s">
        <v>515</v>
      </c>
      <c r="K759" s="151">
        <v>44.308</v>
      </c>
      <c r="L759">
        <f>Table13[[#This Row],[Price]]*Table13[[#This Row],[Units]]</f>
        <v>2014</v>
      </c>
    </row>
    <row r="760" spans="1:12" x14ac:dyDescent="0.35">
      <c r="A760" s="145">
        <v>45684</v>
      </c>
      <c r="B760" s="146" t="s">
        <v>1264</v>
      </c>
      <c r="C760" s="147" t="s">
        <v>494</v>
      </c>
      <c r="D760" s="147" t="s">
        <v>490</v>
      </c>
      <c r="E760" s="147" t="s">
        <v>324</v>
      </c>
      <c r="F760" s="147" t="s">
        <v>513</v>
      </c>
      <c r="G760" s="147">
        <v>60</v>
      </c>
      <c r="H760" s="148">
        <v>33</v>
      </c>
      <c r="I760" s="149">
        <f t="shared" si="11"/>
        <v>1980</v>
      </c>
      <c r="J760" s="150" t="s">
        <v>515</v>
      </c>
      <c r="K760" s="151">
        <v>41.58</v>
      </c>
      <c r="L760">
        <f>Table13[[#This Row],[Price]]*Table13[[#This Row],[Units]]</f>
        <v>1980</v>
      </c>
    </row>
    <row r="761" spans="1:12" x14ac:dyDescent="0.35">
      <c r="A761" s="145">
        <v>45684</v>
      </c>
      <c r="B761" s="146" t="s">
        <v>1265</v>
      </c>
      <c r="C761" s="147" t="s">
        <v>494</v>
      </c>
      <c r="D761" s="147" t="s">
        <v>470</v>
      </c>
      <c r="E761" s="147" t="s">
        <v>320</v>
      </c>
      <c r="F761" s="147" t="s">
        <v>471</v>
      </c>
      <c r="G761" s="147">
        <v>11</v>
      </c>
      <c r="H761" s="148">
        <v>56</v>
      </c>
      <c r="I761" s="149">
        <f t="shared" si="11"/>
        <v>616</v>
      </c>
      <c r="J761" s="150" t="s">
        <v>466</v>
      </c>
      <c r="K761" s="151">
        <v>12.936</v>
      </c>
      <c r="L761">
        <f>Table13[[#This Row],[Price]]*Table13[[#This Row],[Units]]</f>
        <v>616</v>
      </c>
    </row>
    <row r="762" spans="1:12" x14ac:dyDescent="0.35">
      <c r="A762" s="145">
        <v>45684</v>
      </c>
      <c r="B762" s="146" t="s">
        <v>1266</v>
      </c>
      <c r="C762" s="147" t="s">
        <v>492</v>
      </c>
      <c r="D762" s="147" t="s">
        <v>477</v>
      </c>
      <c r="E762" s="147" t="s">
        <v>320</v>
      </c>
      <c r="F762" s="147" t="s">
        <v>471</v>
      </c>
      <c r="G762" s="147">
        <v>34</v>
      </c>
      <c r="H762" s="148">
        <v>20</v>
      </c>
      <c r="I762" s="149">
        <f t="shared" si="11"/>
        <v>680</v>
      </c>
      <c r="J762" s="150" t="s">
        <v>503</v>
      </c>
      <c r="K762" s="151">
        <v>19.04</v>
      </c>
      <c r="L762">
        <f>Table13[[#This Row],[Price]]*Table13[[#This Row],[Units]]</f>
        <v>680</v>
      </c>
    </row>
    <row r="763" spans="1:12" x14ac:dyDescent="0.35">
      <c r="A763" s="145">
        <v>45684</v>
      </c>
      <c r="B763" s="146" t="s">
        <v>1267</v>
      </c>
      <c r="C763" s="147" t="s">
        <v>494</v>
      </c>
      <c r="D763" s="147" t="s">
        <v>470</v>
      </c>
      <c r="E763" s="147" t="s">
        <v>390</v>
      </c>
      <c r="F763" s="147" t="s">
        <v>487</v>
      </c>
      <c r="G763" s="147">
        <v>27</v>
      </c>
      <c r="H763" s="148">
        <v>32</v>
      </c>
      <c r="I763" s="149">
        <f t="shared" si="11"/>
        <v>864</v>
      </c>
      <c r="J763" s="150" t="s">
        <v>466</v>
      </c>
      <c r="K763" s="151">
        <v>19.007999999999999</v>
      </c>
      <c r="L763">
        <f>Table13[[#This Row],[Price]]*Table13[[#This Row],[Units]]</f>
        <v>864</v>
      </c>
    </row>
    <row r="764" spans="1:12" x14ac:dyDescent="0.35">
      <c r="A764" s="145">
        <v>45684</v>
      </c>
      <c r="B764" s="146" t="s">
        <v>1268</v>
      </c>
      <c r="C764" s="147" t="s">
        <v>464</v>
      </c>
      <c r="D764" s="147" t="s">
        <v>470</v>
      </c>
      <c r="E764" s="147" t="s">
        <v>320</v>
      </c>
      <c r="F764" s="147" t="s">
        <v>510</v>
      </c>
      <c r="G764" s="147">
        <v>25</v>
      </c>
      <c r="H764" s="148">
        <v>56</v>
      </c>
      <c r="I764" s="149">
        <f t="shared" si="11"/>
        <v>1400</v>
      </c>
      <c r="J764" s="150" t="s">
        <v>515</v>
      </c>
      <c r="K764" s="151">
        <v>40.6</v>
      </c>
      <c r="L764">
        <f>Table13[[#This Row],[Price]]*Table13[[#This Row],[Units]]</f>
        <v>1400</v>
      </c>
    </row>
    <row r="765" spans="1:12" x14ac:dyDescent="0.35">
      <c r="A765" s="145">
        <v>45684</v>
      </c>
      <c r="B765" s="146" t="s">
        <v>1269</v>
      </c>
      <c r="C765" s="147" t="s">
        <v>494</v>
      </c>
      <c r="D765" s="147" t="s">
        <v>512</v>
      </c>
      <c r="E765" s="147" t="s">
        <v>320</v>
      </c>
      <c r="F765" s="147" t="s">
        <v>523</v>
      </c>
      <c r="G765" s="147">
        <v>16</v>
      </c>
      <c r="H765" s="148">
        <v>25</v>
      </c>
      <c r="I765" s="149">
        <f t="shared" si="11"/>
        <v>400</v>
      </c>
      <c r="J765" s="150" t="s">
        <v>472</v>
      </c>
      <c r="K765" s="151">
        <v>9.1999999999999993</v>
      </c>
      <c r="L765">
        <f>Table13[[#This Row],[Price]]*Table13[[#This Row],[Units]]</f>
        <v>400</v>
      </c>
    </row>
    <row r="766" spans="1:12" x14ac:dyDescent="0.35">
      <c r="A766" s="145">
        <v>45685</v>
      </c>
      <c r="B766" s="146" t="s">
        <v>1270</v>
      </c>
      <c r="C766" s="147" t="s">
        <v>322</v>
      </c>
      <c r="D766" s="147" t="s">
        <v>519</v>
      </c>
      <c r="E766" s="147" t="s">
        <v>483</v>
      </c>
      <c r="F766" s="147" t="s">
        <v>536</v>
      </c>
      <c r="G766" s="147">
        <v>13</v>
      </c>
      <c r="H766" s="148">
        <v>33</v>
      </c>
      <c r="I766" s="149">
        <f t="shared" si="11"/>
        <v>429</v>
      </c>
      <c r="J766" s="150" t="s">
        <v>466</v>
      </c>
      <c r="K766" s="151">
        <v>9.8670000000000009</v>
      </c>
      <c r="L766">
        <f>Table13[[#This Row],[Price]]*Table13[[#This Row],[Units]]</f>
        <v>429</v>
      </c>
    </row>
    <row r="767" spans="1:12" x14ac:dyDescent="0.35">
      <c r="A767" s="145">
        <v>45685</v>
      </c>
      <c r="B767" s="146" t="s">
        <v>1271</v>
      </c>
      <c r="C767" s="147" t="s">
        <v>322</v>
      </c>
      <c r="D767" s="147" t="s">
        <v>470</v>
      </c>
      <c r="E767" s="147" t="s">
        <v>483</v>
      </c>
      <c r="F767" s="147" t="s">
        <v>567</v>
      </c>
      <c r="G767" s="147">
        <v>36</v>
      </c>
      <c r="H767" s="148">
        <v>28</v>
      </c>
      <c r="I767" s="149">
        <f t="shared" si="11"/>
        <v>1008</v>
      </c>
      <c r="J767" s="150" t="s">
        <v>466</v>
      </c>
      <c r="K767" s="151">
        <v>23.184000000000001</v>
      </c>
      <c r="L767">
        <f>Table13[[#This Row],[Price]]*Table13[[#This Row],[Units]]</f>
        <v>1008</v>
      </c>
    </row>
    <row r="768" spans="1:12" x14ac:dyDescent="0.35">
      <c r="A768" s="145">
        <v>45685</v>
      </c>
      <c r="B768" s="146" t="s">
        <v>1272</v>
      </c>
      <c r="C768" s="147" t="s">
        <v>494</v>
      </c>
      <c r="D768" s="147" t="s">
        <v>519</v>
      </c>
      <c r="E768" s="147" t="s">
        <v>390</v>
      </c>
      <c r="F768" s="147" t="s">
        <v>510</v>
      </c>
      <c r="G768" s="147">
        <v>33</v>
      </c>
      <c r="H768" s="148">
        <v>51</v>
      </c>
      <c r="I768" s="149">
        <f t="shared" si="11"/>
        <v>1683</v>
      </c>
      <c r="J768" s="150" t="s">
        <v>466</v>
      </c>
      <c r="K768" s="151">
        <v>33.659999999999997</v>
      </c>
      <c r="L768">
        <f>Table13[[#This Row],[Price]]*Table13[[#This Row],[Units]]</f>
        <v>1683</v>
      </c>
    </row>
    <row r="769" spans="1:12" x14ac:dyDescent="0.35">
      <c r="A769" s="145">
        <v>45685</v>
      </c>
      <c r="B769" s="146" t="s">
        <v>1273</v>
      </c>
      <c r="C769" s="147" t="s">
        <v>492</v>
      </c>
      <c r="D769" s="147" t="s">
        <v>477</v>
      </c>
      <c r="E769" s="147" t="s">
        <v>320</v>
      </c>
      <c r="F769" s="147" t="s">
        <v>487</v>
      </c>
      <c r="G769" s="147">
        <v>30</v>
      </c>
      <c r="H769" s="148">
        <v>60</v>
      </c>
      <c r="I769" s="149">
        <f t="shared" si="11"/>
        <v>1800</v>
      </c>
      <c r="J769" s="150" t="s">
        <v>466</v>
      </c>
      <c r="K769" s="151">
        <v>43.2</v>
      </c>
      <c r="L769">
        <f>Table13[[#This Row],[Price]]*Table13[[#This Row],[Units]]</f>
        <v>1800</v>
      </c>
    </row>
    <row r="770" spans="1:12" x14ac:dyDescent="0.35">
      <c r="A770" s="145">
        <v>45685</v>
      </c>
      <c r="B770" s="146" t="s">
        <v>1274</v>
      </c>
      <c r="C770" s="147" t="s">
        <v>494</v>
      </c>
      <c r="D770" s="147" t="s">
        <v>470</v>
      </c>
      <c r="E770" s="147" t="s">
        <v>324</v>
      </c>
      <c r="F770" s="147" t="s">
        <v>487</v>
      </c>
      <c r="G770" s="147">
        <v>12</v>
      </c>
      <c r="H770" s="148">
        <v>59</v>
      </c>
      <c r="I770" s="149">
        <f t="shared" si="11"/>
        <v>708</v>
      </c>
      <c r="J770" s="150" t="s">
        <v>466</v>
      </c>
      <c r="K770" s="151">
        <v>16.283999999999999</v>
      </c>
      <c r="L770">
        <f>Table13[[#This Row],[Price]]*Table13[[#This Row],[Units]]</f>
        <v>708</v>
      </c>
    </row>
    <row r="771" spans="1:12" x14ac:dyDescent="0.35">
      <c r="A771" s="145">
        <v>45685</v>
      </c>
      <c r="B771" s="146" t="s">
        <v>1275</v>
      </c>
      <c r="C771" s="147" t="s">
        <v>464</v>
      </c>
      <c r="D771" s="147" t="s">
        <v>477</v>
      </c>
      <c r="E771" s="147" t="s">
        <v>324</v>
      </c>
      <c r="F771" s="147" t="s">
        <v>517</v>
      </c>
      <c r="G771" s="147">
        <v>14</v>
      </c>
      <c r="H771" s="148">
        <v>58</v>
      </c>
      <c r="I771" s="149">
        <f t="shared" ref="I771:I834" si="12">G771*H771</f>
        <v>812</v>
      </c>
      <c r="J771" s="150" t="s">
        <v>515</v>
      </c>
      <c r="K771" s="151">
        <v>21.111999999999998</v>
      </c>
      <c r="L771">
        <f>Table13[[#This Row],[Price]]*Table13[[#This Row],[Units]]</f>
        <v>812</v>
      </c>
    </row>
    <row r="772" spans="1:12" x14ac:dyDescent="0.35">
      <c r="A772" s="145">
        <v>45685</v>
      </c>
      <c r="B772" s="146" t="s">
        <v>1276</v>
      </c>
      <c r="C772" s="147" t="s">
        <v>322</v>
      </c>
      <c r="D772" s="147" t="s">
        <v>465</v>
      </c>
      <c r="E772" s="147" t="s">
        <v>412</v>
      </c>
      <c r="F772" s="147" t="s">
        <v>478</v>
      </c>
      <c r="G772" s="147">
        <v>24</v>
      </c>
      <c r="H772" s="148">
        <v>26</v>
      </c>
      <c r="I772" s="149">
        <f t="shared" si="12"/>
        <v>624</v>
      </c>
      <c r="J772" s="150" t="s">
        <v>466</v>
      </c>
      <c r="K772" s="151">
        <v>16.847999999999999</v>
      </c>
      <c r="L772">
        <f>Table13[[#This Row],[Price]]*Table13[[#This Row],[Units]]</f>
        <v>624</v>
      </c>
    </row>
    <row r="773" spans="1:12" x14ac:dyDescent="0.35">
      <c r="A773" s="145">
        <v>45685</v>
      </c>
      <c r="B773" s="146" t="s">
        <v>1277</v>
      </c>
      <c r="C773" s="147" t="s">
        <v>489</v>
      </c>
      <c r="D773" s="147" t="s">
        <v>477</v>
      </c>
      <c r="E773" s="147" t="s">
        <v>320</v>
      </c>
      <c r="F773" s="147" t="s">
        <v>567</v>
      </c>
      <c r="G773" s="147">
        <v>12</v>
      </c>
      <c r="H773" s="148">
        <v>38</v>
      </c>
      <c r="I773" s="149">
        <f t="shared" si="12"/>
        <v>456</v>
      </c>
      <c r="J773" s="150" t="s">
        <v>466</v>
      </c>
      <c r="K773" s="151">
        <v>9.1199999999999992</v>
      </c>
      <c r="L773">
        <f>Table13[[#This Row],[Price]]*Table13[[#This Row],[Units]]</f>
        <v>456</v>
      </c>
    </row>
    <row r="774" spans="1:12" x14ac:dyDescent="0.35">
      <c r="A774" s="145">
        <v>45685</v>
      </c>
      <c r="B774" s="146" t="s">
        <v>1278</v>
      </c>
      <c r="C774" s="147" t="s">
        <v>476</v>
      </c>
      <c r="D774" s="147" t="s">
        <v>477</v>
      </c>
      <c r="E774" s="147" t="s">
        <v>333</v>
      </c>
      <c r="F774" s="147" t="s">
        <v>528</v>
      </c>
      <c r="G774" s="147">
        <v>43</v>
      </c>
      <c r="H774" s="148">
        <v>57</v>
      </c>
      <c r="I774" s="149">
        <f t="shared" si="12"/>
        <v>2451</v>
      </c>
      <c r="J774" s="150" t="s">
        <v>466</v>
      </c>
      <c r="K774" s="151">
        <v>49.02</v>
      </c>
      <c r="L774">
        <f>Table13[[#This Row],[Price]]*Table13[[#This Row],[Units]]</f>
        <v>2451</v>
      </c>
    </row>
    <row r="775" spans="1:12" x14ac:dyDescent="0.35">
      <c r="A775" s="145">
        <v>45685</v>
      </c>
      <c r="B775" s="146" t="s">
        <v>1279</v>
      </c>
      <c r="C775" s="147" t="s">
        <v>469</v>
      </c>
      <c r="D775" s="147" t="s">
        <v>512</v>
      </c>
      <c r="E775" s="147" t="s">
        <v>483</v>
      </c>
      <c r="F775" s="147" t="s">
        <v>497</v>
      </c>
      <c r="G775" s="147">
        <v>41</v>
      </c>
      <c r="H775" s="148">
        <v>34</v>
      </c>
      <c r="I775" s="149">
        <f t="shared" si="12"/>
        <v>1394</v>
      </c>
      <c r="J775" s="150" t="s">
        <v>466</v>
      </c>
      <c r="K775" s="151">
        <v>32.061999999999998</v>
      </c>
      <c r="L775">
        <f>Table13[[#This Row],[Price]]*Table13[[#This Row],[Units]]</f>
        <v>1394</v>
      </c>
    </row>
    <row r="776" spans="1:12" x14ac:dyDescent="0.35">
      <c r="A776" s="145">
        <v>45685</v>
      </c>
      <c r="B776" s="146" t="s">
        <v>1280</v>
      </c>
      <c r="C776" s="147" t="s">
        <v>322</v>
      </c>
      <c r="D776" s="147" t="s">
        <v>477</v>
      </c>
      <c r="E776" s="147" t="s">
        <v>483</v>
      </c>
      <c r="F776" s="147" t="s">
        <v>500</v>
      </c>
      <c r="G776" s="147">
        <v>30</v>
      </c>
      <c r="H776" s="148">
        <v>22</v>
      </c>
      <c r="I776" s="149">
        <f t="shared" si="12"/>
        <v>660</v>
      </c>
      <c r="J776" s="150" t="s">
        <v>472</v>
      </c>
      <c r="K776" s="151">
        <v>17.82</v>
      </c>
      <c r="L776">
        <f>Table13[[#This Row],[Price]]*Table13[[#This Row],[Units]]</f>
        <v>660</v>
      </c>
    </row>
    <row r="777" spans="1:12" x14ac:dyDescent="0.35">
      <c r="A777" s="145">
        <v>45686</v>
      </c>
      <c r="B777" s="146" t="s">
        <v>1281</v>
      </c>
      <c r="C777" s="147" t="s">
        <v>492</v>
      </c>
      <c r="D777" s="147" t="s">
        <v>477</v>
      </c>
      <c r="E777" s="147" t="s">
        <v>483</v>
      </c>
      <c r="F777" s="147" t="s">
        <v>497</v>
      </c>
      <c r="G777" s="147">
        <v>33</v>
      </c>
      <c r="H777" s="148">
        <v>40</v>
      </c>
      <c r="I777" s="149">
        <f t="shared" si="12"/>
        <v>1320</v>
      </c>
      <c r="J777" s="150" t="s">
        <v>515</v>
      </c>
      <c r="K777" s="151">
        <v>27.72</v>
      </c>
      <c r="L777">
        <f>Table13[[#This Row],[Price]]*Table13[[#This Row],[Units]]</f>
        <v>1320</v>
      </c>
    </row>
    <row r="778" spans="1:12" x14ac:dyDescent="0.35">
      <c r="A778" s="145">
        <v>45686</v>
      </c>
      <c r="B778" s="146" t="s">
        <v>1282</v>
      </c>
      <c r="C778" s="147" t="s">
        <v>494</v>
      </c>
      <c r="D778" s="147" t="s">
        <v>465</v>
      </c>
      <c r="E778" s="147" t="s">
        <v>315</v>
      </c>
      <c r="F778" s="147" t="s">
        <v>478</v>
      </c>
      <c r="G778" s="147">
        <v>22</v>
      </c>
      <c r="H778" s="148">
        <v>23</v>
      </c>
      <c r="I778" s="149">
        <f t="shared" si="12"/>
        <v>506</v>
      </c>
      <c r="J778" s="150" t="s">
        <v>472</v>
      </c>
      <c r="K778" s="151">
        <v>10.625999999999999</v>
      </c>
      <c r="L778">
        <f>Table13[[#This Row],[Price]]*Table13[[#This Row],[Units]]</f>
        <v>506</v>
      </c>
    </row>
    <row r="779" spans="1:12" x14ac:dyDescent="0.35">
      <c r="A779" s="145">
        <v>45686</v>
      </c>
      <c r="B779" s="146" t="s">
        <v>1283</v>
      </c>
      <c r="C779" s="147" t="s">
        <v>476</v>
      </c>
      <c r="D779" s="147" t="s">
        <v>512</v>
      </c>
      <c r="E779" s="147" t="s">
        <v>315</v>
      </c>
      <c r="F779" s="147" t="s">
        <v>539</v>
      </c>
      <c r="G779" s="147">
        <v>31</v>
      </c>
      <c r="H779" s="148">
        <v>40</v>
      </c>
      <c r="I779" s="149">
        <f t="shared" si="12"/>
        <v>1240</v>
      </c>
      <c r="J779" s="150" t="s">
        <v>472</v>
      </c>
      <c r="K779" s="151">
        <v>37.200000000000003</v>
      </c>
      <c r="L779">
        <f>Table13[[#This Row],[Price]]*Table13[[#This Row],[Units]]</f>
        <v>1240</v>
      </c>
    </row>
    <row r="780" spans="1:12" x14ac:dyDescent="0.35">
      <c r="A780" s="145">
        <v>45686</v>
      </c>
      <c r="B780" s="146" t="s">
        <v>1284</v>
      </c>
      <c r="C780" s="147" t="s">
        <v>322</v>
      </c>
      <c r="D780" s="147" t="s">
        <v>490</v>
      </c>
      <c r="E780" s="147" t="s">
        <v>412</v>
      </c>
      <c r="F780" s="147" t="s">
        <v>513</v>
      </c>
      <c r="G780" s="147">
        <v>33</v>
      </c>
      <c r="H780" s="148">
        <v>38</v>
      </c>
      <c r="I780" s="149">
        <f t="shared" si="12"/>
        <v>1254</v>
      </c>
      <c r="J780" s="150" t="s">
        <v>472</v>
      </c>
      <c r="K780" s="151">
        <v>33.857999999999997</v>
      </c>
      <c r="L780">
        <f>Table13[[#This Row],[Price]]*Table13[[#This Row],[Units]]</f>
        <v>1254</v>
      </c>
    </row>
    <row r="781" spans="1:12" x14ac:dyDescent="0.35">
      <c r="A781" s="145">
        <v>45686</v>
      </c>
      <c r="B781" s="146" t="s">
        <v>1285</v>
      </c>
      <c r="C781" s="147" t="s">
        <v>489</v>
      </c>
      <c r="D781" s="147" t="s">
        <v>470</v>
      </c>
      <c r="E781" s="147" t="s">
        <v>390</v>
      </c>
      <c r="F781" s="147" t="s">
        <v>539</v>
      </c>
      <c r="G781" s="147">
        <v>34</v>
      </c>
      <c r="H781" s="148">
        <v>49</v>
      </c>
      <c r="I781" s="149">
        <f t="shared" si="12"/>
        <v>1666</v>
      </c>
      <c r="J781" s="150" t="s">
        <v>466</v>
      </c>
      <c r="K781" s="151">
        <v>43.316000000000003</v>
      </c>
      <c r="L781">
        <f>Table13[[#This Row],[Price]]*Table13[[#This Row],[Units]]</f>
        <v>1666</v>
      </c>
    </row>
    <row r="782" spans="1:12" x14ac:dyDescent="0.35">
      <c r="A782" s="145">
        <v>45686</v>
      </c>
      <c r="B782" s="146" t="s">
        <v>1286</v>
      </c>
      <c r="C782" s="147" t="s">
        <v>494</v>
      </c>
      <c r="D782" s="147" t="s">
        <v>519</v>
      </c>
      <c r="E782" s="147" t="s">
        <v>333</v>
      </c>
      <c r="F782" s="147" t="s">
        <v>539</v>
      </c>
      <c r="G782" s="147">
        <v>37</v>
      </c>
      <c r="H782" s="148">
        <v>21</v>
      </c>
      <c r="I782" s="149">
        <f t="shared" si="12"/>
        <v>777</v>
      </c>
      <c r="J782" s="150" t="s">
        <v>466</v>
      </c>
      <c r="K782" s="151">
        <v>16.317</v>
      </c>
      <c r="L782">
        <f>Table13[[#This Row],[Price]]*Table13[[#This Row],[Units]]</f>
        <v>777</v>
      </c>
    </row>
    <row r="783" spans="1:12" x14ac:dyDescent="0.35">
      <c r="A783" s="145">
        <v>45686</v>
      </c>
      <c r="B783" s="146" t="s">
        <v>1287</v>
      </c>
      <c r="C783" s="147" t="s">
        <v>469</v>
      </c>
      <c r="D783" s="147" t="s">
        <v>519</v>
      </c>
      <c r="E783" s="147" t="s">
        <v>315</v>
      </c>
      <c r="F783" s="147" t="s">
        <v>517</v>
      </c>
      <c r="G783" s="147">
        <v>28</v>
      </c>
      <c r="H783" s="148">
        <v>24</v>
      </c>
      <c r="I783" s="149">
        <f t="shared" si="12"/>
        <v>672</v>
      </c>
      <c r="J783" s="150" t="s">
        <v>503</v>
      </c>
      <c r="K783" s="151">
        <v>19.488</v>
      </c>
      <c r="L783">
        <f>Table13[[#This Row],[Price]]*Table13[[#This Row],[Units]]</f>
        <v>672</v>
      </c>
    </row>
    <row r="784" spans="1:12" x14ac:dyDescent="0.35">
      <c r="A784" s="145">
        <v>45686</v>
      </c>
      <c r="B784" s="146" t="s">
        <v>1288</v>
      </c>
      <c r="C784" s="147" t="s">
        <v>464</v>
      </c>
      <c r="D784" s="147" t="s">
        <v>470</v>
      </c>
      <c r="E784" s="147" t="s">
        <v>324</v>
      </c>
      <c r="F784" s="147" t="s">
        <v>513</v>
      </c>
      <c r="G784" s="147">
        <v>51</v>
      </c>
      <c r="H784" s="148">
        <v>41</v>
      </c>
      <c r="I784" s="149">
        <f t="shared" si="12"/>
        <v>2091</v>
      </c>
      <c r="J784" s="150" t="s">
        <v>466</v>
      </c>
      <c r="K784" s="151">
        <v>52.274999999999999</v>
      </c>
      <c r="L784">
        <f>Table13[[#This Row],[Price]]*Table13[[#This Row],[Units]]</f>
        <v>2091</v>
      </c>
    </row>
    <row r="785" spans="1:12" x14ac:dyDescent="0.35">
      <c r="A785" s="145">
        <v>45686</v>
      </c>
      <c r="B785" s="146" t="s">
        <v>1289</v>
      </c>
      <c r="C785" s="147" t="s">
        <v>492</v>
      </c>
      <c r="D785" s="147" t="s">
        <v>512</v>
      </c>
      <c r="E785" s="147" t="s">
        <v>390</v>
      </c>
      <c r="F785" s="147" t="s">
        <v>520</v>
      </c>
      <c r="G785" s="147">
        <v>25</v>
      </c>
      <c r="H785" s="148">
        <v>46</v>
      </c>
      <c r="I785" s="149">
        <f t="shared" si="12"/>
        <v>1150</v>
      </c>
      <c r="J785" s="150" t="s">
        <v>515</v>
      </c>
      <c r="K785" s="151">
        <v>27.6</v>
      </c>
      <c r="L785">
        <f>Table13[[#This Row],[Price]]*Table13[[#This Row],[Units]]</f>
        <v>1150</v>
      </c>
    </row>
    <row r="786" spans="1:12" x14ac:dyDescent="0.35">
      <c r="A786" s="145">
        <v>45686</v>
      </c>
      <c r="B786" s="146" t="s">
        <v>1290</v>
      </c>
      <c r="C786" s="147" t="s">
        <v>464</v>
      </c>
      <c r="D786" s="147" t="s">
        <v>470</v>
      </c>
      <c r="E786" s="147" t="s">
        <v>333</v>
      </c>
      <c r="F786" s="147" t="s">
        <v>487</v>
      </c>
      <c r="G786" s="147">
        <v>18</v>
      </c>
      <c r="H786" s="148">
        <v>21</v>
      </c>
      <c r="I786" s="149">
        <f t="shared" si="12"/>
        <v>378</v>
      </c>
      <c r="J786" s="150" t="s">
        <v>466</v>
      </c>
      <c r="K786" s="151">
        <v>10.962</v>
      </c>
      <c r="L786">
        <f>Table13[[#This Row],[Price]]*Table13[[#This Row],[Units]]</f>
        <v>378</v>
      </c>
    </row>
    <row r="787" spans="1:12" x14ac:dyDescent="0.35">
      <c r="A787" s="145">
        <v>45686</v>
      </c>
      <c r="B787" s="146" t="s">
        <v>1291</v>
      </c>
      <c r="C787" s="147" t="s">
        <v>492</v>
      </c>
      <c r="D787" s="147" t="s">
        <v>490</v>
      </c>
      <c r="E787" s="147" t="s">
        <v>483</v>
      </c>
      <c r="F787" s="147" t="s">
        <v>567</v>
      </c>
      <c r="G787" s="147">
        <v>10</v>
      </c>
      <c r="H787" s="148">
        <v>49</v>
      </c>
      <c r="I787" s="149">
        <f t="shared" si="12"/>
        <v>490</v>
      </c>
      <c r="J787" s="150" t="s">
        <v>472</v>
      </c>
      <c r="K787" s="151">
        <v>13.72</v>
      </c>
      <c r="L787">
        <f>Table13[[#This Row],[Price]]*Table13[[#This Row],[Units]]</f>
        <v>490</v>
      </c>
    </row>
    <row r="788" spans="1:12" x14ac:dyDescent="0.35">
      <c r="A788" s="145">
        <v>45686</v>
      </c>
      <c r="B788" s="146" t="s">
        <v>1292</v>
      </c>
      <c r="C788" s="147" t="s">
        <v>464</v>
      </c>
      <c r="D788" s="147" t="s">
        <v>470</v>
      </c>
      <c r="E788" s="147" t="s">
        <v>483</v>
      </c>
      <c r="F788" s="147" t="s">
        <v>454</v>
      </c>
      <c r="G788" s="147">
        <v>50</v>
      </c>
      <c r="H788" s="148">
        <v>50</v>
      </c>
      <c r="I788" s="149">
        <f t="shared" si="12"/>
        <v>2500</v>
      </c>
      <c r="J788" s="150" t="s">
        <v>472</v>
      </c>
      <c r="K788" s="151">
        <v>65</v>
      </c>
      <c r="L788">
        <f>Table13[[#This Row],[Price]]*Table13[[#This Row],[Units]]</f>
        <v>2500</v>
      </c>
    </row>
    <row r="789" spans="1:12" x14ac:dyDescent="0.35">
      <c r="A789" s="145">
        <v>45686</v>
      </c>
      <c r="B789" s="146" t="s">
        <v>1293</v>
      </c>
      <c r="C789" s="147" t="s">
        <v>492</v>
      </c>
      <c r="D789" s="147" t="s">
        <v>490</v>
      </c>
      <c r="E789" s="147" t="s">
        <v>324</v>
      </c>
      <c r="F789" s="147" t="s">
        <v>500</v>
      </c>
      <c r="G789" s="147">
        <v>14</v>
      </c>
      <c r="H789" s="148">
        <v>31</v>
      </c>
      <c r="I789" s="149">
        <f t="shared" si="12"/>
        <v>434</v>
      </c>
      <c r="J789" s="150" t="s">
        <v>472</v>
      </c>
      <c r="K789" s="151">
        <v>11.718</v>
      </c>
      <c r="L789">
        <f>Table13[[#This Row],[Price]]*Table13[[#This Row],[Units]]</f>
        <v>434</v>
      </c>
    </row>
    <row r="790" spans="1:12" x14ac:dyDescent="0.35">
      <c r="A790" s="145">
        <v>45686</v>
      </c>
      <c r="B790" s="146" t="s">
        <v>1294</v>
      </c>
      <c r="C790" s="147" t="s">
        <v>476</v>
      </c>
      <c r="D790" s="147" t="s">
        <v>470</v>
      </c>
      <c r="E790" s="147" t="s">
        <v>324</v>
      </c>
      <c r="F790" s="147" t="s">
        <v>539</v>
      </c>
      <c r="G790" s="147">
        <v>47</v>
      </c>
      <c r="H790" s="148">
        <v>59</v>
      </c>
      <c r="I790" s="149">
        <f t="shared" si="12"/>
        <v>2773</v>
      </c>
      <c r="J790" s="150" t="s">
        <v>466</v>
      </c>
      <c r="K790" s="151">
        <v>83.19</v>
      </c>
      <c r="L790">
        <f>Table13[[#This Row],[Price]]*Table13[[#This Row],[Units]]</f>
        <v>2773</v>
      </c>
    </row>
    <row r="791" spans="1:12" x14ac:dyDescent="0.35">
      <c r="A791" s="145">
        <v>45686</v>
      </c>
      <c r="B791" s="146" t="s">
        <v>1295</v>
      </c>
      <c r="C791" s="147" t="s">
        <v>501</v>
      </c>
      <c r="D791" s="147" t="s">
        <v>465</v>
      </c>
      <c r="E791" s="147" t="s">
        <v>315</v>
      </c>
      <c r="F791" s="147" t="s">
        <v>478</v>
      </c>
      <c r="G791" s="147">
        <v>16</v>
      </c>
      <c r="H791" s="148">
        <v>39</v>
      </c>
      <c r="I791" s="149">
        <f t="shared" si="12"/>
        <v>624</v>
      </c>
      <c r="J791" s="150" t="s">
        <v>466</v>
      </c>
      <c r="K791" s="151">
        <v>13.728</v>
      </c>
      <c r="L791">
        <f>Table13[[#This Row],[Price]]*Table13[[#This Row],[Units]]</f>
        <v>624</v>
      </c>
    </row>
    <row r="792" spans="1:12" x14ac:dyDescent="0.35">
      <c r="A792" s="145">
        <v>45686</v>
      </c>
      <c r="B792" s="146" t="s">
        <v>1296</v>
      </c>
      <c r="C792" s="147" t="s">
        <v>492</v>
      </c>
      <c r="D792" s="147" t="s">
        <v>519</v>
      </c>
      <c r="E792" s="147" t="s">
        <v>412</v>
      </c>
      <c r="F792" s="147" t="s">
        <v>520</v>
      </c>
      <c r="G792" s="147">
        <v>17</v>
      </c>
      <c r="H792" s="148">
        <v>40</v>
      </c>
      <c r="I792" s="149">
        <f t="shared" si="12"/>
        <v>680</v>
      </c>
      <c r="J792" s="150" t="s">
        <v>472</v>
      </c>
      <c r="K792" s="151">
        <v>19.04</v>
      </c>
      <c r="L792">
        <f>Table13[[#This Row],[Price]]*Table13[[#This Row],[Units]]</f>
        <v>680</v>
      </c>
    </row>
    <row r="793" spans="1:12" x14ac:dyDescent="0.35">
      <c r="A793" s="145">
        <v>45687</v>
      </c>
      <c r="B793" s="146" t="s">
        <v>1297</v>
      </c>
      <c r="C793" s="147" t="s">
        <v>492</v>
      </c>
      <c r="D793" s="147" t="s">
        <v>519</v>
      </c>
      <c r="E793" s="147" t="s">
        <v>483</v>
      </c>
      <c r="F793" s="147" t="s">
        <v>471</v>
      </c>
      <c r="G793" s="147">
        <v>43</v>
      </c>
      <c r="H793" s="148">
        <v>46</v>
      </c>
      <c r="I793" s="149">
        <f t="shared" si="12"/>
        <v>1978</v>
      </c>
      <c r="J793" s="150" t="s">
        <v>515</v>
      </c>
      <c r="K793" s="151">
        <v>41.537999999999997</v>
      </c>
      <c r="L793">
        <f>Table13[[#This Row],[Price]]*Table13[[#This Row],[Units]]</f>
        <v>1978</v>
      </c>
    </row>
    <row r="794" spans="1:12" x14ac:dyDescent="0.35">
      <c r="A794" s="145">
        <v>45687</v>
      </c>
      <c r="B794" s="146" t="s">
        <v>1298</v>
      </c>
      <c r="C794" s="147" t="s">
        <v>489</v>
      </c>
      <c r="D794" s="147" t="s">
        <v>477</v>
      </c>
      <c r="E794" s="147" t="s">
        <v>483</v>
      </c>
      <c r="F794" s="147" t="s">
        <v>454</v>
      </c>
      <c r="G794" s="147">
        <v>15</v>
      </c>
      <c r="H794" s="148">
        <v>60</v>
      </c>
      <c r="I794" s="149">
        <f t="shared" si="12"/>
        <v>900</v>
      </c>
      <c r="J794" s="150" t="s">
        <v>466</v>
      </c>
      <c r="K794" s="151">
        <v>18</v>
      </c>
      <c r="L794">
        <f>Table13[[#This Row],[Price]]*Table13[[#This Row],[Units]]</f>
        <v>900</v>
      </c>
    </row>
    <row r="795" spans="1:12" x14ac:dyDescent="0.35">
      <c r="A795" s="145">
        <v>45687</v>
      </c>
      <c r="B795" s="146" t="s">
        <v>1299</v>
      </c>
      <c r="C795" s="147" t="s">
        <v>501</v>
      </c>
      <c r="D795" s="147" t="s">
        <v>490</v>
      </c>
      <c r="E795" s="147" t="s">
        <v>315</v>
      </c>
      <c r="F795" s="147" t="s">
        <v>454</v>
      </c>
      <c r="G795" s="147">
        <v>17</v>
      </c>
      <c r="H795" s="148">
        <v>42</v>
      </c>
      <c r="I795" s="149">
        <f t="shared" si="12"/>
        <v>714</v>
      </c>
      <c r="J795" s="150" t="s">
        <v>466</v>
      </c>
      <c r="K795" s="151">
        <v>18.564</v>
      </c>
      <c r="L795">
        <f>Table13[[#This Row],[Price]]*Table13[[#This Row],[Units]]</f>
        <v>714</v>
      </c>
    </row>
    <row r="796" spans="1:12" x14ac:dyDescent="0.35">
      <c r="A796" s="145">
        <v>45687</v>
      </c>
      <c r="B796" s="146" t="s">
        <v>1300</v>
      </c>
      <c r="C796" s="147" t="s">
        <v>494</v>
      </c>
      <c r="D796" s="147" t="s">
        <v>465</v>
      </c>
      <c r="E796" s="147" t="s">
        <v>324</v>
      </c>
      <c r="F796" s="147" t="s">
        <v>567</v>
      </c>
      <c r="G796" s="147">
        <v>14</v>
      </c>
      <c r="H796" s="148">
        <v>42</v>
      </c>
      <c r="I796" s="149">
        <f t="shared" si="12"/>
        <v>588</v>
      </c>
      <c r="J796" s="150" t="s">
        <v>466</v>
      </c>
      <c r="K796" s="151">
        <v>15.288</v>
      </c>
      <c r="L796">
        <f>Table13[[#This Row],[Price]]*Table13[[#This Row],[Units]]</f>
        <v>588</v>
      </c>
    </row>
    <row r="797" spans="1:12" x14ac:dyDescent="0.35">
      <c r="A797" s="145">
        <v>45687</v>
      </c>
      <c r="B797" s="146" t="s">
        <v>1301</v>
      </c>
      <c r="C797" s="147" t="s">
        <v>464</v>
      </c>
      <c r="D797" s="147" t="s">
        <v>490</v>
      </c>
      <c r="E797" s="147" t="s">
        <v>320</v>
      </c>
      <c r="F797" s="147" t="s">
        <v>487</v>
      </c>
      <c r="G797" s="147">
        <v>40</v>
      </c>
      <c r="H797" s="148">
        <v>51</v>
      </c>
      <c r="I797" s="149">
        <f t="shared" si="12"/>
        <v>2040</v>
      </c>
      <c r="J797" s="150" t="s">
        <v>472</v>
      </c>
      <c r="K797" s="151">
        <v>42.84</v>
      </c>
      <c r="L797">
        <f>Table13[[#This Row],[Price]]*Table13[[#This Row],[Units]]</f>
        <v>2040</v>
      </c>
    </row>
    <row r="798" spans="1:12" x14ac:dyDescent="0.35">
      <c r="A798" s="145">
        <v>45687</v>
      </c>
      <c r="B798" s="146" t="s">
        <v>1302</v>
      </c>
      <c r="C798" s="147" t="s">
        <v>322</v>
      </c>
      <c r="D798" s="147" t="s">
        <v>477</v>
      </c>
      <c r="E798" s="147" t="s">
        <v>390</v>
      </c>
      <c r="F798" s="147" t="s">
        <v>487</v>
      </c>
      <c r="G798" s="147">
        <v>23</v>
      </c>
      <c r="H798" s="148">
        <v>57</v>
      </c>
      <c r="I798" s="149">
        <f t="shared" si="12"/>
        <v>1311</v>
      </c>
      <c r="J798" s="150" t="s">
        <v>503</v>
      </c>
      <c r="K798" s="151">
        <v>26.22</v>
      </c>
      <c r="L798">
        <f>Table13[[#This Row],[Price]]*Table13[[#This Row],[Units]]</f>
        <v>1311</v>
      </c>
    </row>
    <row r="799" spans="1:12" x14ac:dyDescent="0.35">
      <c r="A799" s="145">
        <v>45687</v>
      </c>
      <c r="B799" s="146" t="s">
        <v>1303</v>
      </c>
      <c r="C799" s="147" t="s">
        <v>489</v>
      </c>
      <c r="D799" s="147" t="s">
        <v>486</v>
      </c>
      <c r="E799" s="147" t="s">
        <v>483</v>
      </c>
      <c r="F799" s="147" t="s">
        <v>454</v>
      </c>
      <c r="G799" s="147">
        <v>46</v>
      </c>
      <c r="H799" s="148">
        <v>23</v>
      </c>
      <c r="I799" s="149">
        <f t="shared" si="12"/>
        <v>1058</v>
      </c>
      <c r="J799" s="150" t="s">
        <v>472</v>
      </c>
      <c r="K799" s="151">
        <v>30.681999999999999</v>
      </c>
      <c r="L799">
        <f>Table13[[#This Row],[Price]]*Table13[[#This Row],[Units]]</f>
        <v>1058</v>
      </c>
    </row>
    <row r="800" spans="1:12" x14ac:dyDescent="0.35">
      <c r="A800" s="145">
        <v>45687</v>
      </c>
      <c r="B800" s="146" t="s">
        <v>1304</v>
      </c>
      <c r="C800" s="147" t="s">
        <v>501</v>
      </c>
      <c r="D800" s="147" t="s">
        <v>477</v>
      </c>
      <c r="E800" s="147" t="s">
        <v>320</v>
      </c>
      <c r="F800" s="147" t="s">
        <v>539</v>
      </c>
      <c r="G800" s="147">
        <v>30</v>
      </c>
      <c r="H800" s="148">
        <v>46</v>
      </c>
      <c r="I800" s="149">
        <f t="shared" si="12"/>
        <v>1380</v>
      </c>
      <c r="J800" s="150" t="s">
        <v>472</v>
      </c>
      <c r="K800" s="151">
        <v>37.26</v>
      </c>
      <c r="L800">
        <f>Table13[[#This Row],[Price]]*Table13[[#This Row],[Units]]</f>
        <v>1380</v>
      </c>
    </row>
    <row r="801" spans="1:12" x14ac:dyDescent="0.35">
      <c r="A801" s="145">
        <v>45687</v>
      </c>
      <c r="B801" s="146" t="s">
        <v>1305</v>
      </c>
      <c r="C801" s="147" t="s">
        <v>322</v>
      </c>
      <c r="D801" s="147" t="s">
        <v>470</v>
      </c>
      <c r="E801" s="147" t="s">
        <v>412</v>
      </c>
      <c r="F801" s="147" t="s">
        <v>491</v>
      </c>
      <c r="G801" s="147">
        <v>43</v>
      </c>
      <c r="H801" s="148">
        <v>46</v>
      </c>
      <c r="I801" s="149">
        <f t="shared" si="12"/>
        <v>1978</v>
      </c>
      <c r="J801" s="150" t="s">
        <v>466</v>
      </c>
      <c r="K801" s="151">
        <v>51.427999999999997</v>
      </c>
      <c r="L801">
        <f>Table13[[#This Row],[Price]]*Table13[[#This Row],[Units]]</f>
        <v>1978</v>
      </c>
    </row>
    <row r="802" spans="1:12" x14ac:dyDescent="0.35">
      <c r="A802" s="145">
        <v>45687</v>
      </c>
      <c r="B802" s="146" t="s">
        <v>1306</v>
      </c>
      <c r="C802" s="147" t="s">
        <v>464</v>
      </c>
      <c r="D802" s="147" t="s">
        <v>470</v>
      </c>
      <c r="E802" s="147" t="s">
        <v>333</v>
      </c>
      <c r="F802" s="147" t="s">
        <v>513</v>
      </c>
      <c r="G802" s="147">
        <v>27</v>
      </c>
      <c r="H802" s="148">
        <v>25</v>
      </c>
      <c r="I802" s="149">
        <f t="shared" si="12"/>
        <v>675</v>
      </c>
      <c r="J802" s="150" t="s">
        <v>503</v>
      </c>
      <c r="K802" s="151">
        <v>16.875</v>
      </c>
      <c r="L802">
        <f>Table13[[#This Row],[Price]]*Table13[[#This Row],[Units]]</f>
        <v>675</v>
      </c>
    </row>
    <row r="803" spans="1:12" x14ac:dyDescent="0.35">
      <c r="A803" s="145">
        <v>45687</v>
      </c>
      <c r="B803" s="146" t="s">
        <v>1307</v>
      </c>
      <c r="C803" s="147" t="s">
        <v>322</v>
      </c>
      <c r="D803" s="147" t="s">
        <v>470</v>
      </c>
      <c r="E803" s="147" t="s">
        <v>315</v>
      </c>
      <c r="F803" s="147" t="s">
        <v>567</v>
      </c>
      <c r="G803" s="147">
        <v>39</v>
      </c>
      <c r="H803" s="148">
        <v>33</v>
      </c>
      <c r="I803" s="149">
        <f t="shared" si="12"/>
        <v>1287</v>
      </c>
      <c r="J803" s="150" t="s">
        <v>466</v>
      </c>
      <c r="K803" s="151">
        <v>30.888000000000002</v>
      </c>
      <c r="L803">
        <f>Table13[[#This Row],[Price]]*Table13[[#This Row],[Units]]</f>
        <v>1287</v>
      </c>
    </row>
    <row r="804" spans="1:12" x14ac:dyDescent="0.35">
      <c r="A804" s="145">
        <v>45687</v>
      </c>
      <c r="B804" s="146" t="s">
        <v>1308</v>
      </c>
      <c r="C804" s="147" t="s">
        <v>494</v>
      </c>
      <c r="D804" s="147" t="s">
        <v>477</v>
      </c>
      <c r="E804" s="147" t="s">
        <v>315</v>
      </c>
      <c r="F804" s="147" t="s">
        <v>520</v>
      </c>
      <c r="G804" s="147">
        <v>19</v>
      </c>
      <c r="H804" s="148">
        <v>55</v>
      </c>
      <c r="I804" s="149">
        <f t="shared" si="12"/>
        <v>1045</v>
      </c>
      <c r="J804" s="150" t="s">
        <v>515</v>
      </c>
      <c r="K804" s="151">
        <v>27.17</v>
      </c>
      <c r="L804">
        <f>Table13[[#This Row],[Price]]*Table13[[#This Row],[Units]]</f>
        <v>1045</v>
      </c>
    </row>
    <row r="805" spans="1:12" x14ac:dyDescent="0.35">
      <c r="A805" s="145">
        <v>45687</v>
      </c>
      <c r="B805" s="146" t="s">
        <v>1309</v>
      </c>
      <c r="C805" s="147" t="s">
        <v>476</v>
      </c>
      <c r="D805" s="147" t="s">
        <v>470</v>
      </c>
      <c r="E805" s="147" t="s">
        <v>320</v>
      </c>
      <c r="F805" s="147" t="s">
        <v>500</v>
      </c>
      <c r="G805" s="147">
        <v>23</v>
      </c>
      <c r="H805" s="148">
        <v>22</v>
      </c>
      <c r="I805" s="149">
        <f t="shared" si="12"/>
        <v>506</v>
      </c>
      <c r="J805" s="150" t="s">
        <v>503</v>
      </c>
      <c r="K805" s="151">
        <v>11.132</v>
      </c>
      <c r="L805">
        <f>Table13[[#This Row],[Price]]*Table13[[#This Row],[Units]]</f>
        <v>506</v>
      </c>
    </row>
    <row r="806" spans="1:12" x14ac:dyDescent="0.35">
      <c r="A806" s="145">
        <v>45688</v>
      </c>
      <c r="B806" s="146" t="s">
        <v>1310</v>
      </c>
      <c r="C806" s="147" t="s">
        <v>476</v>
      </c>
      <c r="D806" s="147" t="s">
        <v>470</v>
      </c>
      <c r="E806" s="147" t="s">
        <v>390</v>
      </c>
      <c r="F806" s="147" t="s">
        <v>528</v>
      </c>
      <c r="G806" s="147">
        <v>44</v>
      </c>
      <c r="H806" s="148">
        <v>21</v>
      </c>
      <c r="I806" s="149">
        <f t="shared" si="12"/>
        <v>924</v>
      </c>
      <c r="J806" s="150" t="s">
        <v>466</v>
      </c>
      <c r="K806" s="151">
        <v>19.404</v>
      </c>
      <c r="L806">
        <f>Table13[[#This Row],[Price]]*Table13[[#This Row],[Units]]</f>
        <v>924</v>
      </c>
    </row>
    <row r="807" spans="1:12" x14ac:dyDescent="0.35">
      <c r="A807" s="145">
        <v>45688</v>
      </c>
      <c r="B807" s="146" t="s">
        <v>1311</v>
      </c>
      <c r="C807" s="147" t="s">
        <v>469</v>
      </c>
      <c r="D807" s="147" t="s">
        <v>477</v>
      </c>
      <c r="E807" s="147" t="s">
        <v>412</v>
      </c>
      <c r="F807" s="147" t="s">
        <v>487</v>
      </c>
      <c r="G807" s="147">
        <v>29</v>
      </c>
      <c r="H807" s="148">
        <v>33</v>
      </c>
      <c r="I807" s="149">
        <f t="shared" si="12"/>
        <v>957</v>
      </c>
      <c r="J807" s="150" t="s">
        <v>466</v>
      </c>
      <c r="K807" s="151">
        <v>26.795999999999999</v>
      </c>
      <c r="L807">
        <f>Table13[[#This Row],[Price]]*Table13[[#This Row],[Units]]</f>
        <v>957</v>
      </c>
    </row>
    <row r="808" spans="1:12" x14ac:dyDescent="0.35">
      <c r="A808" s="145">
        <v>45688</v>
      </c>
      <c r="B808" s="146" t="s">
        <v>1312</v>
      </c>
      <c r="C808" s="147" t="s">
        <v>464</v>
      </c>
      <c r="D808" s="147" t="s">
        <v>470</v>
      </c>
      <c r="E808" s="147" t="s">
        <v>483</v>
      </c>
      <c r="F808" s="147" t="s">
        <v>513</v>
      </c>
      <c r="G808" s="147">
        <v>53</v>
      </c>
      <c r="H808" s="148">
        <v>35</v>
      </c>
      <c r="I808" s="149">
        <f t="shared" si="12"/>
        <v>1855</v>
      </c>
      <c r="J808" s="150" t="s">
        <v>466</v>
      </c>
      <c r="K808" s="151">
        <v>44.52</v>
      </c>
      <c r="L808">
        <f>Table13[[#This Row],[Price]]*Table13[[#This Row],[Units]]</f>
        <v>1855</v>
      </c>
    </row>
    <row r="809" spans="1:12" x14ac:dyDescent="0.35">
      <c r="A809" s="145">
        <v>45688</v>
      </c>
      <c r="B809" s="146" t="s">
        <v>1313</v>
      </c>
      <c r="C809" s="147" t="s">
        <v>494</v>
      </c>
      <c r="D809" s="147" t="s">
        <v>477</v>
      </c>
      <c r="E809" s="147" t="s">
        <v>320</v>
      </c>
      <c r="F809" s="147" t="s">
        <v>539</v>
      </c>
      <c r="G809" s="147">
        <v>39</v>
      </c>
      <c r="H809" s="148">
        <v>23</v>
      </c>
      <c r="I809" s="149">
        <f t="shared" si="12"/>
        <v>897</v>
      </c>
      <c r="J809" s="150" t="s">
        <v>472</v>
      </c>
      <c r="K809" s="151">
        <v>18.837</v>
      </c>
      <c r="L809">
        <f>Table13[[#This Row],[Price]]*Table13[[#This Row],[Units]]</f>
        <v>897</v>
      </c>
    </row>
    <row r="810" spans="1:12" x14ac:dyDescent="0.35">
      <c r="A810" s="145">
        <v>45688</v>
      </c>
      <c r="B810" s="146" t="s">
        <v>1314</v>
      </c>
      <c r="C810" s="147" t="s">
        <v>494</v>
      </c>
      <c r="D810" s="147" t="s">
        <v>470</v>
      </c>
      <c r="E810" s="147" t="s">
        <v>324</v>
      </c>
      <c r="F810" s="147" t="s">
        <v>505</v>
      </c>
      <c r="G810" s="147">
        <v>49</v>
      </c>
      <c r="H810" s="148">
        <v>37</v>
      </c>
      <c r="I810" s="149">
        <f t="shared" si="12"/>
        <v>1813</v>
      </c>
      <c r="J810" s="150" t="s">
        <v>503</v>
      </c>
      <c r="K810" s="151">
        <v>47.137999999999998</v>
      </c>
      <c r="L810">
        <f>Table13[[#This Row],[Price]]*Table13[[#This Row],[Units]]</f>
        <v>1813</v>
      </c>
    </row>
    <row r="811" spans="1:12" x14ac:dyDescent="0.35">
      <c r="A811" s="145">
        <v>45688</v>
      </c>
      <c r="B811" s="146" t="s">
        <v>1315</v>
      </c>
      <c r="C811" s="147" t="s">
        <v>494</v>
      </c>
      <c r="D811" s="147" t="s">
        <v>465</v>
      </c>
      <c r="E811" s="147" t="s">
        <v>412</v>
      </c>
      <c r="F811" s="147" t="s">
        <v>520</v>
      </c>
      <c r="G811" s="147">
        <v>44</v>
      </c>
      <c r="H811" s="148">
        <v>49</v>
      </c>
      <c r="I811" s="149">
        <f t="shared" si="12"/>
        <v>2156</v>
      </c>
      <c r="J811" s="150" t="s">
        <v>472</v>
      </c>
      <c r="K811" s="151">
        <v>58.212000000000003</v>
      </c>
      <c r="L811">
        <f>Table13[[#This Row],[Price]]*Table13[[#This Row],[Units]]</f>
        <v>2156</v>
      </c>
    </row>
    <row r="812" spans="1:12" x14ac:dyDescent="0.35">
      <c r="A812" s="145">
        <v>45688</v>
      </c>
      <c r="B812" s="146" t="s">
        <v>1316</v>
      </c>
      <c r="C812" s="147" t="s">
        <v>476</v>
      </c>
      <c r="D812" s="147" t="s">
        <v>465</v>
      </c>
      <c r="E812" s="147" t="s">
        <v>390</v>
      </c>
      <c r="F812" s="147" t="s">
        <v>471</v>
      </c>
      <c r="G812" s="147">
        <v>32</v>
      </c>
      <c r="H812" s="148">
        <v>54</v>
      </c>
      <c r="I812" s="149">
        <f t="shared" si="12"/>
        <v>1728</v>
      </c>
      <c r="J812" s="150" t="s">
        <v>472</v>
      </c>
      <c r="K812" s="151">
        <v>38.015999999999998</v>
      </c>
      <c r="L812">
        <f>Table13[[#This Row],[Price]]*Table13[[#This Row],[Units]]</f>
        <v>1728</v>
      </c>
    </row>
    <row r="813" spans="1:12" x14ac:dyDescent="0.35">
      <c r="A813" s="145">
        <v>45688</v>
      </c>
      <c r="B813" s="146" t="s">
        <v>1317</v>
      </c>
      <c r="C813" s="147" t="s">
        <v>489</v>
      </c>
      <c r="D813" s="147" t="s">
        <v>470</v>
      </c>
      <c r="E813" s="147" t="s">
        <v>390</v>
      </c>
      <c r="F813" s="147" t="s">
        <v>513</v>
      </c>
      <c r="G813" s="147">
        <v>21</v>
      </c>
      <c r="H813" s="148">
        <v>39</v>
      </c>
      <c r="I813" s="149">
        <f t="shared" si="12"/>
        <v>819</v>
      </c>
      <c r="J813" s="150" t="s">
        <v>466</v>
      </c>
      <c r="K813" s="151">
        <v>22.931999999999999</v>
      </c>
      <c r="L813">
        <f>Table13[[#This Row],[Price]]*Table13[[#This Row],[Units]]</f>
        <v>819</v>
      </c>
    </row>
    <row r="814" spans="1:12" x14ac:dyDescent="0.35">
      <c r="A814" s="145">
        <v>45688</v>
      </c>
      <c r="B814" s="146" t="s">
        <v>1318</v>
      </c>
      <c r="C814" s="147" t="s">
        <v>494</v>
      </c>
      <c r="D814" s="147" t="s">
        <v>490</v>
      </c>
      <c r="E814" s="147" t="s">
        <v>320</v>
      </c>
      <c r="F814" s="147" t="s">
        <v>539</v>
      </c>
      <c r="G814" s="147">
        <v>48</v>
      </c>
      <c r="H814" s="148">
        <v>43</v>
      </c>
      <c r="I814" s="149">
        <f t="shared" si="12"/>
        <v>2064</v>
      </c>
      <c r="J814" s="150" t="s">
        <v>466</v>
      </c>
      <c r="K814" s="151">
        <v>59.856000000000002</v>
      </c>
      <c r="L814">
        <f>Table13[[#This Row],[Price]]*Table13[[#This Row],[Units]]</f>
        <v>2064</v>
      </c>
    </row>
    <row r="815" spans="1:12" x14ac:dyDescent="0.35">
      <c r="A815" s="145">
        <v>45688</v>
      </c>
      <c r="B815" s="146" t="s">
        <v>1319</v>
      </c>
      <c r="C815" s="147" t="s">
        <v>489</v>
      </c>
      <c r="D815" s="147" t="s">
        <v>470</v>
      </c>
      <c r="E815" s="147" t="s">
        <v>324</v>
      </c>
      <c r="F815" s="147" t="s">
        <v>523</v>
      </c>
      <c r="G815" s="147">
        <v>24</v>
      </c>
      <c r="H815" s="148">
        <v>45</v>
      </c>
      <c r="I815" s="149">
        <f t="shared" si="12"/>
        <v>1080</v>
      </c>
      <c r="J815" s="150" t="s">
        <v>466</v>
      </c>
      <c r="K815" s="151">
        <v>21.6</v>
      </c>
      <c r="L815">
        <f>Table13[[#This Row],[Price]]*Table13[[#This Row],[Units]]</f>
        <v>1080</v>
      </c>
    </row>
    <row r="816" spans="1:12" x14ac:dyDescent="0.35">
      <c r="A816" s="145">
        <v>45688</v>
      </c>
      <c r="B816" s="146" t="s">
        <v>1320</v>
      </c>
      <c r="C816" s="147" t="s">
        <v>494</v>
      </c>
      <c r="D816" s="147" t="s">
        <v>470</v>
      </c>
      <c r="E816" s="147" t="s">
        <v>390</v>
      </c>
      <c r="F816" s="147" t="s">
        <v>539</v>
      </c>
      <c r="G816" s="147">
        <v>12</v>
      </c>
      <c r="H816" s="148">
        <v>55</v>
      </c>
      <c r="I816" s="149">
        <f t="shared" si="12"/>
        <v>660</v>
      </c>
      <c r="J816" s="150" t="s">
        <v>472</v>
      </c>
      <c r="K816" s="151">
        <v>17.82</v>
      </c>
      <c r="L816">
        <f>Table13[[#This Row],[Price]]*Table13[[#This Row],[Units]]</f>
        <v>660</v>
      </c>
    </row>
    <row r="817" spans="1:12" x14ac:dyDescent="0.35">
      <c r="A817" s="145">
        <v>45688</v>
      </c>
      <c r="B817" s="146" t="s">
        <v>1321</v>
      </c>
      <c r="C817" s="147" t="s">
        <v>464</v>
      </c>
      <c r="D817" s="147" t="s">
        <v>465</v>
      </c>
      <c r="E817" s="147" t="s">
        <v>320</v>
      </c>
      <c r="F817" s="147" t="s">
        <v>510</v>
      </c>
      <c r="G817" s="147">
        <v>56</v>
      </c>
      <c r="H817" s="148">
        <v>37</v>
      </c>
      <c r="I817" s="149">
        <f t="shared" si="12"/>
        <v>2072</v>
      </c>
      <c r="J817" s="150" t="s">
        <v>466</v>
      </c>
      <c r="K817" s="151">
        <v>60.088000000000001</v>
      </c>
      <c r="L817">
        <f>Table13[[#This Row],[Price]]*Table13[[#This Row],[Units]]</f>
        <v>2072</v>
      </c>
    </row>
    <row r="818" spans="1:12" x14ac:dyDescent="0.35">
      <c r="A818" s="145">
        <v>45688</v>
      </c>
      <c r="B818" s="146" t="s">
        <v>1322</v>
      </c>
      <c r="C818" s="147" t="s">
        <v>484</v>
      </c>
      <c r="D818" s="147" t="s">
        <v>490</v>
      </c>
      <c r="E818" s="147" t="s">
        <v>315</v>
      </c>
      <c r="F818" s="147" t="s">
        <v>454</v>
      </c>
      <c r="G818" s="147">
        <v>50</v>
      </c>
      <c r="H818" s="148">
        <v>43</v>
      </c>
      <c r="I818" s="149">
        <f t="shared" si="12"/>
        <v>2150</v>
      </c>
      <c r="J818" s="150" t="s">
        <v>466</v>
      </c>
      <c r="K818" s="151">
        <v>53.75</v>
      </c>
      <c r="L818">
        <f>Table13[[#This Row],[Price]]*Table13[[#This Row],[Units]]</f>
        <v>2150</v>
      </c>
    </row>
    <row r="819" spans="1:12" x14ac:dyDescent="0.35">
      <c r="A819" s="145">
        <v>45688</v>
      </c>
      <c r="B819" s="146" t="s">
        <v>1323</v>
      </c>
      <c r="C819" s="147" t="s">
        <v>501</v>
      </c>
      <c r="D819" s="147" t="s">
        <v>486</v>
      </c>
      <c r="E819" s="147" t="s">
        <v>315</v>
      </c>
      <c r="F819" s="147" t="s">
        <v>500</v>
      </c>
      <c r="G819" s="147">
        <v>14</v>
      </c>
      <c r="H819" s="148">
        <v>46</v>
      </c>
      <c r="I819" s="149">
        <f t="shared" si="12"/>
        <v>644</v>
      </c>
      <c r="J819" s="150" t="s">
        <v>466</v>
      </c>
      <c r="K819" s="151">
        <v>14.167999999999999</v>
      </c>
      <c r="L819">
        <f>Table13[[#This Row],[Price]]*Table13[[#This Row],[Units]]</f>
        <v>644</v>
      </c>
    </row>
    <row r="820" spans="1:12" x14ac:dyDescent="0.35">
      <c r="A820" s="145">
        <v>45688</v>
      </c>
      <c r="B820" s="146" t="s">
        <v>1324</v>
      </c>
      <c r="C820" s="147" t="s">
        <v>489</v>
      </c>
      <c r="D820" s="147" t="s">
        <v>470</v>
      </c>
      <c r="E820" s="147" t="s">
        <v>412</v>
      </c>
      <c r="F820" s="147" t="s">
        <v>567</v>
      </c>
      <c r="G820" s="147">
        <v>31</v>
      </c>
      <c r="H820" s="148">
        <v>31</v>
      </c>
      <c r="I820" s="149">
        <f t="shared" si="12"/>
        <v>961</v>
      </c>
      <c r="J820" s="150" t="s">
        <v>503</v>
      </c>
      <c r="K820" s="151">
        <v>25.946999999999999</v>
      </c>
      <c r="L820">
        <f>Table13[[#This Row],[Price]]*Table13[[#This Row],[Units]]</f>
        <v>961</v>
      </c>
    </row>
    <row r="821" spans="1:12" x14ac:dyDescent="0.35">
      <c r="A821" s="145">
        <v>45688</v>
      </c>
      <c r="B821" s="146" t="s">
        <v>1325</v>
      </c>
      <c r="C821" s="147" t="s">
        <v>322</v>
      </c>
      <c r="D821" s="147" t="s">
        <v>512</v>
      </c>
      <c r="E821" s="147" t="s">
        <v>320</v>
      </c>
      <c r="F821" s="147" t="s">
        <v>523</v>
      </c>
      <c r="G821" s="147">
        <v>27</v>
      </c>
      <c r="H821" s="148">
        <v>38</v>
      </c>
      <c r="I821" s="149">
        <f t="shared" si="12"/>
        <v>1026</v>
      </c>
      <c r="J821" s="150" t="s">
        <v>515</v>
      </c>
      <c r="K821" s="151">
        <v>30.78</v>
      </c>
      <c r="L821">
        <f>Table13[[#This Row],[Price]]*Table13[[#This Row],[Units]]</f>
        <v>1026</v>
      </c>
    </row>
    <row r="822" spans="1:12" x14ac:dyDescent="0.35">
      <c r="A822" s="145">
        <v>45689</v>
      </c>
      <c r="B822" s="146" t="s">
        <v>1326</v>
      </c>
      <c r="C822" s="147" t="s">
        <v>322</v>
      </c>
      <c r="D822" s="147" t="s">
        <v>470</v>
      </c>
      <c r="E822" s="147" t="s">
        <v>333</v>
      </c>
      <c r="F822" s="147" t="s">
        <v>471</v>
      </c>
      <c r="G822" s="147">
        <v>54</v>
      </c>
      <c r="H822" s="148">
        <v>59</v>
      </c>
      <c r="I822" s="149">
        <f t="shared" si="12"/>
        <v>3186</v>
      </c>
      <c r="J822" s="150" t="s">
        <v>515</v>
      </c>
      <c r="K822" s="151">
        <v>76.463999999999999</v>
      </c>
      <c r="L822">
        <f>Table13[[#This Row],[Price]]*Table13[[#This Row],[Units]]</f>
        <v>3186</v>
      </c>
    </row>
    <row r="823" spans="1:12" x14ac:dyDescent="0.35">
      <c r="A823" s="145">
        <v>45689</v>
      </c>
      <c r="B823" s="146" t="s">
        <v>1327</v>
      </c>
      <c r="C823" s="147" t="s">
        <v>464</v>
      </c>
      <c r="D823" s="147" t="s">
        <v>512</v>
      </c>
      <c r="E823" s="147" t="s">
        <v>320</v>
      </c>
      <c r="F823" s="147" t="s">
        <v>523</v>
      </c>
      <c r="G823" s="147">
        <v>45</v>
      </c>
      <c r="H823" s="148">
        <v>59</v>
      </c>
      <c r="I823" s="149">
        <f t="shared" si="12"/>
        <v>2655</v>
      </c>
      <c r="J823" s="150" t="s">
        <v>466</v>
      </c>
      <c r="K823" s="151">
        <v>74.34</v>
      </c>
      <c r="L823">
        <f>Table13[[#This Row],[Price]]*Table13[[#This Row],[Units]]</f>
        <v>2655</v>
      </c>
    </row>
    <row r="824" spans="1:12" x14ac:dyDescent="0.35">
      <c r="A824" s="145">
        <v>45689</v>
      </c>
      <c r="B824" s="146" t="s">
        <v>1328</v>
      </c>
      <c r="C824" s="147" t="s">
        <v>476</v>
      </c>
      <c r="D824" s="147" t="s">
        <v>490</v>
      </c>
      <c r="E824" s="147" t="s">
        <v>333</v>
      </c>
      <c r="F824" s="147" t="s">
        <v>497</v>
      </c>
      <c r="G824" s="147">
        <v>53</v>
      </c>
      <c r="H824" s="148">
        <v>34</v>
      </c>
      <c r="I824" s="149">
        <f t="shared" si="12"/>
        <v>1802</v>
      </c>
      <c r="J824" s="150" t="s">
        <v>466</v>
      </c>
      <c r="K824" s="151">
        <v>46.851999999999997</v>
      </c>
      <c r="L824">
        <f>Table13[[#This Row],[Price]]*Table13[[#This Row],[Units]]</f>
        <v>1802</v>
      </c>
    </row>
    <row r="825" spans="1:12" x14ac:dyDescent="0.35">
      <c r="A825" s="145">
        <v>45689</v>
      </c>
      <c r="B825" s="146" t="s">
        <v>1329</v>
      </c>
      <c r="C825" s="147" t="s">
        <v>501</v>
      </c>
      <c r="D825" s="147" t="s">
        <v>477</v>
      </c>
      <c r="E825" s="147" t="s">
        <v>320</v>
      </c>
      <c r="F825" s="147" t="s">
        <v>513</v>
      </c>
      <c r="G825" s="147">
        <v>34</v>
      </c>
      <c r="H825" s="148">
        <v>26</v>
      </c>
      <c r="I825" s="149">
        <f t="shared" si="12"/>
        <v>884</v>
      </c>
      <c r="J825" s="150" t="s">
        <v>466</v>
      </c>
      <c r="K825" s="151">
        <v>25.635999999999999</v>
      </c>
      <c r="L825">
        <f>Table13[[#This Row],[Price]]*Table13[[#This Row],[Units]]</f>
        <v>884</v>
      </c>
    </row>
    <row r="826" spans="1:12" x14ac:dyDescent="0.35">
      <c r="A826" s="145">
        <v>45689</v>
      </c>
      <c r="B826" s="146" t="s">
        <v>1330</v>
      </c>
      <c r="C826" s="147" t="s">
        <v>322</v>
      </c>
      <c r="D826" s="147" t="s">
        <v>477</v>
      </c>
      <c r="E826" s="147" t="s">
        <v>315</v>
      </c>
      <c r="F826" s="147" t="s">
        <v>454</v>
      </c>
      <c r="G826" s="147">
        <v>49</v>
      </c>
      <c r="H826" s="148">
        <v>53</v>
      </c>
      <c r="I826" s="149">
        <f t="shared" si="12"/>
        <v>2597</v>
      </c>
      <c r="J826" s="150" t="s">
        <v>466</v>
      </c>
      <c r="K826" s="151">
        <v>51.94</v>
      </c>
      <c r="L826">
        <f>Table13[[#This Row],[Price]]*Table13[[#This Row],[Units]]</f>
        <v>2597</v>
      </c>
    </row>
    <row r="827" spans="1:12" x14ac:dyDescent="0.35">
      <c r="A827" s="145">
        <v>45689</v>
      </c>
      <c r="B827" s="146" t="s">
        <v>1331</v>
      </c>
      <c r="C827" s="147" t="s">
        <v>484</v>
      </c>
      <c r="D827" s="147" t="s">
        <v>512</v>
      </c>
      <c r="E827" s="147" t="s">
        <v>324</v>
      </c>
      <c r="F827" s="147" t="s">
        <v>513</v>
      </c>
      <c r="G827" s="147">
        <v>46</v>
      </c>
      <c r="H827" s="148">
        <v>42</v>
      </c>
      <c r="I827" s="149">
        <f t="shared" si="12"/>
        <v>1932</v>
      </c>
      <c r="J827" s="150" t="s">
        <v>503</v>
      </c>
      <c r="K827" s="151">
        <v>52.164000000000001</v>
      </c>
      <c r="L827">
        <f>Table13[[#This Row],[Price]]*Table13[[#This Row],[Units]]</f>
        <v>1932</v>
      </c>
    </row>
    <row r="828" spans="1:12" x14ac:dyDescent="0.35">
      <c r="A828" s="145">
        <v>45689</v>
      </c>
      <c r="B828" s="146" t="s">
        <v>1332</v>
      </c>
      <c r="C828" s="147" t="s">
        <v>501</v>
      </c>
      <c r="D828" s="147" t="s">
        <v>470</v>
      </c>
      <c r="E828" s="147" t="s">
        <v>483</v>
      </c>
      <c r="F828" s="147" t="s">
        <v>487</v>
      </c>
      <c r="G828" s="147">
        <v>51</v>
      </c>
      <c r="H828" s="148">
        <v>53</v>
      </c>
      <c r="I828" s="149">
        <f t="shared" si="12"/>
        <v>2703</v>
      </c>
      <c r="J828" s="150" t="s">
        <v>503</v>
      </c>
      <c r="K828" s="151">
        <v>67.575000000000003</v>
      </c>
      <c r="L828">
        <f>Table13[[#This Row],[Price]]*Table13[[#This Row],[Units]]</f>
        <v>2703</v>
      </c>
    </row>
    <row r="829" spans="1:12" x14ac:dyDescent="0.35">
      <c r="A829" s="145">
        <v>45689</v>
      </c>
      <c r="B829" s="146" t="s">
        <v>1333</v>
      </c>
      <c r="C829" s="147" t="s">
        <v>489</v>
      </c>
      <c r="D829" s="147" t="s">
        <v>490</v>
      </c>
      <c r="E829" s="147" t="s">
        <v>324</v>
      </c>
      <c r="F829" s="147" t="s">
        <v>471</v>
      </c>
      <c r="G829" s="147">
        <v>60</v>
      </c>
      <c r="H829" s="148">
        <v>57</v>
      </c>
      <c r="I829" s="149">
        <f t="shared" si="12"/>
        <v>3420</v>
      </c>
      <c r="J829" s="150" t="s">
        <v>472</v>
      </c>
      <c r="K829" s="151">
        <v>102.6</v>
      </c>
      <c r="L829">
        <f>Table13[[#This Row],[Price]]*Table13[[#This Row],[Units]]</f>
        <v>3420</v>
      </c>
    </row>
    <row r="830" spans="1:12" x14ac:dyDescent="0.35">
      <c r="A830" s="145">
        <v>45689</v>
      </c>
      <c r="B830" s="146" t="s">
        <v>1334</v>
      </c>
      <c r="C830" s="147" t="s">
        <v>464</v>
      </c>
      <c r="D830" s="147" t="s">
        <v>486</v>
      </c>
      <c r="E830" s="147" t="s">
        <v>412</v>
      </c>
      <c r="F830" s="147" t="s">
        <v>523</v>
      </c>
      <c r="G830" s="147">
        <v>54</v>
      </c>
      <c r="H830" s="148">
        <v>34</v>
      </c>
      <c r="I830" s="149">
        <f t="shared" si="12"/>
        <v>1836</v>
      </c>
      <c r="J830" s="150" t="s">
        <v>503</v>
      </c>
      <c r="K830" s="151">
        <v>55.08</v>
      </c>
      <c r="L830">
        <f>Table13[[#This Row],[Price]]*Table13[[#This Row],[Units]]</f>
        <v>1836</v>
      </c>
    </row>
    <row r="831" spans="1:12" x14ac:dyDescent="0.35">
      <c r="A831" s="145">
        <v>45689</v>
      </c>
      <c r="B831" s="146" t="s">
        <v>1335</v>
      </c>
      <c r="C831" s="147" t="s">
        <v>322</v>
      </c>
      <c r="D831" s="147" t="s">
        <v>519</v>
      </c>
      <c r="E831" s="147" t="s">
        <v>315</v>
      </c>
      <c r="F831" s="147" t="s">
        <v>517</v>
      </c>
      <c r="G831" s="147">
        <v>55</v>
      </c>
      <c r="H831" s="148">
        <v>35</v>
      </c>
      <c r="I831" s="149">
        <f t="shared" si="12"/>
        <v>1925</v>
      </c>
      <c r="J831" s="150" t="s">
        <v>472</v>
      </c>
      <c r="K831" s="151">
        <v>42.35</v>
      </c>
      <c r="L831">
        <f>Table13[[#This Row],[Price]]*Table13[[#This Row],[Units]]</f>
        <v>1925</v>
      </c>
    </row>
    <row r="832" spans="1:12" x14ac:dyDescent="0.35">
      <c r="A832" s="145">
        <v>45689</v>
      </c>
      <c r="B832" s="146" t="s">
        <v>1336</v>
      </c>
      <c r="C832" s="147" t="s">
        <v>494</v>
      </c>
      <c r="D832" s="147" t="s">
        <v>470</v>
      </c>
      <c r="E832" s="147" t="s">
        <v>315</v>
      </c>
      <c r="F832" s="147" t="s">
        <v>454</v>
      </c>
      <c r="G832" s="147">
        <v>20</v>
      </c>
      <c r="H832" s="148">
        <v>42</v>
      </c>
      <c r="I832" s="149">
        <f t="shared" si="12"/>
        <v>840</v>
      </c>
      <c r="J832" s="150" t="s">
        <v>472</v>
      </c>
      <c r="K832" s="151">
        <v>20.16</v>
      </c>
      <c r="L832">
        <f>Table13[[#This Row],[Price]]*Table13[[#This Row],[Units]]</f>
        <v>840</v>
      </c>
    </row>
    <row r="833" spans="1:12" x14ac:dyDescent="0.35">
      <c r="A833" s="145">
        <v>45689</v>
      </c>
      <c r="B833" s="146" t="s">
        <v>1337</v>
      </c>
      <c r="C833" s="147" t="s">
        <v>494</v>
      </c>
      <c r="D833" s="147" t="s">
        <v>519</v>
      </c>
      <c r="E833" s="147" t="s">
        <v>320</v>
      </c>
      <c r="F833" s="147" t="s">
        <v>520</v>
      </c>
      <c r="G833" s="147">
        <v>45</v>
      </c>
      <c r="H833" s="148">
        <v>25</v>
      </c>
      <c r="I833" s="149">
        <f t="shared" si="12"/>
        <v>1125</v>
      </c>
      <c r="J833" s="150" t="s">
        <v>472</v>
      </c>
      <c r="K833" s="151">
        <v>27</v>
      </c>
      <c r="L833">
        <f>Table13[[#This Row],[Price]]*Table13[[#This Row],[Units]]</f>
        <v>1125</v>
      </c>
    </row>
    <row r="834" spans="1:12" x14ac:dyDescent="0.35">
      <c r="A834" s="145">
        <v>45689</v>
      </c>
      <c r="B834" s="146" t="s">
        <v>1338</v>
      </c>
      <c r="C834" s="147" t="s">
        <v>476</v>
      </c>
      <c r="D834" s="147" t="s">
        <v>477</v>
      </c>
      <c r="E834" s="147" t="s">
        <v>320</v>
      </c>
      <c r="F834" s="147" t="s">
        <v>471</v>
      </c>
      <c r="G834" s="147">
        <v>11</v>
      </c>
      <c r="H834" s="148">
        <v>25</v>
      </c>
      <c r="I834" s="149">
        <f t="shared" si="12"/>
        <v>275</v>
      </c>
      <c r="J834" s="150" t="s">
        <v>466</v>
      </c>
      <c r="K834" s="151">
        <v>8.25</v>
      </c>
      <c r="L834">
        <f>Table13[[#This Row],[Price]]*Table13[[#This Row],[Units]]</f>
        <v>275</v>
      </c>
    </row>
    <row r="835" spans="1:12" x14ac:dyDescent="0.35">
      <c r="A835" s="145">
        <v>45689</v>
      </c>
      <c r="B835" s="146" t="s">
        <v>1339</v>
      </c>
      <c r="C835" s="147" t="s">
        <v>464</v>
      </c>
      <c r="D835" s="147" t="s">
        <v>490</v>
      </c>
      <c r="E835" s="147" t="s">
        <v>320</v>
      </c>
      <c r="F835" s="147" t="s">
        <v>510</v>
      </c>
      <c r="G835" s="147">
        <v>36</v>
      </c>
      <c r="H835" s="148">
        <v>33</v>
      </c>
      <c r="I835" s="149">
        <f t="shared" ref="I835:I898" si="13">G835*H835</f>
        <v>1188</v>
      </c>
      <c r="J835" s="150" t="s">
        <v>472</v>
      </c>
      <c r="K835" s="151">
        <v>34.451999999999998</v>
      </c>
      <c r="L835">
        <f>Table13[[#This Row],[Price]]*Table13[[#This Row],[Units]]</f>
        <v>1188</v>
      </c>
    </row>
    <row r="836" spans="1:12" x14ac:dyDescent="0.35">
      <c r="A836" s="145">
        <v>45689</v>
      </c>
      <c r="B836" s="146" t="s">
        <v>1340</v>
      </c>
      <c r="C836" s="147" t="s">
        <v>322</v>
      </c>
      <c r="D836" s="147" t="s">
        <v>470</v>
      </c>
      <c r="E836" s="147" t="s">
        <v>324</v>
      </c>
      <c r="F836" s="147" t="s">
        <v>523</v>
      </c>
      <c r="G836" s="147">
        <v>23</v>
      </c>
      <c r="H836" s="148">
        <v>38</v>
      </c>
      <c r="I836" s="149">
        <f t="shared" si="13"/>
        <v>874</v>
      </c>
      <c r="J836" s="150" t="s">
        <v>472</v>
      </c>
      <c r="K836" s="151">
        <v>26.22</v>
      </c>
      <c r="L836">
        <f>Table13[[#This Row],[Price]]*Table13[[#This Row],[Units]]</f>
        <v>874</v>
      </c>
    </row>
    <row r="837" spans="1:12" x14ac:dyDescent="0.35">
      <c r="A837" s="145">
        <v>45689</v>
      </c>
      <c r="B837" s="146" t="s">
        <v>1341</v>
      </c>
      <c r="C837" s="147" t="s">
        <v>322</v>
      </c>
      <c r="D837" s="147" t="s">
        <v>512</v>
      </c>
      <c r="E837" s="147" t="s">
        <v>315</v>
      </c>
      <c r="F837" s="147" t="s">
        <v>500</v>
      </c>
      <c r="G837" s="147">
        <v>14</v>
      </c>
      <c r="H837" s="148">
        <v>26</v>
      </c>
      <c r="I837" s="149">
        <f t="shared" si="13"/>
        <v>364</v>
      </c>
      <c r="J837" s="150" t="s">
        <v>466</v>
      </c>
      <c r="K837" s="151">
        <v>7.6440000000000001</v>
      </c>
      <c r="L837">
        <f>Table13[[#This Row],[Price]]*Table13[[#This Row],[Units]]</f>
        <v>364</v>
      </c>
    </row>
    <row r="838" spans="1:12" x14ac:dyDescent="0.35">
      <c r="A838" s="145">
        <v>45689</v>
      </c>
      <c r="B838" s="146" t="s">
        <v>1342</v>
      </c>
      <c r="C838" s="147" t="s">
        <v>492</v>
      </c>
      <c r="D838" s="147" t="s">
        <v>490</v>
      </c>
      <c r="E838" s="147" t="s">
        <v>390</v>
      </c>
      <c r="F838" s="147" t="s">
        <v>471</v>
      </c>
      <c r="G838" s="147">
        <v>36</v>
      </c>
      <c r="H838" s="148">
        <v>57</v>
      </c>
      <c r="I838" s="149">
        <f t="shared" si="13"/>
        <v>2052</v>
      </c>
      <c r="J838" s="150" t="s">
        <v>515</v>
      </c>
      <c r="K838" s="151">
        <v>61.56</v>
      </c>
      <c r="L838">
        <f>Table13[[#This Row],[Price]]*Table13[[#This Row],[Units]]</f>
        <v>2052</v>
      </c>
    </row>
    <row r="839" spans="1:12" x14ac:dyDescent="0.35">
      <c r="A839" s="145">
        <v>45690</v>
      </c>
      <c r="B839" s="146" t="s">
        <v>1343</v>
      </c>
      <c r="C839" s="147" t="s">
        <v>476</v>
      </c>
      <c r="D839" s="147" t="s">
        <v>477</v>
      </c>
      <c r="E839" s="147" t="s">
        <v>320</v>
      </c>
      <c r="F839" s="147" t="s">
        <v>517</v>
      </c>
      <c r="G839" s="147">
        <v>16</v>
      </c>
      <c r="H839" s="148">
        <v>30</v>
      </c>
      <c r="I839" s="149">
        <f t="shared" si="13"/>
        <v>480</v>
      </c>
      <c r="J839" s="150" t="s">
        <v>466</v>
      </c>
      <c r="K839" s="151">
        <v>11.52</v>
      </c>
      <c r="L839">
        <f>Table13[[#This Row],[Price]]*Table13[[#This Row],[Units]]</f>
        <v>480</v>
      </c>
    </row>
    <row r="840" spans="1:12" x14ac:dyDescent="0.35">
      <c r="A840" s="145">
        <v>45690</v>
      </c>
      <c r="B840" s="146" t="s">
        <v>1344</v>
      </c>
      <c r="C840" s="147" t="s">
        <v>322</v>
      </c>
      <c r="D840" s="147" t="s">
        <v>477</v>
      </c>
      <c r="E840" s="147" t="s">
        <v>390</v>
      </c>
      <c r="F840" s="147" t="s">
        <v>487</v>
      </c>
      <c r="G840" s="147">
        <v>33</v>
      </c>
      <c r="H840" s="148">
        <v>21</v>
      </c>
      <c r="I840" s="149">
        <f t="shared" si="13"/>
        <v>693</v>
      </c>
      <c r="J840" s="150" t="s">
        <v>472</v>
      </c>
      <c r="K840" s="151">
        <v>14.553000000000001</v>
      </c>
      <c r="L840">
        <f>Table13[[#This Row],[Price]]*Table13[[#This Row],[Units]]</f>
        <v>693</v>
      </c>
    </row>
    <row r="841" spans="1:12" x14ac:dyDescent="0.35">
      <c r="A841" s="145">
        <v>45690</v>
      </c>
      <c r="B841" s="146" t="s">
        <v>1345</v>
      </c>
      <c r="C841" s="147" t="s">
        <v>501</v>
      </c>
      <c r="D841" s="147" t="s">
        <v>470</v>
      </c>
      <c r="E841" s="147" t="s">
        <v>390</v>
      </c>
      <c r="F841" s="147" t="s">
        <v>520</v>
      </c>
      <c r="G841" s="147">
        <v>19</v>
      </c>
      <c r="H841" s="148">
        <v>48</v>
      </c>
      <c r="I841" s="149">
        <f t="shared" si="13"/>
        <v>912</v>
      </c>
      <c r="J841" s="150" t="s">
        <v>466</v>
      </c>
      <c r="K841" s="151">
        <v>22.8</v>
      </c>
      <c r="L841">
        <f>Table13[[#This Row],[Price]]*Table13[[#This Row],[Units]]</f>
        <v>912</v>
      </c>
    </row>
    <row r="842" spans="1:12" x14ac:dyDescent="0.35">
      <c r="A842" s="145">
        <v>45691</v>
      </c>
      <c r="B842" s="146" t="s">
        <v>1346</v>
      </c>
      <c r="C842" s="147" t="s">
        <v>464</v>
      </c>
      <c r="D842" s="147" t="s">
        <v>470</v>
      </c>
      <c r="E842" s="147" t="s">
        <v>315</v>
      </c>
      <c r="F842" s="147" t="s">
        <v>471</v>
      </c>
      <c r="G842" s="147">
        <v>29</v>
      </c>
      <c r="H842" s="148">
        <v>57</v>
      </c>
      <c r="I842" s="149">
        <f t="shared" si="13"/>
        <v>1653</v>
      </c>
      <c r="J842" s="150" t="s">
        <v>466</v>
      </c>
      <c r="K842" s="151">
        <v>38.018999999999998</v>
      </c>
      <c r="L842">
        <f>Table13[[#This Row],[Price]]*Table13[[#This Row],[Units]]</f>
        <v>1653</v>
      </c>
    </row>
    <row r="843" spans="1:12" x14ac:dyDescent="0.35">
      <c r="A843" s="145">
        <v>45691</v>
      </c>
      <c r="B843" s="146" t="s">
        <v>1347</v>
      </c>
      <c r="C843" s="147" t="s">
        <v>322</v>
      </c>
      <c r="D843" s="147" t="s">
        <v>465</v>
      </c>
      <c r="E843" s="147" t="s">
        <v>483</v>
      </c>
      <c r="F843" s="147" t="s">
        <v>567</v>
      </c>
      <c r="G843" s="147">
        <v>56</v>
      </c>
      <c r="H843" s="148">
        <v>45</v>
      </c>
      <c r="I843" s="149">
        <f t="shared" si="13"/>
        <v>2520</v>
      </c>
      <c r="J843" s="150" t="s">
        <v>466</v>
      </c>
      <c r="K843" s="151">
        <v>63</v>
      </c>
      <c r="L843">
        <f>Table13[[#This Row],[Price]]*Table13[[#This Row],[Units]]</f>
        <v>2520</v>
      </c>
    </row>
    <row r="844" spans="1:12" x14ac:dyDescent="0.35">
      <c r="A844" s="145">
        <v>45691</v>
      </c>
      <c r="B844" s="146" t="s">
        <v>1348</v>
      </c>
      <c r="C844" s="147" t="s">
        <v>476</v>
      </c>
      <c r="D844" s="147" t="s">
        <v>477</v>
      </c>
      <c r="E844" s="147" t="s">
        <v>483</v>
      </c>
      <c r="F844" s="147" t="s">
        <v>536</v>
      </c>
      <c r="G844" s="147">
        <v>48</v>
      </c>
      <c r="H844" s="148">
        <v>43</v>
      </c>
      <c r="I844" s="149">
        <f t="shared" si="13"/>
        <v>2064</v>
      </c>
      <c r="J844" s="150" t="s">
        <v>515</v>
      </c>
      <c r="K844" s="151">
        <v>55.728000000000002</v>
      </c>
      <c r="L844">
        <f>Table13[[#This Row],[Price]]*Table13[[#This Row],[Units]]</f>
        <v>2064</v>
      </c>
    </row>
    <row r="845" spans="1:12" x14ac:dyDescent="0.35">
      <c r="A845" s="145">
        <v>45691</v>
      </c>
      <c r="B845" s="146" t="s">
        <v>1349</v>
      </c>
      <c r="C845" s="147" t="s">
        <v>494</v>
      </c>
      <c r="D845" s="147" t="s">
        <v>470</v>
      </c>
      <c r="E845" s="147" t="s">
        <v>324</v>
      </c>
      <c r="F845" s="147" t="s">
        <v>497</v>
      </c>
      <c r="G845" s="147">
        <v>37</v>
      </c>
      <c r="H845" s="148">
        <v>32</v>
      </c>
      <c r="I845" s="149">
        <f t="shared" si="13"/>
        <v>1184</v>
      </c>
      <c r="J845" s="150" t="s">
        <v>515</v>
      </c>
      <c r="K845" s="151">
        <v>35.520000000000003</v>
      </c>
      <c r="L845">
        <f>Table13[[#This Row],[Price]]*Table13[[#This Row],[Units]]</f>
        <v>1184</v>
      </c>
    </row>
    <row r="846" spans="1:12" x14ac:dyDescent="0.35">
      <c r="A846" s="145">
        <v>45691</v>
      </c>
      <c r="B846" s="146" t="s">
        <v>1350</v>
      </c>
      <c r="C846" s="147" t="s">
        <v>464</v>
      </c>
      <c r="D846" s="147" t="s">
        <v>470</v>
      </c>
      <c r="E846" s="147" t="s">
        <v>320</v>
      </c>
      <c r="F846" s="147" t="s">
        <v>513</v>
      </c>
      <c r="G846" s="147">
        <v>10</v>
      </c>
      <c r="H846" s="148">
        <v>22</v>
      </c>
      <c r="I846" s="149">
        <f t="shared" si="13"/>
        <v>220</v>
      </c>
      <c r="J846" s="150" t="s">
        <v>466</v>
      </c>
      <c r="K846" s="151">
        <v>6.6</v>
      </c>
      <c r="L846">
        <f>Table13[[#This Row],[Price]]*Table13[[#This Row],[Units]]</f>
        <v>220</v>
      </c>
    </row>
    <row r="847" spans="1:12" x14ac:dyDescent="0.35">
      <c r="A847" s="145">
        <v>45691</v>
      </c>
      <c r="B847" s="146" t="s">
        <v>1351</v>
      </c>
      <c r="C847" s="147" t="s">
        <v>489</v>
      </c>
      <c r="D847" s="147" t="s">
        <v>470</v>
      </c>
      <c r="E847" s="147" t="s">
        <v>315</v>
      </c>
      <c r="F847" s="147" t="s">
        <v>454</v>
      </c>
      <c r="G847" s="147">
        <v>54</v>
      </c>
      <c r="H847" s="148">
        <v>52</v>
      </c>
      <c r="I847" s="149">
        <f t="shared" si="13"/>
        <v>2808</v>
      </c>
      <c r="J847" s="150" t="s">
        <v>515</v>
      </c>
      <c r="K847" s="151">
        <v>64.584000000000003</v>
      </c>
      <c r="L847">
        <f>Table13[[#This Row],[Price]]*Table13[[#This Row],[Units]]</f>
        <v>2808</v>
      </c>
    </row>
    <row r="848" spans="1:12" x14ac:dyDescent="0.35">
      <c r="A848" s="145">
        <v>45691</v>
      </c>
      <c r="B848" s="146" t="s">
        <v>1352</v>
      </c>
      <c r="C848" s="147" t="s">
        <v>322</v>
      </c>
      <c r="D848" s="147" t="s">
        <v>519</v>
      </c>
      <c r="E848" s="147" t="s">
        <v>412</v>
      </c>
      <c r="F848" s="147" t="s">
        <v>491</v>
      </c>
      <c r="G848" s="147">
        <v>53</v>
      </c>
      <c r="H848" s="148">
        <v>38</v>
      </c>
      <c r="I848" s="149">
        <f t="shared" si="13"/>
        <v>2014</v>
      </c>
      <c r="J848" s="150" t="s">
        <v>472</v>
      </c>
      <c r="K848" s="151">
        <v>50.35</v>
      </c>
      <c r="L848">
        <f>Table13[[#This Row],[Price]]*Table13[[#This Row],[Units]]</f>
        <v>2014</v>
      </c>
    </row>
    <row r="849" spans="1:12" x14ac:dyDescent="0.35">
      <c r="A849" s="145">
        <v>45691</v>
      </c>
      <c r="B849" s="146" t="s">
        <v>1353</v>
      </c>
      <c r="C849" s="147" t="s">
        <v>322</v>
      </c>
      <c r="D849" s="147" t="s">
        <v>465</v>
      </c>
      <c r="E849" s="147" t="s">
        <v>320</v>
      </c>
      <c r="F849" s="147" t="s">
        <v>487</v>
      </c>
      <c r="G849" s="147">
        <v>55</v>
      </c>
      <c r="H849" s="148">
        <v>24</v>
      </c>
      <c r="I849" s="149">
        <f t="shared" si="13"/>
        <v>1320</v>
      </c>
      <c r="J849" s="150" t="s">
        <v>515</v>
      </c>
      <c r="K849" s="151">
        <v>29.04</v>
      </c>
      <c r="L849">
        <f>Table13[[#This Row],[Price]]*Table13[[#This Row],[Units]]</f>
        <v>1320</v>
      </c>
    </row>
    <row r="850" spans="1:12" x14ac:dyDescent="0.35">
      <c r="A850" s="145">
        <v>45691</v>
      </c>
      <c r="B850" s="146" t="s">
        <v>1354</v>
      </c>
      <c r="C850" s="147" t="s">
        <v>492</v>
      </c>
      <c r="D850" s="147" t="s">
        <v>477</v>
      </c>
      <c r="E850" s="147" t="s">
        <v>412</v>
      </c>
      <c r="F850" s="147" t="s">
        <v>471</v>
      </c>
      <c r="G850" s="147">
        <v>30</v>
      </c>
      <c r="H850" s="148">
        <v>58</v>
      </c>
      <c r="I850" s="149">
        <f t="shared" si="13"/>
        <v>1740</v>
      </c>
      <c r="J850" s="150" t="s">
        <v>515</v>
      </c>
      <c r="K850" s="151">
        <v>48.72</v>
      </c>
      <c r="L850">
        <f>Table13[[#This Row],[Price]]*Table13[[#This Row],[Units]]</f>
        <v>1740</v>
      </c>
    </row>
    <row r="851" spans="1:12" x14ac:dyDescent="0.35">
      <c r="A851" s="145">
        <v>45691</v>
      </c>
      <c r="B851" s="146" t="s">
        <v>1355</v>
      </c>
      <c r="C851" s="147" t="s">
        <v>322</v>
      </c>
      <c r="D851" s="147" t="s">
        <v>470</v>
      </c>
      <c r="E851" s="147" t="s">
        <v>483</v>
      </c>
      <c r="F851" s="147" t="s">
        <v>523</v>
      </c>
      <c r="G851" s="147">
        <v>31</v>
      </c>
      <c r="H851" s="148">
        <v>39</v>
      </c>
      <c r="I851" s="149">
        <f t="shared" si="13"/>
        <v>1209</v>
      </c>
      <c r="J851" s="150" t="s">
        <v>515</v>
      </c>
      <c r="K851" s="151">
        <v>24.18</v>
      </c>
      <c r="L851">
        <f>Table13[[#This Row],[Price]]*Table13[[#This Row],[Units]]</f>
        <v>1209</v>
      </c>
    </row>
    <row r="852" spans="1:12" x14ac:dyDescent="0.35">
      <c r="A852" s="145">
        <v>45691</v>
      </c>
      <c r="B852" s="146" t="s">
        <v>1356</v>
      </c>
      <c r="C852" s="147" t="s">
        <v>492</v>
      </c>
      <c r="D852" s="147" t="s">
        <v>477</v>
      </c>
      <c r="E852" s="147" t="s">
        <v>412</v>
      </c>
      <c r="F852" s="147" t="s">
        <v>536</v>
      </c>
      <c r="G852" s="147">
        <v>35</v>
      </c>
      <c r="H852" s="148">
        <v>40</v>
      </c>
      <c r="I852" s="149">
        <f t="shared" si="13"/>
        <v>1400</v>
      </c>
      <c r="J852" s="150" t="s">
        <v>466</v>
      </c>
      <c r="K852" s="151">
        <v>35</v>
      </c>
      <c r="L852">
        <f>Table13[[#This Row],[Price]]*Table13[[#This Row],[Units]]</f>
        <v>1400</v>
      </c>
    </row>
    <row r="853" spans="1:12" x14ac:dyDescent="0.35">
      <c r="A853" s="145">
        <v>45691</v>
      </c>
      <c r="B853" s="146" t="s">
        <v>1357</v>
      </c>
      <c r="C853" s="147" t="s">
        <v>492</v>
      </c>
      <c r="D853" s="147" t="s">
        <v>512</v>
      </c>
      <c r="E853" s="147" t="s">
        <v>483</v>
      </c>
      <c r="F853" s="147" t="s">
        <v>517</v>
      </c>
      <c r="G853" s="147">
        <v>33</v>
      </c>
      <c r="H853" s="148">
        <v>25</v>
      </c>
      <c r="I853" s="149">
        <f t="shared" si="13"/>
        <v>825</v>
      </c>
      <c r="J853" s="150" t="s">
        <v>503</v>
      </c>
      <c r="K853" s="151">
        <v>22.274999999999999</v>
      </c>
      <c r="L853">
        <f>Table13[[#This Row],[Price]]*Table13[[#This Row],[Units]]</f>
        <v>825</v>
      </c>
    </row>
    <row r="854" spans="1:12" x14ac:dyDescent="0.35">
      <c r="A854" s="145">
        <v>45691</v>
      </c>
      <c r="B854" s="146" t="s">
        <v>1358</v>
      </c>
      <c r="C854" s="147" t="s">
        <v>464</v>
      </c>
      <c r="D854" s="147" t="s">
        <v>470</v>
      </c>
      <c r="E854" s="147" t="s">
        <v>412</v>
      </c>
      <c r="F854" s="147" t="s">
        <v>528</v>
      </c>
      <c r="G854" s="147">
        <v>11</v>
      </c>
      <c r="H854" s="148">
        <v>36</v>
      </c>
      <c r="I854" s="149">
        <f t="shared" si="13"/>
        <v>396</v>
      </c>
      <c r="J854" s="150" t="s">
        <v>472</v>
      </c>
      <c r="K854" s="151">
        <v>11.484</v>
      </c>
      <c r="L854">
        <f>Table13[[#This Row],[Price]]*Table13[[#This Row],[Units]]</f>
        <v>396</v>
      </c>
    </row>
    <row r="855" spans="1:12" x14ac:dyDescent="0.35">
      <c r="A855" s="145">
        <v>45691</v>
      </c>
      <c r="B855" s="146" t="s">
        <v>1359</v>
      </c>
      <c r="C855" s="147" t="s">
        <v>476</v>
      </c>
      <c r="D855" s="147" t="s">
        <v>465</v>
      </c>
      <c r="E855" s="147" t="s">
        <v>320</v>
      </c>
      <c r="F855" s="147" t="s">
        <v>517</v>
      </c>
      <c r="G855" s="147">
        <v>42</v>
      </c>
      <c r="H855" s="148">
        <v>51</v>
      </c>
      <c r="I855" s="149">
        <f t="shared" si="13"/>
        <v>2142</v>
      </c>
      <c r="J855" s="150" t="s">
        <v>503</v>
      </c>
      <c r="K855" s="151">
        <v>51.408000000000001</v>
      </c>
      <c r="L855">
        <f>Table13[[#This Row],[Price]]*Table13[[#This Row],[Units]]</f>
        <v>2142</v>
      </c>
    </row>
    <row r="856" spans="1:12" x14ac:dyDescent="0.35">
      <c r="A856" s="145">
        <v>45692</v>
      </c>
      <c r="B856" s="146" t="s">
        <v>1360</v>
      </c>
      <c r="C856" s="147" t="s">
        <v>489</v>
      </c>
      <c r="D856" s="147" t="s">
        <v>465</v>
      </c>
      <c r="E856" s="147" t="s">
        <v>324</v>
      </c>
      <c r="F856" s="147" t="s">
        <v>523</v>
      </c>
      <c r="G856" s="147">
        <v>14</v>
      </c>
      <c r="H856" s="148">
        <v>22</v>
      </c>
      <c r="I856" s="149">
        <f t="shared" si="13"/>
        <v>308</v>
      </c>
      <c r="J856" s="150" t="s">
        <v>466</v>
      </c>
      <c r="K856" s="151">
        <v>8.9320000000000004</v>
      </c>
      <c r="L856">
        <f>Table13[[#This Row],[Price]]*Table13[[#This Row],[Units]]</f>
        <v>308</v>
      </c>
    </row>
    <row r="857" spans="1:12" x14ac:dyDescent="0.35">
      <c r="A857" s="145">
        <v>45692</v>
      </c>
      <c r="B857" s="146" t="s">
        <v>1361</v>
      </c>
      <c r="C857" s="147" t="s">
        <v>492</v>
      </c>
      <c r="D857" s="147" t="s">
        <v>512</v>
      </c>
      <c r="E857" s="147" t="s">
        <v>324</v>
      </c>
      <c r="F857" s="147" t="s">
        <v>487</v>
      </c>
      <c r="G857" s="147">
        <v>19</v>
      </c>
      <c r="H857" s="148">
        <v>54</v>
      </c>
      <c r="I857" s="149">
        <f t="shared" si="13"/>
        <v>1026</v>
      </c>
      <c r="J857" s="150" t="s">
        <v>503</v>
      </c>
      <c r="K857" s="151">
        <v>27.702000000000002</v>
      </c>
      <c r="L857">
        <f>Table13[[#This Row],[Price]]*Table13[[#This Row],[Units]]</f>
        <v>1026</v>
      </c>
    </row>
    <row r="858" spans="1:12" x14ac:dyDescent="0.35">
      <c r="A858" s="145">
        <v>45692</v>
      </c>
      <c r="B858" s="146" t="s">
        <v>1362</v>
      </c>
      <c r="C858" s="147" t="s">
        <v>484</v>
      </c>
      <c r="D858" s="147" t="s">
        <v>519</v>
      </c>
      <c r="E858" s="147" t="s">
        <v>483</v>
      </c>
      <c r="F858" s="147" t="s">
        <v>513</v>
      </c>
      <c r="G858" s="147">
        <v>22</v>
      </c>
      <c r="H858" s="148">
        <v>55</v>
      </c>
      <c r="I858" s="149">
        <f t="shared" si="13"/>
        <v>1210</v>
      </c>
      <c r="J858" s="150" t="s">
        <v>466</v>
      </c>
      <c r="K858" s="151">
        <v>24.2</v>
      </c>
      <c r="L858">
        <f>Table13[[#This Row],[Price]]*Table13[[#This Row],[Units]]</f>
        <v>1210</v>
      </c>
    </row>
    <row r="859" spans="1:12" x14ac:dyDescent="0.35">
      <c r="A859" s="145">
        <v>45693</v>
      </c>
      <c r="B859" s="146" t="s">
        <v>1363</v>
      </c>
      <c r="C859" s="147" t="s">
        <v>484</v>
      </c>
      <c r="D859" s="147" t="s">
        <v>486</v>
      </c>
      <c r="E859" s="147" t="s">
        <v>333</v>
      </c>
      <c r="F859" s="147" t="s">
        <v>517</v>
      </c>
      <c r="G859" s="147">
        <v>49</v>
      </c>
      <c r="H859" s="148">
        <v>20</v>
      </c>
      <c r="I859" s="149">
        <f t="shared" si="13"/>
        <v>980</v>
      </c>
      <c r="J859" s="150" t="s">
        <v>472</v>
      </c>
      <c r="K859" s="151">
        <v>20.58</v>
      </c>
      <c r="L859">
        <f>Table13[[#This Row],[Price]]*Table13[[#This Row],[Units]]</f>
        <v>980</v>
      </c>
    </row>
    <row r="860" spans="1:12" x14ac:dyDescent="0.35">
      <c r="A860" s="145">
        <v>45693</v>
      </c>
      <c r="B860" s="146" t="s">
        <v>1364</v>
      </c>
      <c r="C860" s="147" t="s">
        <v>492</v>
      </c>
      <c r="D860" s="147" t="s">
        <v>470</v>
      </c>
      <c r="E860" s="147" t="s">
        <v>324</v>
      </c>
      <c r="F860" s="147" t="s">
        <v>491</v>
      </c>
      <c r="G860" s="147">
        <v>54</v>
      </c>
      <c r="H860" s="148">
        <v>23</v>
      </c>
      <c r="I860" s="149">
        <f t="shared" si="13"/>
        <v>1242</v>
      </c>
      <c r="J860" s="150" t="s">
        <v>472</v>
      </c>
      <c r="K860" s="151">
        <v>33.533999999999999</v>
      </c>
      <c r="L860">
        <f>Table13[[#This Row],[Price]]*Table13[[#This Row],[Units]]</f>
        <v>1242</v>
      </c>
    </row>
    <row r="861" spans="1:12" x14ac:dyDescent="0.35">
      <c r="A861" s="145">
        <v>45693</v>
      </c>
      <c r="B861" s="146" t="s">
        <v>1365</v>
      </c>
      <c r="C861" s="147" t="s">
        <v>494</v>
      </c>
      <c r="D861" s="147" t="s">
        <v>465</v>
      </c>
      <c r="E861" s="147" t="s">
        <v>320</v>
      </c>
      <c r="F861" s="147" t="s">
        <v>454</v>
      </c>
      <c r="G861" s="147">
        <v>33</v>
      </c>
      <c r="H861" s="148">
        <v>37</v>
      </c>
      <c r="I861" s="149">
        <f t="shared" si="13"/>
        <v>1221</v>
      </c>
      <c r="J861" s="150" t="s">
        <v>466</v>
      </c>
      <c r="K861" s="151">
        <v>31.745999999999999</v>
      </c>
      <c r="L861">
        <f>Table13[[#This Row],[Price]]*Table13[[#This Row],[Units]]</f>
        <v>1221</v>
      </c>
    </row>
    <row r="862" spans="1:12" x14ac:dyDescent="0.35">
      <c r="A862" s="145">
        <v>45693</v>
      </c>
      <c r="B862" s="146" t="s">
        <v>1366</v>
      </c>
      <c r="C862" s="147" t="s">
        <v>492</v>
      </c>
      <c r="D862" s="147" t="s">
        <v>486</v>
      </c>
      <c r="E862" s="147" t="s">
        <v>333</v>
      </c>
      <c r="F862" s="147" t="s">
        <v>471</v>
      </c>
      <c r="G862" s="147">
        <v>41</v>
      </c>
      <c r="H862" s="148">
        <v>55</v>
      </c>
      <c r="I862" s="149">
        <f t="shared" si="13"/>
        <v>2255</v>
      </c>
      <c r="J862" s="150" t="s">
        <v>515</v>
      </c>
      <c r="K862" s="151">
        <v>56.375</v>
      </c>
      <c r="L862">
        <f>Table13[[#This Row],[Price]]*Table13[[#This Row],[Units]]</f>
        <v>2255</v>
      </c>
    </row>
    <row r="863" spans="1:12" x14ac:dyDescent="0.35">
      <c r="A863" s="145">
        <v>45693</v>
      </c>
      <c r="B863" s="146" t="s">
        <v>1367</v>
      </c>
      <c r="C863" s="147" t="s">
        <v>322</v>
      </c>
      <c r="D863" s="147" t="s">
        <v>477</v>
      </c>
      <c r="E863" s="147" t="s">
        <v>324</v>
      </c>
      <c r="F863" s="147" t="s">
        <v>471</v>
      </c>
      <c r="G863" s="147">
        <v>27</v>
      </c>
      <c r="H863" s="148">
        <v>49</v>
      </c>
      <c r="I863" s="149">
        <f t="shared" si="13"/>
        <v>1323</v>
      </c>
      <c r="J863" s="150" t="s">
        <v>515</v>
      </c>
      <c r="K863" s="151">
        <v>29.106000000000002</v>
      </c>
      <c r="L863">
        <f>Table13[[#This Row],[Price]]*Table13[[#This Row],[Units]]</f>
        <v>1323</v>
      </c>
    </row>
    <row r="864" spans="1:12" x14ac:dyDescent="0.35">
      <c r="A864" s="145">
        <v>45693</v>
      </c>
      <c r="B864" s="146" t="s">
        <v>1368</v>
      </c>
      <c r="C864" s="147" t="s">
        <v>322</v>
      </c>
      <c r="D864" s="147" t="s">
        <v>512</v>
      </c>
      <c r="E864" s="147" t="s">
        <v>483</v>
      </c>
      <c r="F864" s="147" t="s">
        <v>497</v>
      </c>
      <c r="G864" s="147">
        <v>38</v>
      </c>
      <c r="H864" s="148">
        <v>44</v>
      </c>
      <c r="I864" s="149">
        <f t="shared" si="13"/>
        <v>1672</v>
      </c>
      <c r="J864" s="150" t="s">
        <v>503</v>
      </c>
      <c r="K864" s="151">
        <v>48.488</v>
      </c>
      <c r="L864">
        <f>Table13[[#This Row],[Price]]*Table13[[#This Row],[Units]]</f>
        <v>1672</v>
      </c>
    </row>
    <row r="865" spans="1:12" x14ac:dyDescent="0.35">
      <c r="A865" s="145">
        <v>45693</v>
      </c>
      <c r="B865" s="146" t="s">
        <v>1369</v>
      </c>
      <c r="C865" s="147" t="s">
        <v>494</v>
      </c>
      <c r="D865" s="147" t="s">
        <v>477</v>
      </c>
      <c r="E865" s="147" t="s">
        <v>333</v>
      </c>
      <c r="F865" s="147" t="s">
        <v>497</v>
      </c>
      <c r="G865" s="147">
        <v>55</v>
      </c>
      <c r="H865" s="148">
        <v>60</v>
      </c>
      <c r="I865" s="149">
        <f t="shared" si="13"/>
        <v>3300</v>
      </c>
      <c r="J865" s="150" t="s">
        <v>472</v>
      </c>
      <c r="K865" s="151">
        <v>99</v>
      </c>
      <c r="L865">
        <f>Table13[[#This Row],[Price]]*Table13[[#This Row],[Units]]</f>
        <v>3300</v>
      </c>
    </row>
    <row r="866" spans="1:12" x14ac:dyDescent="0.35">
      <c r="A866" s="145">
        <v>45693</v>
      </c>
      <c r="B866" s="146" t="s">
        <v>1370</v>
      </c>
      <c r="C866" s="147" t="s">
        <v>469</v>
      </c>
      <c r="D866" s="147" t="s">
        <v>470</v>
      </c>
      <c r="E866" s="147" t="s">
        <v>333</v>
      </c>
      <c r="F866" s="147" t="s">
        <v>487</v>
      </c>
      <c r="G866" s="147">
        <v>16</v>
      </c>
      <c r="H866" s="148">
        <v>25</v>
      </c>
      <c r="I866" s="149">
        <f t="shared" si="13"/>
        <v>400</v>
      </c>
      <c r="J866" s="150" t="s">
        <v>472</v>
      </c>
      <c r="K866" s="151">
        <v>8.8000000000000007</v>
      </c>
      <c r="L866">
        <f>Table13[[#This Row],[Price]]*Table13[[#This Row],[Units]]</f>
        <v>400</v>
      </c>
    </row>
    <row r="867" spans="1:12" x14ac:dyDescent="0.35">
      <c r="A867" s="145">
        <v>45693</v>
      </c>
      <c r="B867" s="146" t="s">
        <v>1371</v>
      </c>
      <c r="C867" s="147" t="s">
        <v>484</v>
      </c>
      <c r="D867" s="147" t="s">
        <v>486</v>
      </c>
      <c r="E867" s="147" t="s">
        <v>483</v>
      </c>
      <c r="F867" s="147" t="s">
        <v>487</v>
      </c>
      <c r="G867" s="147">
        <v>55</v>
      </c>
      <c r="H867" s="148">
        <v>48</v>
      </c>
      <c r="I867" s="149">
        <f t="shared" si="13"/>
        <v>2640</v>
      </c>
      <c r="J867" s="150" t="s">
        <v>472</v>
      </c>
      <c r="K867" s="151">
        <v>55.44</v>
      </c>
      <c r="L867">
        <f>Table13[[#This Row],[Price]]*Table13[[#This Row],[Units]]</f>
        <v>2640</v>
      </c>
    </row>
    <row r="868" spans="1:12" x14ac:dyDescent="0.35">
      <c r="A868" s="145">
        <v>45693</v>
      </c>
      <c r="B868" s="146" t="s">
        <v>1372</v>
      </c>
      <c r="C868" s="147" t="s">
        <v>489</v>
      </c>
      <c r="D868" s="147" t="s">
        <v>486</v>
      </c>
      <c r="E868" s="147" t="s">
        <v>320</v>
      </c>
      <c r="F868" s="147" t="s">
        <v>491</v>
      </c>
      <c r="G868" s="147">
        <v>23</v>
      </c>
      <c r="H868" s="148">
        <v>43</v>
      </c>
      <c r="I868" s="149">
        <f t="shared" si="13"/>
        <v>989</v>
      </c>
      <c r="J868" s="150" t="s">
        <v>515</v>
      </c>
      <c r="K868" s="151">
        <v>19.78</v>
      </c>
      <c r="L868">
        <f>Table13[[#This Row],[Price]]*Table13[[#This Row],[Units]]</f>
        <v>989</v>
      </c>
    </row>
    <row r="869" spans="1:12" x14ac:dyDescent="0.35">
      <c r="A869" s="145">
        <v>45693</v>
      </c>
      <c r="B869" s="146" t="s">
        <v>1373</v>
      </c>
      <c r="C869" s="147" t="s">
        <v>476</v>
      </c>
      <c r="D869" s="147" t="s">
        <v>465</v>
      </c>
      <c r="E869" s="147" t="s">
        <v>324</v>
      </c>
      <c r="F869" s="147" t="s">
        <v>505</v>
      </c>
      <c r="G869" s="147">
        <v>46</v>
      </c>
      <c r="H869" s="148">
        <v>24</v>
      </c>
      <c r="I869" s="149">
        <f t="shared" si="13"/>
        <v>1104</v>
      </c>
      <c r="J869" s="150" t="s">
        <v>472</v>
      </c>
      <c r="K869" s="151">
        <v>22.08</v>
      </c>
      <c r="L869">
        <f>Table13[[#This Row],[Price]]*Table13[[#This Row],[Units]]</f>
        <v>1104</v>
      </c>
    </row>
    <row r="870" spans="1:12" x14ac:dyDescent="0.35">
      <c r="A870" s="145">
        <v>45693</v>
      </c>
      <c r="B870" s="146" t="s">
        <v>1374</v>
      </c>
      <c r="C870" s="147" t="s">
        <v>494</v>
      </c>
      <c r="D870" s="147" t="s">
        <v>477</v>
      </c>
      <c r="E870" s="147" t="s">
        <v>324</v>
      </c>
      <c r="F870" s="147" t="s">
        <v>520</v>
      </c>
      <c r="G870" s="147">
        <v>29</v>
      </c>
      <c r="H870" s="148">
        <v>47</v>
      </c>
      <c r="I870" s="149">
        <f t="shared" si="13"/>
        <v>1363</v>
      </c>
      <c r="J870" s="150" t="s">
        <v>466</v>
      </c>
      <c r="K870" s="151">
        <v>36.801000000000002</v>
      </c>
      <c r="L870">
        <f>Table13[[#This Row],[Price]]*Table13[[#This Row],[Units]]</f>
        <v>1363</v>
      </c>
    </row>
    <row r="871" spans="1:12" x14ac:dyDescent="0.35">
      <c r="A871" s="145">
        <v>45693</v>
      </c>
      <c r="B871" s="146" t="s">
        <v>1375</v>
      </c>
      <c r="C871" s="147" t="s">
        <v>322</v>
      </c>
      <c r="D871" s="147" t="s">
        <v>477</v>
      </c>
      <c r="E871" s="147" t="s">
        <v>324</v>
      </c>
      <c r="F871" s="147" t="s">
        <v>517</v>
      </c>
      <c r="G871" s="147">
        <v>39</v>
      </c>
      <c r="H871" s="148">
        <v>34</v>
      </c>
      <c r="I871" s="149">
        <f t="shared" si="13"/>
        <v>1326</v>
      </c>
      <c r="J871" s="150" t="s">
        <v>503</v>
      </c>
      <c r="K871" s="151">
        <v>35.802</v>
      </c>
      <c r="L871">
        <f>Table13[[#This Row],[Price]]*Table13[[#This Row],[Units]]</f>
        <v>1326</v>
      </c>
    </row>
    <row r="872" spans="1:12" x14ac:dyDescent="0.35">
      <c r="A872" s="145">
        <v>45694</v>
      </c>
      <c r="B872" s="146" t="s">
        <v>1376</v>
      </c>
      <c r="C872" s="147" t="s">
        <v>489</v>
      </c>
      <c r="D872" s="147" t="s">
        <v>519</v>
      </c>
      <c r="E872" s="147" t="s">
        <v>315</v>
      </c>
      <c r="F872" s="147" t="s">
        <v>505</v>
      </c>
      <c r="G872" s="147">
        <v>21</v>
      </c>
      <c r="H872" s="148">
        <v>53</v>
      </c>
      <c r="I872" s="149">
        <f t="shared" si="13"/>
        <v>1113</v>
      </c>
      <c r="J872" s="150" t="s">
        <v>466</v>
      </c>
      <c r="K872" s="151">
        <v>22.26</v>
      </c>
      <c r="L872">
        <f>Table13[[#This Row],[Price]]*Table13[[#This Row],[Units]]</f>
        <v>1113</v>
      </c>
    </row>
    <row r="873" spans="1:12" x14ac:dyDescent="0.35">
      <c r="A873" s="145">
        <v>45694</v>
      </c>
      <c r="B873" s="146" t="s">
        <v>1377</v>
      </c>
      <c r="C873" s="147" t="s">
        <v>501</v>
      </c>
      <c r="D873" s="147" t="s">
        <v>519</v>
      </c>
      <c r="E873" s="147" t="s">
        <v>412</v>
      </c>
      <c r="F873" s="147" t="s">
        <v>497</v>
      </c>
      <c r="G873" s="147">
        <v>44</v>
      </c>
      <c r="H873" s="148">
        <v>57</v>
      </c>
      <c r="I873" s="149">
        <f t="shared" si="13"/>
        <v>2508</v>
      </c>
      <c r="J873" s="150" t="s">
        <v>466</v>
      </c>
      <c r="K873" s="151">
        <v>52.667999999999999</v>
      </c>
      <c r="L873">
        <f>Table13[[#This Row],[Price]]*Table13[[#This Row],[Units]]</f>
        <v>2508</v>
      </c>
    </row>
    <row r="874" spans="1:12" x14ac:dyDescent="0.35">
      <c r="A874" s="145">
        <v>45694</v>
      </c>
      <c r="B874" s="146" t="s">
        <v>1378</v>
      </c>
      <c r="C874" s="147" t="s">
        <v>484</v>
      </c>
      <c r="D874" s="147" t="s">
        <v>470</v>
      </c>
      <c r="E874" s="147" t="s">
        <v>320</v>
      </c>
      <c r="F874" s="147" t="s">
        <v>487</v>
      </c>
      <c r="G874" s="147">
        <v>28</v>
      </c>
      <c r="H874" s="148">
        <v>56</v>
      </c>
      <c r="I874" s="149">
        <f t="shared" si="13"/>
        <v>1568</v>
      </c>
      <c r="J874" s="150" t="s">
        <v>466</v>
      </c>
      <c r="K874" s="151">
        <v>36.064</v>
      </c>
      <c r="L874">
        <f>Table13[[#This Row],[Price]]*Table13[[#This Row],[Units]]</f>
        <v>1568</v>
      </c>
    </row>
    <row r="875" spans="1:12" x14ac:dyDescent="0.35">
      <c r="A875" s="145">
        <v>45694</v>
      </c>
      <c r="B875" s="146" t="s">
        <v>1379</v>
      </c>
      <c r="C875" s="147" t="s">
        <v>322</v>
      </c>
      <c r="D875" s="147" t="s">
        <v>470</v>
      </c>
      <c r="E875" s="147" t="s">
        <v>333</v>
      </c>
      <c r="F875" s="147" t="s">
        <v>523</v>
      </c>
      <c r="G875" s="147">
        <v>40</v>
      </c>
      <c r="H875" s="148">
        <v>44</v>
      </c>
      <c r="I875" s="149">
        <f t="shared" si="13"/>
        <v>1760</v>
      </c>
      <c r="J875" s="150" t="s">
        <v>472</v>
      </c>
      <c r="K875" s="151">
        <v>38.72</v>
      </c>
      <c r="L875">
        <f>Table13[[#This Row],[Price]]*Table13[[#This Row],[Units]]</f>
        <v>1760</v>
      </c>
    </row>
    <row r="876" spans="1:12" x14ac:dyDescent="0.35">
      <c r="A876" s="145">
        <v>45694</v>
      </c>
      <c r="B876" s="146" t="s">
        <v>1380</v>
      </c>
      <c r="C876" s="147" t="s">
        <v>484</v>
      </c>
      <c r="D876" s="147" t="s">
        <v>477</v>
      </c>
      <c r="E876" s="147" t="s">
        <v>483</v>
      </c>
      <c r="F876" s="147" t="s">
        <v>517</v>
      </c>
      <c r="G876" s="147">
        <v>41</v>
      </c>
      <c r="H876" s="148">
        <v>49</v>
      </c>
      <c r="I876" s="149">
        <f t="shared" si="13"/>
        <v>2009</v>
      </c>
      <c r="J876" s="150" t="s">
        <v>466</v>
      </c>
      <c r="K876" s="151">
        <v>44.198</v>
      </c>
      <c r="L876">
        <f>Table13[[#This Row],[Price]]*Table13[[#This Row],[Units]]</f>
        <v>2009</v>
      </c>
    </row>
    <row r="877" spans="1:12" x14ac:dyDescent="0.35">
      <c r="A877" s="145">
        <v>45694</v>
      </c>
      <c r="B877" s="146" t="s">
        <v>1381</v>
      </c>
      <c r="C877" s="147" t="s">
        <v>464</v>
      </c>
      <c r="D877" s="147" t="s">
        <v>470</v>
      </c>
      <c r="E877" s="147" t="s">
        <v>483</v>
      </c>
      <c r="F877" s="147" t="s">
        <v>471</v>
      </c>
      <c r="G877" s="147">
        <v>55</v>
      </c>
      <c r="H877" s="148">
        <v>21</v>
      </c>
      <c r="I877" s="149">
        <f t="shared" si="13"/>
        <v>1155</v>
      </c>
      <c r="J877" s="150" t="s">
        <v>466</v>
      </c>
      <c r="K877" s="151">
        <v>25.41</v>
      </c>
      <c r="L877">
        <f>Table13[[#This Row],[Price]]*Table13[[#This Row],[Units]]</f>
        <v>1155</v>
      </c>
    </row>
    <row r="878" spans="1:12" x14ac:dyDescent="0.35">
      <c r="A878" s="145">
        <v>45694</v>
      </c>
      <c r="B878" s="146" t="s">
        <v>1382</v>
      </c>
      <c r="C878" s="147" t="s">
        <v>484</v>
      </c>
      <c r="D878" s="147" t="s">
        <v>470</v>
      </c>
      <c r="E878" s="147" t="s">
        <v>333</v>
      </c>
      <c r="F878" s="147" t="s">
        <v>520</v>
      </c>
      <c r="G878" s="147">
        <v>31</v>
      </c>
      <c r="H878" s="148">
        <v>59</v>
      </c>
      <c r="I878" s="149">
        <f t="shared" si="13"/>
        <v>1829</v>
      </c>
      <c r="J878" s="150" t="s">
        <v>466</v>
      </c>
      <c r="K878" s="151">
        <v>53.040999999999997</v>
      </c>
      <c r="L878">
        <f>Table13[[#This Row],[Price]]*Table13[[#This Row],[Units]]</f>
        <v>1829</v>
      </c>
    </row>
    <row r="879" spans="1:12" x14ac:dyDescent="0.35">
      <c r="A879" s="145">
        <v>45694</v>
      </c>
      <c r="B879" s="146" t="s">
        <v>1383</v>
      </c>
      <c r="C879" s="147" t="s">
        <v>501</v>
      </c>
      <c r="D879" s="147" t="s">
        <v>490</v>
      </c>
      <c r="E879" s="147" t="s">
        <v>390</v>
      </c>
      <c r="F879" s="147" t="s">
        <v>491</v>
      </c>
      <c r="G879" s="147">
        <v>26</v>
      </c>
      <c r="H879" s="148">
        <v>24</v>
      </c>
      <c r="I879" s="149">
        <f t="shared" si="13"/>
        <v>624</v>
      </c>
      <c r="J879" s="150" t="s">
        <v>472</v>
      </c>
      <c r="K879" s="151">
        <v>15.6</v>
      </c>
      <c r="L879">
        <f>Table13[[#This Row],[Price]]*Table13[[#This Row],[Units]]</f>
        <v>624</v>
      </c>
    </row>
    <row r="880" spans="1:12" x14ac:dyDescent="0.35">
      <c r="A880" s="145">
        <v>45694</v>
      </c>
      <c r="B880" s="146" t="s">
        <v>1384</v>
      </c>
      <c r="C880" s="147" t="s">
        <v>494</v>
      </c>
      <c r="D880" s="147" t="s">
        <v>519</v>
      </c>
      <c r="E880" s="147" t="s">
        <v>324</v>
      </c>
      <c r="F880" s="147" t="s">
        <v>513</v>
      </c>
      <c r="G880" s="147">
        <v>34</v>
      </c>
      <c r="H880" s="148">
        <v>24</v>
      </c>
      <c r="I880" s="149">
        <f t="shared" si="13"/>
        <v>816</v>
      </c>
      <c r="J880" s="150" t="s">
        <v>472</v>
      </c>
      <c r="K880" s="151">
        <v>16.32</v>
      </c>
      <c r="L880">
        <f>Table13[[#This Row],[Price]]*Table13[[#This Row],[Units]]</f>
        <v>816</v>
      </c>
    </row>
    <row r="881" spans="1:12" x14ac:dyDescent="0.35">
      <c r="A881" s="145">
        <v>45694</v>
      </c>
      <c r="B881" s="146" t="s">
        <v>1385</v>
      </c>
      <c r="C881" s="147" t="s">
        <v>322</v>
      </c>
      <c r="D881" s="147" t="s">
        <v>470</v>
      </c>
      <c r="E881" s="147" t="s">
        <v>324</v>
      </c>
      <c r="F881" s="147" t="s">
        <v>505</v>
      </c>
      <c r="G881" s="147">
        <v>11</v>
      </c>
      <c r="H881" s="148">
        <v>47</v>
      </c>
      <c r="I881" s="149">
        <f t="shared" si="13"/>
        <v>517</v>
      </c>
      <c r="J881" s="150" t="s">
        <v>515</v>
      </c>
      <c r="K881" s="151">
        <v>12.925000000000001</v>
      </c>
      <c r="L881">
        <f>Table13[[#This Row],[Price]]*Table13[[#This Row],[Units]]</f>
        <v>517</v>
      </c>
    </row>
    <row r="882" spans="1:12" x14ac:dyDescent="0.35">
      <c r="A882" s="145">
        <v>45695</v>
      </c>
      <c r="B882" s="146" t="s">
        <v>1386</v>
      </c>
      <c r="C882" s="147" t="s">
        <v>494</v>
      </c>
      <c r="D882" s="147" t="s">
        <v>490</v>
      </c>
      <c r="E882" s="147" t="s">
        <v>333</v>
      </c>
      <c r="F882" s="147" t="s">
        <v>539</v>
      </c>
      <c r="G882" s="147">
        <v>25</v>
      </c>
      <c r="H882" s="148">
        <v>20</v>
      </c>
      <c r="I882" s="149">
        <f t="shared" si="13"/>
        <v>500</v>
      </c>
      <c r="J882" s="150" t="s">
        <v>472</v>
      </c>
      <c r="K882" s="151">
        <v>13.5</v>
      </c>
      <c r="L882">
        <f>Table13[[#This Row],[Price]]*Table13[[#This Row],[Units]]</f>
        <v>500</v>
      </c>
    </row>
    <row r="883" spans="1:12" x14ac:dyDescent="0.35">
      <c r="A883" s="145">
        <v>45695</v>
      </c>
      <c r="B883" s="146" t="s">
        <v>1387</v>
      </c>
      <c r="C883" s="147" t="s">
        <v>494</v>
      </c>
      <c r="D883" s="147" t="s">
        <v>470</v>
      </c>
      <c r="E883" s="147" t="s">
        <v>333</v>
      </c>
      <c r="F883" s="147" t="s">
        <v>539</v>
      </c>
      <c r="G883" s="147">
        <v>36</v>
      </c>
      <c r="H883" s="148">
        <v>37</v>
      </c>
      <c r="I883" s="149">
        <f t="shared" si="13"/>
        <v>1332</v>
      </c>
      <c r="J883" s="150" t="s">
        <v>466</v>
      </c>
      <c r="K883" s="151">
        <v>35.963999999999999</v>
      </c>
      <c r="L883">
        <f>Table13[[#This Row],[Price]]*Table13[[#This Row],[Units]]</f>
        <v>1332</v>
      </c>
    </row>
    <row r="884" spans="1:12" x14ac:dyDescent="0.35">
      <c r="A884" s="145">
        <v>45695</v>
      </c>
      <c r="B884" s="146" t="s">
        <v>1388</v>
      </c>
      <c r="C884" s="147" t="s">
        <v>464</v>
      </c>
      <c r="D884" s="147" t="s">
        <v>477</v>
      </c>
      <c r="E884" s="147" t="s">
        <v>324</v>
      </c>
      <c r="F884" s="147" t="s">
        <v>500</v>
      </c>
      <c r="G884" s="147">
        <v>10</v>
      </c>
      <c r="H884" s="148">
        <v>25</v>
      </c>
      <c r="I884" s="149">
        <f t="shared" si="13"/>
        <v>250</v>
      </c>
      <c r="J884" s="150" t="s">
        <v>466</v>
      </c>
      <c r="K884" s="151">
        <v>5</v>
      </c>
      <c r="L884">
        <f>Table13[[#This Row],[Price]]*Table13[[#This Row],[Units]]</f>
        <v>250</v>
      </c>
    </row>
    <row r="885" spans="1:12" x14ac:dyDescent="0.35">
      <c r="A885" s="145">
        <v>45695</v>
      </c>
      <c r="B885" s="146" t="s">
        <v>1389</v>
      </c>
      <c r="C885" s="147" t="s">
        <v>464</v>
      </c>
      <c r="D885" s="147" t="s">
        <v>465</v>
      </c>
      <c r="E885" s="147" t="s">
        <v>324</v>
      </c>
      <c r="F885" s="147" t="s">
        <v>497</v>
      </c>
      <c r="G885" s="147">
        <v>30</v>
      </c>
      <c r="H885" s="148">
        <v>38</v>
      </c>
      <c r="I885" s="149">
        <f t="shared" si="13"/>
        <v>1140</v>
      </c>
      <c r="J885" s="150" t="s">
        <v>466</v>
      </c>
      <c r="K885" s="151">
        <v>34.200000000000003</v>
      </c>
      <c r="L885">
        <f>Table13[[#This Row],[Price]]*Table13[[#This Row],[Units]]</f>
        <v>1140</v>
      </c>
    </row>
    <row r="886" spans="1:12" x14ac:dyDescent="0.35">
      <c r="A886" s="145">
        <v>45695</v>
      </c>
      <c r="B886" s="146" t="s">
        <v>1390</v>
      </c>
      <c r="C886" s="147" t="s">
        <v>494</v>
      </c>
      <c r="D886" s="147" t="s">
        <v>465</v>
      </c>
      <c r="E886" s="147" t="s">
        <v>333</v>
      </c>
      <c r="F886" s="147" t="s">
        <v>500</v>
      </c>
      <c r="G886" s="147">
        <v>38</v>
      </c>
      <c r="H886" s="148">
        <v>50</v>
      </c>
      <c r="I886" s="149">
        <f t="shared" si="13"/>
        <v>1900</v>
      </c>
      <c r="J886" s="150" t="s">
        <v>472</v>
      </c>
      <c r="K886" s="151">
        <v>38</v>
      </c>
      <c r="L886">
        <f>Table13[[#This Row],[Price]]*Table13[[#This Row],[Units]]</f>
        <v>1900</v>
      </c>
    </row>
    <row r="887" spans="1:12" x14ac:dyDescent="0.35">
      <c r="A887" s="145">
        <v>45695</v>
      </c>
      <c r="B887" s="146" t="s">
        <v>1391</v>
      </c>
      <c r="C887" s="147" t="s">
        <v>322</v>
      </c>
      <c r="D887" s="147" t="s">
        <v>465</v>
      </c>
      <c r="E887" s="147" t="s">
        <v>324</v>
      </c>
      <c r="F887" s="147" t="s">
        <v>478</v>
      </c>
      <c r="G887" s="147">
        <v>27</v>
      </c>
      <c r="H887" s="148">
        <v>42</v>
      </c>
      <c r="I887" s="149">
        <f t="shared" si="13"/>
        <v>1134</v>
      </c>
      <c r="J887" s="150" t="s">
        <v>466</v>
      </c>
      <c r="K887" s="151">
        <v>27.216000000000001</v>
      </c>
      <c r="L887">
        <f>Table13[[#This Row],[Price]]*Table13[[#This Row],[Units]]</f>
        <v>1134</v>
      </c>
    </row>
    <row r="888" spans="1:12" x14ac:dyDescent="0.35">
      <c r="A888" s="145">
        <v>45696</v>
      </c>
      <c r="B888" s="146" t="s">
        <v>1392</v>
      </c>
      <c r="C888" s="147" t="s">
        <v>469</v>
      </c>
      <c r="D888" s="147" t="s">
        <v>512</v>
      </c>
      <c r="E888" s="147" t="s">
        <v>483</v>
      </c>
      <c r="F888" s="147" t="s">
        <v>478</v>
      </c>
      <c r="G888" s="147">
        <v>53</v>
      </c>
      <c r="H888" s="148">
        <v>30</v>
      </c>
      <c r="I888" s="149">
        <f t="shared" si="13"/>
        <v>1590</v>
      </c>
      <c r="J888" s="150" t="s">
        <v>466</v>
      </c>
      <c r="K888" s="151">
        <v>47.7</v>
      </c>
      <c r="L888">
        <f>Table13[[#This Row],[Price]]*Table13[[#This Row],[Units]]</f>
        <v>1590</v>
      </c>
    </row>
    <row r="889" spans="1:12" x14ac:dyDescent="0.35">
      <c r="A889" s="145">
        <v>45696</v>
      </c>
      <c r="B889" s="146" t="s">
        <v>1393</v>
      </c>
      <c r="C889" s="147" t="s">
        <v>492</v>
      </c>
      <c r="D889" s="147" t="s">
        <v>490</v>
      </c>
      <c r="E889" s="147" t="s">
        <v>315</v>
      </c>
      <c r="F889" s="147" t="s">
        <v>500</v>
      </c>
      <c r="G889" s="147">
        <v>20</v>
      </c>
      <c r="H889" s="148">
        <v>56</v>
      </c>
      <c r="I889" s="149">
        <f t="shared" si="13"/>
        <v>1120</v>
      </c>
      <c r="J889" s="150" t="s">
        <v>466</v>
      </c>
      <c r="K889" s="151">
        <v>32.479999999999997</v>
      </c>
      <c r="L889">
        <f>Table13[[#This Row],[Price]]*Table13[[#This Row],[Units]]</f>
        <v>1120</v>
      </c>
    </row>
    <row r="890" spans="1:12" x14ac:dyDescent="0.35">
      <c r="A890" s="145">
        <v>45696</v>
      </c>
      <c r="B890" s="146" t="s">
        <v>1394</v>
      </c>
      <c r="C890" s="147" t="s">
        <v>464</v>
      </c>
      <c r="D890" s="147" t="s">
        <v>519</v>
      </c>
      <c r="E890" s="147" t="s">
        <v>315</v>
      </c>
      <c r="F890" s="147" t="s">
        <v>497</v>
      </c>
      <c r="G890" s="147">
        <v>34</v>
      </c>
      <c r="H890" s="148">
        <v>21</v>
      </c>
      <c r="I890" s="149">
        <f t="shared" si="13"/>
        <v>714</v>
      </c>
      <c r="J890" s="150" t="s">
        <v>466</v>
      </c>
      <c r="K890" s="151">
        <v>16.422000000000001</v>
      </c>
      <c r="L890">
        <f>Table13[[#This Row],[Price]]*Table13[[#This Row],[Units]]</f>
        <v>714</v>
      </c>
    </row>
    <row r="891" spans="1:12" x14ac:dyDescent="0.35">
      <c r="A891" s="145">
        <v>45696</v>
      </c>
      <c r="B891" s="146" t="s">
        <v>1395</v>
      </c>
      <c r="C891" s="147" t="s">
        <v>501</v>
      </c>
      <c r="D891" s="147" t="s">
        <v>465</v>
      </c>
      <c r="E891" s="147" t="s">
        <v>315</v>
      </c>
      <c r="F891" s="147" t="s">
        <v>497</v>
      </c>
      <c r="G891" s="147">
        <v>55</v>
      </c>
      <c r="H891" s="148">
        <v>23</v>
      </c>
      <c r="I891" s="149">
        <f t="shared" si="13"/>
        <v>1265</v>
      </c>
      <c r="J891" s="150" t="s">
        <v>515</v>
      </c>
      <c r="K891" s="151">
        <v>29.094999999999999</v>
      </c>
      <c r="L891">
        <f>Table13[[#This Row],[Price]]*Table13[[#This Row],[Units]]</f>
        <v>1265</v>
      </c>
    </row>
    <row r="892" spans="1:12" x14ac:dyDescent="0.35">
      <c r="A892" s="145">
        <v>45696</v>
      </c>
      <c r="B892" s="146" t="s">
        <v>1396</v>
      </c>
      <c r="C892" s="147" t="s">
        <v>489</v>
      </c>
      <c r="D892" s="147" t="s">
        <v>519</v>
      </c>
      <c r="E892" s="147" t="s">
        <v>412</v>
      </c>
      <c r="F892" s="147" t="s">
        <v>528</v>
      </c>
      <c r="G892" s="147">
        <v>13</v>
      </c>
      <c r="H892" s="148">
        <v>39</v>
      </c>
      <c r="I892" s="149">
        <f t="shared" si="13"/>
        <v>507</v>
      </c>
      <c r="J892" s="150" t="s">
        <v>472</v>
      </c>
      <c r="K892" s="151">
        <v>10.14</v>
      </c>
      <c r="L892">
        <f>Table13[[#This Row],[Price]]*Table13[[#This Row],[Units]]</f>
        <v>507</v>
      </c>
    </row>
    <row r="893" spans="1:12" x14ac:dyDescent="0.35">
      <c r="A893" s="145">
        <v>45696</v>
      </c>
      <c r="B893" s="146" t="s">
        <v>1397</v>
      </c>
      <c r="C893" s="147" t="s">
        <v>494</v>
      </c>
      <c r="D893" s="147" t="s">
        <v>519</v>
      </c>
      <c r="E893" s="147" t="s">
        <v>320</v>
      </c>
      <c r="F893" s="147" t="s">
        <v>454</v>
      </c>
      <c r="G893" s="147">
        <v>10</v>
      </c>
      <c r="H893" s="148">
        <v>60</v>
      </c>
      <c r="I893" s="149">
        <f t="shared" si="13"/>
        <v>600</v>
      </c>
      <c r="J893" s="150" t="s">
        <v>466</v>
      </c>
      <c r="K893" s="151">
        <v>15</v>
      </c>
      <c r="L893">
        <f>Table13[[#This Row],[Price]]*Table13[[#This Row],[Units]]</f>
        <v>600</v>
      </c>
    </row>
    <row r="894" spans="1:12" x14ac:dyDescent="0.35">
      <c r="A894" s="145">
        <v>45696</v>
      </c>
      <c r="B894" s="146" t="s">
        <v>1398</v>
      </c>
      <c r="C894" s="147" t="s">
        <v>489</v>
      </c>
      <c r="D894" s="147" t="s">
        <v>465</v>
      </c>
      <c r="E894" s="147" t="s">
        <v>315</v>
      </c>
      <c r="F894" s="147" t="s">
        <v>487</v>
      </c>
      <c r="G894" s="147">
        <v>56</v>
      </c>
      <c r="H894" s="148">
        <v>43</v>
      </c>
      <c r="I894" s="149">
        <f t="shared" si="13"/>
        <v>2408</v>
      </c>
      <c r="J894" s="150" t="s">
        <v>515</v>
      </c>
      <c r="K894" s="151">
        <v>55.384</v>
      </c>
      <c r="L894">
        <f>Table13[[#This Row],[Price]]*Table13[[#This Row],[Units]]</f>
        <v>2408</v>
      </c>
    </row>
    <row r="895" spans="1:12" x14ac:dyDescent="0.35">
      <c r="A895" s="145">
        <v>45696</v>
      </c>
      <c r="B895" s="146" t="s">
        <v>1399</v>
      </c>
      <c r="C895" s="147" t="s">
        <v>469</v>
      </c>
      <c r="D895" s="147" t="s">
        <v>490</v>
      </c>
      <c r="E895" s="147" t="s">
        <v>324</v>
      </c>
      <c r="F895" s="147" t="s">
        <v>513</v>
      </c>
      <c r="G895" s="147">
        <v>22</v>
      </c>
      <c r="H895" s="148">
        <v>30</v>
      </c>
      <c r="I895" s="149">
        <f t="shared" si="13"/>
        <v>660</v>
      </c>
      <c r="J895" s="150" t="s">
        <v>466</v>
      </c>
      <c r="K895" s="151">
        <v>16.5</v>
      </c>
      <c r="L895">
        <f>Table13[[#This Row],[Price]]*Table13[[#This Row],[Units]]</f>
        <v>660</v>
      </c>
    </row>
    <row r="896" spans="1:12" x14ac:dyDescent="0.35">
      <c r="A896" s="145">
        <v>45696</v>
      </c>
      <c r="B896" s="146" t="s">
        <v>1400</v>
      </c>
      <c r="C896" s="147" t="s">
        <v>489</v>
      </c>
      <c r="D896" s="147" t="s">
        <v>465</v>
      </c>
      <c r="E896" s="147" t="s">
        <v>483</v>
      </c>
      <c r="F896" s="147" t="s">
        <v>505</v>
      </c>
      <c r="G896" s="147">
        <v>21</v>
      </c>
      <c r="H896" s="148">
        <v>35</v>
      </c>
      <c r="I896" s="149">
        <f t="shared" si="13"/>
        <v>735</v>
      </c>
      <c r="J896" s="150" t="s">
        <v>472</v>
      </c>
      <c r="K896" s="151">
        <v>14.7</v>
      </c>
      <c r="L896">
        <f>Table13[[#This Row],[Price]]*Table13[[#This Row],[Units]]</f>
        <v>735</v>
      </c>
    </row>
    <row r="897" spans="1:12" x14ac:dyDescent="0.35">
      <c r="A897" s="145">
        <v>45696</v>
      </c>
      <c r="B897" s="146" t="s">
        <v>1401</v>
      </c>
      <c r="C897" s="147" t="s">
        <v>322</v>
      </c>
      <c r="D897" s="147" t="s">
        <v>519</v>
      </c>
      <c r="E897" s="147" t="s">
        <v>324</v>
      </c>
      <c r="F897" s="147" t="s">
        <v>513</v>
      </c>
      <c r="G897" s="147">
        <v>22</v>
      </c>
      <c r="H897" s="148">
        <v>56</v>
      </c>
      <c r="I897" s="149">
        <f t="shared" si="13"/>
        <v>1232</v>
      </c>
      <c r="J897" s="150" t="s">
        <v>472</v>
      </c>
      <c r="K897" s="151">
        <v>34.496000000000002</v>
      </c>
      <c r="L897">
        <f>Table13[[#This Row],[Price]]*Table13[[#This Row],[Units]]</f>
        <v>1232</v>
      </c>
    </row>
    <row r="898" spans="1:12" x14ac:dyDescent="0.35">
      <c r="A898" s="145">
        <v>45696</v>
      </c>
      <c r="B898" s="146" t="s">
        <v>1402</v>
      </c>
      <c r="C898" s="147" t="s">
        <v>476</v>
      </c>
      <c r="D898" s="147" t="s">
        <v>477</v>
      </c>
      <c r="E898" s="147" t="s">
        <v>320</v>
      </c>
      <c r="F898" s="147" t="s">
        <v>510</v>
      </c>
      <c r="G898" s="147">
        <v>54</v>
      </c>
      <c r="H898" s="148">
        <v>44</v>
      </c>
      <c r="I898" s="149">
        <f t="shared" si="13"/>
        <v>2376</v>
      </c>
      <c r="J898" s="150" t="s">
        <v>466</v>
      </c>
      <c r="K898" s="151">
        <v>71.28</v>
      </c>
      <c r="L898">
        <f>Table13[[#This Row],[Price]]*Table13[[#This Row],[Units]]</f>
        <v>2376</v>
      </c>
    </row>
    <row r="899" spans="1:12" x14ac:dyDescent="0.35">
      <c r="A899" s="145">
        <v>45696</v>
      </c>
      <c r="B899" s="146" t="s">
        <v>1403</v>
      </c>
      <c r="C899" s="147" t="s">
        <v>484</v>
      </c>
      <c r="D899" s="147" t="s">
        <v>477</v>
      </c>
      <c r="E899" s="147" t="s">
        <v>390</v>
      </c>
      <c r="F899" s="147" t="s">
        <v>478</v>
      </c>
      <c r="G899" s="147">
        <v>23</v>
      </c>
      <c r="H899" s="148">
        <v>43</v>
      </c>
      <c r="I899" s="149">
        <f t="shared" ref="I899:I962" si="14">G899*H899</f>
        <v>989</v>
      </c>
      <c r="J899" s="150" t="s">
        <v>466</v>
      </c>
      <c r="K899" s="151">
        <v>26.702999999999999</v>
      </c>
      <c r="L899">
        <f>Table13[[#This Row],[Price]]*Table13[[#This Row],[Units]]</f>
        <v>989</v>
      </c>
    </row>
    <row r="900" spans="1:12" x14ac:dyDescent="0.35">
      <c r="A900" s="145">
        <v>45696</v>
      </c>
      <c r="B900" s="146" t="s">
        <v>1404</v>
      </c>
      <c r="C900" s="147" t="s">
        <v>492</v>
      </c>
      <c r="D900" s="147" t="s">
        <v>470</v>
      </c>
      <c r="E900" s="147" t="s">
        <v>324</v>
      </c>
      <c r="F900" s="147" t="s">
        <v>471</v>
      </c>
      <c r="G900" s="147">
        <v>48</v>
      </c>
      <c r="H900" s="148">
        <v>21</v>
      </c>
      <c r="I900" s="149">
        <f t="shared" si="14"/>
        <v>1008</v>
      </c>
      <c r="J900" s="150" t="s">
        <v>515</v>
      </c>
      <c r="K900" s="151">
        <v>30.24</v>
      </c>
      <c r="L900">
        <f>Table13[[#This Row],[Price]]*Table13[[#This Row],[Units]]</f>
        <v>1008</v>
      </c>
    </row>
    <row r="901" spans="1:12" x14ac:dyDescent="0.35">
      <c r="A901" s="145">
        <v>45697</v>
      </c>
      <c r="B901" s="146" t="s">
        <v>1405</v>
      </c>
      <c r="C901" s="147" t="s">
        <v>494</v>
      </c>
      <c r="D901" s="147" t="s">
        <v>519</v>
      </c>
      <c r="E901" s="147" t="s">
        <v>412</v>
      </c>
      <c r="F901" s="147" t="s">
        <v>510</v>
      </c>
      <c r="G901" s="147">
        <v>36</v>
      </c>
      <c r="H901" s="148">
        <v>38</v>
      </c>
      <c r="I901" s="149">
        <f t="shared" si="14"/>
        <v>1368</v>
      </c>
      <c r="J901" s="150" t="s">
        <v>472</v>
      </c>
      <c r="K901" s="151">
        <v>38.304000000000002</v>
      </c>
      <c r="L901">
        <f>Table13[[#This Row],[Price]]*Table13[[#This Row],[Units]]</f>
        <v>1368</v>
      </c>
    </row>
    <row r="902" spans="1:12" x14ac:dyDescent="0.35">
      <c r="A902" s="145">
        <v>45697</v>
      </c>
      <c r="B902" s="146" t="s">
        <v>1406</v>
      </c>
      <c r="C902" s="147" t="s">
        <v>476</v>
      </c>
      <c r="D902" s="147" t="s">
        <v>470</v>
      </c>
      <c r="E902" s="147" t="s">
        <v>315</v>
      </c>
      <c r="F902" s="147" t="s">
        <v>517</v>
      </c>
      <c r="G902" s="147">
        <v>31</v>
      </c>
      <c r="H902" s="148">
        <v>38</v>
      </c>
      <c r="I902" s="149">
        <f t="shared" si="14"/>
        <v>1178</v>
      </c>
      <c r="J902" s="150" t="s">
        <v>466</v>
      </c>
      <c r="K902" s="151">
        <v>35.340000000000003</v>
      </c>
      <c r="L902">
        <f>Table13[[#This Row],[Price]]*Table13[[#This Row],[Units]]</f>
        <v>1178</v>
      </c>
    </row>
    <row r="903" spans="1:12" x14ac:dyDescent="0.35">
      <c r="A903" s="145">
        <v>45697</v>
      </c>
      <c r="B903" s="146" t="s">
        <v>1407</v>
      </c>
      <c r="C903" s="147" t="s">
        <v>322</v>
      </c>
      <c r="D903" s="147" t="s">
        <v>465</v>
      </c>
      <c r="E903" s="147" t="s">
        <v>333</v>
      </c>
      <c r="F903" s="147" t="s">
        <v>500</v>
      </c>
      <c r="G903" s="147">
        <v>47</v>
      </c>
      <c r="H903" s="148">
        <v>46</v>
      </c>
      <c r="I903" s="149">
        <f t="shared" si="14"/>
        <v>2162</v>
      </c>
      <c r="J903" s="150" t="s">
        <v>466</v>
      </c>
      <c r="K903" s="151">
        <v>45.402000000000001</v>
      </c>
      <c r="L903">
        <f>Table13[[#This Row],[Price]]*Table13[[#This Row],[Units]]</f>
        <v>2162</v>
      </c>
    </row>
    <row r="904" spans="1:12" x14ac:dyDescent="0.35">
      <c r="A904" s="145">
        <v>45697</v>
      </c>
      <c r="B904" s="146" t="s">
        <v>1408</v>
      </c>
      <c r="C904" s="147" t="s">
        <v>464</v>
      </c>
      <c r="D904" s="147" t="s">
        <v>512</v>
      </c>
      <c r="E904" s="147" t="s">
        <v>315</v>
      </c>
      <c r="F904" s="147" t="s">
        <v>539</v>
      </c>
      <c r="G904" s="147">
        <v>48</v>
      </c>
      <c r="H904" s="148">
        <v>43</v>
      </c>
      <c r="I904" s="149">
        <f t="shared" si="14"/>
        <v>2064</v>
      </c>
      <c r="J904" s="150" t="s">
        <v>466</v>
      </c>
      <c r="K904" s="151">
        <v>55.728000000000002</v>
      </c>
      <c r="L904">
        <f>Table13[[#This Row],[Price]]*Table13[[#This Row],[Units]]</f>
        <v>2064</v>
      </c>
    </row>
    <row r="905" spans="1:12" x14ac:dyDescent="0.35">
      <c r="A905" s="145">
        <v>45697</v>
      </c>
      <c r="B905" s="146" t="s">
        <v>1409</v>
      </c>
      <c r="C905" s="147" t="s">
        <v>464</v>
      </c>
      <c r="D905" s="147" t="s">
        <v>512</v>
      </c>
      <c r="E905" s="147" t="s">
        <v>333</v>
      </c>
      <c r="F905" s="147" t="s">
        <v>539</v>
      </c>
      <c r="G905" s="147">
        <v>34</v>
      </c>
      <c r="H905" s="148">
        <v>43</v>
      </c>
      <c r="I905" s="149">
        <f t="shared" si="14"/>
        <v>1462</v>
      </c>
      <c r="J905" s="150" t="s">
        <v>466</v>
      </c>
      <c r="K905" s="151">
        <v>30.702000000000002</v>
      </c>
      <c r="L905">
        <f>Table13[[#This Row],[Price]]*Table13[[#This Row],[Units]]</f>
        <v>1462</v>
      </c>
    </row>
    <row r="906" spans="1:12" x14ac:dyDescent="0.35">
      <c r="A906" s="145">
        <v>45697</v>
      </c>
      <c r="B906" s="146" t="s">
        <v>1410</v>
      </c>
      <c r="C906" s="147" t="s">
        <v>494</v>
      </c>
      <c r="D906" s="147" t="s">
        <v>477</v>
      </c>
      <c r="E906" s="147" t="s">
        <v>324</v>
      </c>
      <c r="F906" s="147" t="s">
        <v>510</v>
      </c>
      <c r="G906" s="147">
        <v>17</v>
      </c>
      <c r="H906" s="148">
        <v>23</v>
      </c>
      <c r="I906" s="149">
        <f t="shared" si="14"/>
        <v>391</v>
      </c>
      <c r="J906" s="150" t="s">
        <v>515</v>
      </c>
      <c r="K906" s="151">
        <v>11.73</v>
      </c>
      <c r="L906">
        <f>Table13[[#This Row],[Price]]*Table13[[#This Row],[Units]]</f>
        <v>391</v>
      </c>
    </row>
    <row r="907" spans="1:12" x14ac:dyDescent="0.35">
      <c r="A907" s="145">
        <v>45697</v>
      </c>
      <c r="B907" s="146" t="s">
        <v>1411</v>
      </c>
      <c r="C907" s="147" t="s">
        <v>464</v>
      </c>
      <c r="D907" s="147" t="s">
        <v>486</v>
      </c>
      <c r="E907" s="147" t="s">
        <v>483</v>
      </c>
      <c r="F907" s="147" t="s">
        <v>471</v>
      </c>
      <c r="G907" s="147">
        <v>18</v>
      </c>
      <c r="H907" s="148">
        <v>46</v>
      </c>
      <c r="I907" s="149">
        <f t="shared" si="14"/>
        <v>828</v>
      </c>
      <c r="J907" s="150" t="s">
        <v>466</v>
      </c>
      <c r="K907" s="151">
        <v>21.527999999999999</v>
      </c>
      <c r="L907">
        <f>Table13[[#This Row],[Price]]*Table13[[#This Row],[Units]]</f>
        <v>828</v>
      </c>
    </row>
    <row r="908" spans="1:12" x14ac:dyDescent="0.35">
      <c r="A908" s="145">
        <v>45697</v>
      </c>
      <c r="B908" s="146" t="s">
        <v>1412</v>
      </c>
      <c r="C908" s="147" t="s">
        <v>476</v>
      </c>
      <c r="D908" s="147" t="s">
        <v>512</v>
      </c>
      <c r="E908" s="147" t="s">
        <v>315</v>
      </c>
      <c r="F908" s="147" t="s">
        <v>528</v>
      </c>
      <c r="G908" s="147">
        <v>19</v>
      </c>
      <c r="H908" s="148">
        <v>23</v>
      </c>
      <c r="I908" s="149">
        <f t="shared" si="14"/>
        <v>437</v>
      </c>
      <c r="J908" s="150" t="s">
        <v>472</v>
      </c>
      <c r="K908" s="151">
        <v>9.1769999999999996</v>
      </c>
      <c r="L908">
        <f>Table13[[#This Row],[Price]]*Table13[[#This Row],[Units]]</f>
        <v>437</v>
      </c>
    </row>
    <row r="909" spans="1:12" x14ac:dyDescent="0.35">
      <c r="A909" s="145">
        <v>45698</v>
      </c>
      <c r="B909" s="146" t="s">
        <v>1413</v>
      </c>
      <c r="C909" s="147" t="s">
        <v>322</v>
      </c>
      <c r="D909" s="147" t="s">
        <v>470</v>
      </c>
      <c r="E909" s="147" t="s">
        <v>315</v>
      </c>
      <c r="F909" s="147" t="s">
        <v>505</v>
      </c>
      <c r="G909" s="147">
        <v>33</v>
      </c>
      <c r="H909" s="148">
        <v>59</v>
      </c>
      <c r="I909" s="149">
        <f t="shared" si="14"/>
        <v>1947</v>
      </c>
      <c r="J909" s="150" t="s">
        <v>472</v>
      </c>
      <c r="K909" s="151">
        <v>46.728000000000002</v>
      </c>
      <c r="L909">
        <f>Table13[[#This Row],[Price]]*Table13[[#This Row],[Units]]</f>
        <v>1947</v>
      </c>
    </row>
    <row r="910" spans="1:12" x14ac:dyDescent="0.35">
      <c r="A910" s="145">
        <v>45699</v>
      </c>
      <c r="B910" s="146" t="s">
        <v>1414</v>
      </c>
      <c r="C910" s="147" t="s">
        <v>489</v>
      </c>
      <c r="D910" s="147" t="s">
        <v>519</v>
      </c>
      <c r="E910" s="147" t="s">
        <v>483</v>
      </c>
      <c r="F910" s="147" t="s">
        <v>517</v>
      </c>
      <c r="G910" s="147">
        <v>15</v>
      </c>
      <c r="H910" s="148">
        <v>56</v>
      </c>
      <c r="I910" s="149">
        <f t="shared" si="14"/>
        <v>840</v>
      </c>
      <c r="J910" s="150" t="s">
        <v>515</v>
      </c>
      <c r="K910" s="151">
        <v>22.68</v>
      </c>
      <c r="L910">
        <f>Table13[[#This Row],[Price]]*Table13[[#This Row],[Units]]</f>
        <v>840</v>
      </c>
    </row>
    <row r="911" spans="1:12" x14ac:dyDescent="0.35">
      <c r="A911" s="145">
        <v>45699</v>
      </c>
      <c r="B911" s="146" t="s">
        <v>1415</v>
      </c>
      <c r="C911" s="147" t="s">
        <v>322</v>
      </c>
      <c r="D911" s="147" t="s">
        <v>519</v>
      </c>
      <c r="E911" s="147" t="s">
        <v>483</v>
      </c>
      <c r="F911" s="147" t="s">
        <v>528</v>
      </c>
      <c r="G911" s="147">
        <v>60</v>
      </c>
      <c r="H911" s="148">
        <v>58</v>
      </c>
      <c r="I911" s="149">
        <f t="shared" si="14"/>
        <v>3480</v>
      </c>
      <c r="J911" s="150" t="s">
        <v>472</v>
      </c>
      <c r="K911" s="151">
        <v>83.52</v>
      </c>
      <c r="L911">
        <f>Table13[[#This Row],[Price]]*Table13[[#This Row],[Units]]</f>
        <v>3480</v>
      </c>
    </row>
    <row r="912" spans="1:12" x14ac:dyDescent="0.35">
      <c r="A912" s="145">
        <v>45699</v>
      </c>
      <c r="B912" s="146" t="s">
        <v>1416</v>
      </c>
      <c r="C912" s="147" t="s">
        <v>484</v>
      </c>
      <c r="D912" s="147" t="s">
        <v>512</v>
      </c>
      <c r="E912" s="147" t="s">
        <v>315</v>
      </c>
      <c r="F912" s="147" t="s">
        <v>471</v>
      </c>
      <c r="G912" s="147">
        <v>57</v>
      </c>
      <c r="H912" s="148">
        <v>40</v>
      </c>
      <c r="I912" s="149">
        <f t="shared" si="14"/>
        <v>2280</v>
      </c>
      <c r="J912" s="150" t="s">
        <v>466</v>
      </c>
      <c r="K912" s="151">
        <v>45.6</v>
      </c>
      <c r="L912">
        <f>Table13[[#This Row],[Price]]*Table13[[#This Row],[Units]]</f>
        <v>2280</v>
      </c>
    </row>
    <row r="913" spans="1:12" x14ac:dyDescent="0.35">
      <c r="A913" s="145">
        <v>45699</v>
      </c>
      <c r="B913" s="146" t="s">
        <v>1417</v>
      </c>
      <c r="C913" s="147" t="s">
        <v>476</v>
      </c>
      <c r="D913" s="147" t="s">
        <v>477</v>
      </c>
      <c r="E913" s="147" t="s">
        <v>324</v>
      </c>
      <c r="F913" s="147" t="s">
        <v>536</v>
      </c>
      <c r="G913" s="147">
        <v>14</v>
      </c>
      <c r="H913" s="148">
        <v>23</v>
      </c>
      <c r="I913" s="149">
        <f t="shared" si="14"/>
        <v>322</v>
      </c>
      <c r="J913" s="150" t="s">
        <v>515</v>
      </c>
      <c r="K913" s="151">
        <v>8.3719999999999999</v>
      </c>
      <c r="L913">
        <f>Table13[[#This Row],[Price]]*Table13[[#This Row],[Units]]</f>
        <v>322</v>
      </c>
    </row>
    <row r="914" spans="1:12" x14ac:dyDescent="0.35">
      <c r="A914" s="145">
        <v>45699</v>
      </c>
      <c r="B914" s="146" t="s">
        <v>1418</v>
      </c>
      <c r="C914" s="147" t="s">
        <v>489</v>
      </c>
      <c r="D914" s="147" t="s">
        <v>512</v>
      </c>
      <c r="E914" s="147" t="s">
        <v>320</v>
      </c>
      <c r="F914" s="147" t="s">
        <v>505</v>
      </c>
      <c r="G914" s="147">
        <v>51</v>
      </c>
      <c r="H914" s="148">
        <v>42</v>
      </c>
      <c r="I914" s="149">
        <f t="shared" si="14"/>
        <v>2142</v>
      </c>
      <c r="J914" s="150" t="s">
        <v>472</v>
      </c>
      <c r="K914" s="151">
        <v>62.118000000000002</v>
      </c>
      <c r="L914">
        <f>Table13[[#This Row],[Price]]*Table13[[#This Row],[Units]]</f>
        <v>2142</v>
      </c>
    </row>
    <row r="915" spans="1:12" x14ac:dyDescent="0.35">
      <c r="A915" s="145">
        <v>45699</v>
      </c>
      <c r="B915" s="146" t="s">
        <v>1419</v>
      </c>
      <c r="C915" s="147" t="s">
        <v>492</v>
      </c>
      <c r="D915" s="147" t="s">
        <v>470</v>
      </c>
      <c r="E915" s="147" t="s">
        <v>333</v>
      </c>
      <c r="F915" s="147" t="s">
        <v>510</v>
      </c>
      <c r="G915" s="147">
        <v>58</v>
      </c>
      <c r="H915" s="148">
        <v>31</v>
      </c>
      <c r="I915" s="149">
        <f t="shared" si="14"/>
        <v>1798</v>
      </c>
      <c r="J915" s="150" t="s">
        <v>472</v>
      </c>
      <c r="K915" s="151">
        <v>44.95</v>
      </c>
      <c r="L915">
        <f>Table13[[#This Row],[Price]]*Table13[[#This Row],[Units]]</f>
        <v>1798</v>
      </c>
    </row>
    <row r="916" spans="1:12" x14ac:dyDescent="0.35">
      <c r="A916" s="145">
        <v>45699</v>
      </c>
      <c r="B916" s="146" t="s">
        <v>1420</v>
      </c>
      <c r="C916" s="147" t="s">
        <v>464</v>
      </c>
      <c r="D916" s="147" t="s">
        <v>490</v>
      </c>
      <c r="E916" s="147" t="s">
        <v>320</v>
      </c>
      <c r="F916" s="147" t="s">
        <v>513</v>
      </c>
      <c r="G916" s="147">
        <v>18</v>
      </c>
      <c r="H916" s="148">
        <v>51</v>
      </c>
      <c r="I916" s="149">
        <f t="shared" si="14"/>
        <v>918</v>
      </c>
      <c r="J916" s="150" t="s">
        <v>466</v>
      </c>
      <c r="K916" s="151">
        <v>21.114000000000001</v>
      </c>
      <c r="L916">
        <f>Table13[[#This Row],[Price]]*Table13[[#This Row],[Units]]</f>
        <v>918</v>
      </c>
    </row>
    <row r="917" spans="1:12" x14ac:dyDescent="0.35">
      <c r="A917" s="145">
        <v>45699</v>
      </c>
      <c r="B917" s="146" t="s">
        <v>1421</v>
      </c>
      <c r="C917" s="147" t="s">
        <v>492</v>
      </c>
      <c r="D917" s="147" t="s">
        <v>470</v>
      </c>
      <c r="E917" s="147" t="s">
        <v>333</v>
      </c>
      <c r="F917" s="147" t="s">
        <v>454</v>
      </c>
      <c r="G917" s="147">
        <v>40</v>
      </c>
      <c r="H917" s="148">
        <v>47</v>
      </c>
      <c r="I917" s="149">
        <f t="shared" si="14"/>
        <v>1880</v>
      </c>
      <c r="J917" s="150" t="s">
        <v>515</v>
      </c>
      <c r="K917" s="151">
        <v>39.479999999999997</v>
      </c>
      <c r="L917">
        <f>Table13[[#This Row],[Price]]*Table13[[#This Row],[Units]]</f>
        <v>1880</v>
      </c>
    </row>
    <row r="918" spans="1:12" x14ac:dyDescent="0.35">
      <c r="A918" s="145">
        <v>45699</v>
      </c>
      <c r="B918" s="146" t="s">
        <v>1422</v>
      </c>
      <c r="C918" s="147" t="s">
        <v>494</v>
      </c>
      <c r="D918" s="147" t="s">
        <v>519</v>
      </c>
      <c r="E918" s="147" t="s">
        <v>412</v>
      </c>
      <c r="F918" s="147" t="s">
        <v>520</v>
      </c>
      <c r="G918" s="147">
        <v>54</v>
      </c>
      <c r="H918" s="148">
        <v>59</v>
      </c>
      <c r="I918" s="149">
        <f t="shared" si="14"/>
        <v>3186</v>
      </c>
      <c r="J918" s="150" t="s">
        <v>466</v>
      </c>
      <c r="K918" s="151">
        <v>82.835999999999999</v>
      </c>
      <c r="L918">
        <f>Table13[[#This Row],[Price]]*Table13[[#This Row],[Units]]</f>
        <v>3186</v>
      </c>
    </row>
    <row r="919" spans="1:12" x14ac:dyDescent="0.35">
      <c r="A919" s="145">
        <v>45700</v>
      </c>
      <c r="B919" s="146" t="s">
        <v>1423</v>
      </c>
      <c r="C919" s="147" t="s">
        <v>501</v>
      </c>
      <c r="D919" s="147" t="s">
        <v>512</v>
      </c>
      <c r="E919" s="147" t="s">
        <v>390</v>
      </c>
      <c r="F919" s="147" t="s">
        <v>520</v>
      </c>
      <c r="G919" s="147">
        <v>17</v>
      </c>
      <c r="H919" s="148">
        <v>34</v>
      </c>
      <c r="I919" s="149">
        <f t="shared" si="14"/>
        <v>578</v>
      </c>
      <c r="J919" s="150" t="s">
        <v>466</v>
      </c>
      <c r="K919" s="151">
        <v>16.762</v>
      </c>
      <c r="L919">
        <f>Table13[[#This Row],[Price]]*Table13[[#This Row],[Units]]</f>
        <v>578</v>
      </c>
    </row>
    <row r="920" spans="1:12" x14ac:dyDescent="0.35">
      <c r="A920" s="145">
        <v>45700</v>
      </c>
      <c r="B920" s="146" t="s">
        <v>1424</v>
      </c>
      <c r="C920" s="147" t="s">
        <v>494</v>
      </c>
      <c r="D920" s="147" t="s">
        <v>470</v>
      </c>
      <c r="E920" s="147" t="s">
        <v>324</v>
      </c>
      <c r="F920" s="147" t="s">
        <v>505</v>
      </c>
      <c r="G920" s="147">
        <v>24</v>
      </c>
      <c r="H920" s="148">
        <v>33</v>
      </c>
      <c r="I920" s="149">
        <f t="shared" si="14"/>
        <v>792</v>
      </c>
      <c r="J920" s="150" t="s">
        <v>472</v>
      </c>
      <c r="K920" s="151">
        <v>18.216000000000001</v>
      </c>
      <c r="L920">
        <f>Table13[[#This Row],[Price]]*Table13[[#This Row],[Units]]</f>
        <v>792</v>
      </c>
    </row>
    <row r="921" spans="1:12" x14ac:dyDescent="0.35">
      <c r="A921" s="145">
        <v>45700</v>
      </c>
      <c r="B921" s="146" t="s">
        <v>1425</v>
      </c>
      <c r="C921" s="147" t="s">
        <v>492</v>
      </c>
      <c r="D921" s="147" t="s">
        <v>490</v>
      </c>
      <c r="E921" s="147" t="s">
        <v>315</v>
      </c>
      <c r="F921" s="147" t="s">
        <v>487</v>
      </c>
      <c r="G921" s="147">
        <v>38</v>
      </c>
      <c r="H921" s="148">
        <v>59</v>
      </c>
      <c r="I921" s="149">
        <f t="shared" si="14"/>
        <v>2242</v>
      </c>
      <c r="J921" s="150" t="s">
        <v>472</v>
      </c>
      <c r="K921" s="151">
        <v>47.082000000000001</v>
      </c>
      <c r="L921">
        <f>Table13[[#This Row],[Price]]*Table13[[#This Row],[Units]]</f>
        <v>2242</v>
      </c>
    </row>
    <row r="922" spans="1:12" x14ac:dyDescent="0.35">
      <c r="A922" s="145">
        <v>45700</v>
      </c>
      <c r="B922" s="146" t="s">
        <v>1426</v>
      </c>
      <c r="C922" s="147" t="s">
        <v>494</v>
      </c>
      <c r="D922" s="147" t="s">
        <v>486</v>
      </c>
      <c r="E922" s="147" t="s">
        <v>324</v>
      </c>
      <c r="F922" s="147" t="s">
        <v>520</v>
      </c>
      <c r="G922" s="147">
        <v>18</v>
      </c>
      <c r="H922" s="148">
        <v>50</v>
      </c>
      <c r="I922" s="149">
        <f t="shared" si="14"/>
        <v>900</v>
      </c>
      <c r="J922" s="150" t="s">
        <v>515</v>
      </c>
      <c r="K922" s="151">
        <v>20.7</v>
      </c>
      <c r="L922">
        <f>Table13[[#This Row],[Price]]*Table13[[#This Row],[Units]]</f>
        <v>900</v>
      </c>
    </row>
    <row r="923" spans="1:12" x14ac:dyDescent="0.35">
      <c r="A923" s="145">
        <v>45700</v>
      </c>
      <c r="B923" s="146" t="s">
        <v>1427</v>
      </c>
      <c r="C923" s="147" t="s">
        <v>322</v>
      </c>
      <c r="D923" s="147" t="s">
        <v>486</v>
      </c>
      <c r="E923" s="147" t="s">
        <v>483</v>
      </c>
      <c r="F923" s="147" t="s">
        <v>454</v>
      </c>
      <c r="G923" s="147">
        <v>52</v>
      </c>
      <c r="H923" s="148">
        <v>55</v>
      </c>
      <c r="I923" s="149">
        <f t="shared" si="14"/>
        <v>2860</v>
      </c>
      <c r="J923" s="150" t="s">
        <v>515</v>
      </c>
      <c r="K923" s="151">
        <v>60.06</v>
      </c>
      <c r="L923">
        <f>Table13[[#This Row],[Price]]*Table13[[#This Row],[Units]]</f>
        <v>2860</v>
      </c>
    </row>
    <row r="924" spans="1:12" x14ac:dyDescent="0.35">
      <c r="A924" s="145">
        <v>45700</v>
      </c>
      <c r="B924" s="146" t="s">
        <v>1428</v>
      </c>
      <c r="C924" s="147" t="s">
        <v>476</v>
      </c>
      <c r="D924" s="147" t="s">
        <v>470</v>
      </c>
      <c r="E924" s="147" t="s">
        <v>315</v>
      </c>
      <c r="F924" s="147" t="s">
        <v>523</v>
      </c>
      <c r="G924" s="147">
        <v>25</v>
      </c>
      <c r="H924" s="148">
        <v>50</v>
      </c>
      <c r="I924" s="149">
        <f t="shared" si="14"/>
        <v>1250</v>
      </c>
      <c r="J924" s="150" t="s">
        <v>503</v>
      </c>
      <c r="K924" s="151">
        <v>28.75</v>
      </c>
      <c r="L924">
        <f>Table13[[#This Row],[Price]]*Table13[[#This Row],[Units]]</f>
        <v>1250</v>
      </c>
    </row>
    <row r="925" spans="1:12" x14ac:dyDescent="0.35">
      <c r="A925" s="145">
        <v>45700</v>
      </c>
      <c r="B925" s="146" t="s">
        <v>1429</v>
      </c>
      <c r="C925" s="147" t="s">
        <v>494</v>
      </c>
      <c r="D925" s="147" t="s">
        <v>519</v>
      </c>
      <c r="E925" s="147" t="s">
        <v>333</v>
      </c>
      <c r="F925" s="147" t="s">
        <v>454</v>
      </c>
      <c r="G925" s="147">
        <v>20</v>
      </c>
      <c r="H925" s="148">
        <v>21</v>
      </c>
      <c r="I925" s="149">
        <f t="shared" si="14"/>
        <v>420</v>
      </c>
      <c r="J925" s="150" t="s">
        <v>503</v>
      </c>
      <c r="K925" s="151">
        <v>8.82</v>
      </c>
      <c r="L925">
        <f>Table13[[#This Row],[Price]]*Table13[[#This Row],[Units]]</f>
        <v>420</v>
      </c>
    </row>
    <row r="926" spans="1:12" x14ac:dyDescent="0.35">
      <c r="A926" s="145">
        <v>45701</v>
      </c>
      <c r="B926" s="146" t="s">
        <v>1430</v>
      </c>
      <c r="C926" s="147" t="s">
        <v>489</v>
      </c>
      <c r="D926" s="147" t="s">
        <v>477</v>
      </c>
      <c r="E926" s="147" t="s">
        <v>320</v>
      </c>
      <c r="F926" s="147" t="s">
        <v>523</v>
      </c>
      <c r="G926" s="147">
        <v>12</v>
      </c>
      <c r="H926" s="148">
        <v>35</v>
      </c>
      <c r="I926" s="149">
        <f t="shared" si="14"/>
        <v>420</v>
      </c>
      <c r="J926" s="150" t="s">
        <v>472</v>
      </c>
      <c r="K926" s="151">
        <v>8.82</v>
      </c>
      <c r="L926">
        <f>Table13[[#This Row],[Price]]*Table13[[#This Row],[Units]]</f>
        <v>420</v>
      </c>
    </row>
    <row r="927" spans="1:12" x14ac:dyDescent="0.35">
      <c r="A927" s="145">
        <v>45701</v>
      </c>
      <c r="B927" s="146" t="s">
        <v>1431</v>
      </c>
      <c r="C927" s="147" t="s">
        <v>322</v>
      </c>
      <c r="D927" s="147" t="s">
        <v>490</v>
      </c>
      <c r="E927" s="147" t="s">
        <v>315</v>
      </c>
      <c r="F927" s="147" t="s">
        <v>454</v>
      </c>
      <c r="G927" s="147">
        <v>20</v>
      </c>
      <c r="H927" s="148">
        <v>30</v>
      </c>
      <c r="I927" s="149">
        <f t="shared" si="14"/>
        <v>600</v>
      </c>
      <c r="J927" s="150" t="s">
        <v>503</v>
      </c>
      <c r="K927" s="151">
        <v>14.4</v>
      </c>
      <c r="L927">
        <f>Table13[[#This Row],[Price]]*Table13[[#This Row],[Units]]</f>
        <v>600</v>
      </c>
    </row>
    <row r="928" spans="1:12" x14ac:dyDescent="0.35">
      <c r="A928" s="145">
        <v>45701</v>
      </c>
      <c r="B928" s="146" t="s">
        <v>1432</v>
      </c>
      <c r="C928" s="147" t="s">
        <v>489</v>
      </c>
      <c r="D928" s="147" t="s">
        <v>477</v>
      </c>
      <c r="E928" s="147" t="s">
        <v>483</v>
      </c>
      <c r="F928" s="147" t="s">
        <v>478</v>
      </c>
      <c r="G928" s="147">
        <v>41</v>
      </c>
      <c r="H928" s="148">
        <v>26</v>
      </c>
      <c r="I928" s="149">
        <f t="shared" si="14"/>
        <v>1066</v>
      </c>
      <c r="J928" s="150" t="s">
        <v>515</v>
      </c>
      <c r="K928" s="151">
        <v>27.716000000000001</v>
      </c>
      <c r="L928">
        <f>Table13[[#This Row],[Price]]*Table13[[#This Row],[Units]]</f>
        <v>1066</v>
      </c>
    </row>
    <row r="929" spans="1:12" x14ac:dyDescent="0.35">
      <c r="A929" s="145">
        <v>45701</v>
      </c>
      <c r="B929" s="146" t="s">
        <v>1433</v>
      </c>
      <c r="C929" s="147" t="s">
        <v>484</v>
      </c>
      <c r="D929" s="147" t="s">
        <v>470</v>
      </c>
      <c r="E929" s="147" t="s">
        <v>412</v>
      </c>
      <c r="F929" s="147" t="s">
        <v>454</v>
      </c>
      <c r="G929" s="147">
        <v>49</v>
      </c>
      <c r="H929" s="148">
        <v>45</v>
      </c>
      <c r="I929" s="149">
        <f t="shared" si="14"/>
        <v>2205</v>
      </c>
      <c r="J929" s="150" t="s">
        <v>466</v>
      </c>
      <c r="K929" s="151">
        <v>52.92</v>
      </c>
      <c r="L929">
        <f>Table13[[#This Row],[Price]]*Table13[[#This Row],[Units]]</f>
        <v>2205</v>
      </c>
    </row>
    <row r="930" spans="1:12" x14ac:dyDescent="0.35">
      <c r="A930" s="145">
        <v>45701</v>
      </c>
      <c r="B930" s="146" t="s">
        <v>1434</v>
      </c>
      <c r="C930" s="147" t="s">
        <v>469</v>
      </c>
      <c r="D930" s="147" t="s">
        <v>490</v>
      </c>
      <c r="E930" s="147" t="s">
        <v>315</v>
      </c>
      <c r="F930" s="147" t="s">
        <v>523</v>
      </c>
      <c r="G930" s="147">
        <v>11</v>
      </c>
      <c r="H930" s="148">
        <v>24</v>
      </c>
      <c r="I930" s="149">
        <f t="shared" si="14"/>
        <v>264</v>
      </c>
      <c r="J930" s="150" t="s">
        <v>515</v>
      </c>
      <c r="K930" s="151">
        <v>6.8639999999999999</v>
      </c>
      <c r="L930">
        <f>Table13[[#This Row],[Price]]*Table13[[#This Row],[Units]]</f>
        <v>264</v>
      </c>
    </row>
    <row r="931" spans="1:12" x14ac:dyDescent="0.35">
      <c r="A931" s="145">
        <v>45701</v>
      </c>
      <c r="B931" s="146" t="s">
        <v>1435</v>
      </c>
      <c r="C931" s="147" t="s">
        <v>464</v>
      </c>
      <c r="D931" s="147" t="s">
        <v>470</v>
      </c>
      <c r="E931" s="147" t="s">
        <v>320</v>
      </c>
      <c r="F931" s="147" t="s">
        <v>539</v>
      </c>
      <c r="G931" s="147">
        <v>49</v>
      </c>
      <c r="H931" s="148">
        <v>53</v>
      </c>
      <c r="I931" s="149">
        <f t="shared" si="14"/>
        <v>2597</v>
      </c>
      <c r="J931" s="150" t="s">
        <v>466</v>
      </c>
      <c r="K931" s="151">
        <v>54.536999999999999</v>
      </c>
      <c r="L931">
        <f>Table13[[#This Row],[Price]]*Table13[[#This Row],[Units]]</f>
        <v>2597</v>
      </c>
    </row>
    <row r="932" spans="1:12" x14ac:dyDescent="0.35">
      <c r="A932" s="145">
        <v>45701</v>
      </c>
      <c r="B932" s="146" t="s">
        <v>1436</v>
      </c>
      <c r="C932" s="147" t="s">
        <v>494</v>
      </c>
      <c r="D932" s="147" t="s">
        <v>470</v>
      </c>
      <c r="E932" s="147" t="s">
        <v>315</v>
      </c>
      <c r="F932" s="147" t="s">
        <v>536</v>
      </c>
      <c r="G932" s="147">
        <v>10</v>
      </c>
      <c r="H932" s="148">
        <v>36</v>
      </c>
      <c r="I932" s="149">
        <f t="shared" si="14"/>
        <v>360</v>
      </c>
      <c r="J932" s="150" t="s">
        <v>466</v>
      </c>
      <c r="K932" s="151">
        <v>8.64</v>
      </c>
      <c r="L932">
        <f>Table13[[#This Row],[Price]]*Table13[[#This Row],[Units]]</f>
        <v>360</v>
      </c>
    </row>
    <row r="933" spans="1:12" x14ac:dyDescent="0.35">
      <c r="A933" s="145">
        <v>45701</v>
      </c>
      <c r="B933" s="146" t="s">
        <v>1437</v>
      </c>
      <c r="C933" s="147" t="s">
        <v>469</v>
      </c>
      <c r="D933" s="147" t="s">
        <v>486</v>
      </c>
      <c r="E933" s="147" t="s">
        <v>333</v>
      </c>
      <c r="F933" s="147" t="s">
        <v>510</v>
      </c>
      <c r="G933" s="147">
        <v>17</v>
      </c>
      <c r="H933" s="148">
        <v>20</v>
      </c>
      <c r="I933" s="149">
        <f t="shared" si="14"/>
        <v>340</v>
      </c>
      <c r="J933" s="150" t="s">
        <v>472</v>
      </c>
      <c r="K933" s="151">
        <v>7.14</v>
      </c>
      <c r="L933">
        <f>Table13[[#This Row],[Price]]*Table13[[#This Row],[Units]]</f>
        <v>340</v>
      </c>
    </row>
    <row r="934" spans="1:12" x14ac:dyDescent="0.35">
      <c r="A934" s="145">
        <v>45701</v>
      </c>
      <c r="B934" s="146" t="s">
        <v>1438</v>
      </c>
      <c r="C934" s="147" t="s">
        <v>494</v>
      </c>
      <c r="D934" s="147" t="s">
        <v>470</v>
      </c>
      <c r="E934" s="147" t="s">
        <v>390</v>
      </c>
      <c r="F934" s="147" t="s">
        <v>567</v>
      </c>
      <c r="G934" s="147">
        <v>54</v>
      </c>
      <c r="H934" s="148">
        <v>59</v>
      </c>
      <c r="I934" s="149">
        <f t="shared" si="14"/>
        <v>3186</v>
      </c>
      <c r="J934" s="150" t="s">
        <v>472</v>
      </c>
      <c r="K934" s="151">
        <v>63.72</v>
      </c>
      <c r="L934">
        <f>Table13[[#This Row],[Price]]*Table13[[#This Row],[Units]]</f>
        <v>3186</v>
      </c>
    </row>
    <row r="935" spans="1:12" x14ac:dyDescent="0.35">
      <c r="A935" s="145">
        <v>45701</v>
      </c>
      <c r="B935" s="146" t="s">
        <v>1439</v>
      </c>
      <c r="C935" s="147" t="s">
        <v>489</v>
      </c>
      <c r="D935" s="147" t="s">
        <v>512</v>
      </c>
      <c r="E935" s="147" t="s">
        <v>333</v>
      </c>
      <c r="F935" s="147" t="s">
        <v>510</v>
      </c>
      <c r="G935" s="147">
        <v>44</v>
      </c>
      <c r="H935" s="148">
        <v>25</v>
      </c>
      <c r="I935" s="149">
        <f t="shared" si="14"/>
        <v>1100</v>
      </c>
      <c r="J935" s="150" t="s">
        <v>466</v>
      </c>
      <c r="K935" s="151">
        <v>33</v>
      </c>
      <c r="L935">
        <f>Table13[[#This Row],[Price]]*Table13[[#This Row],[Units]]</f>
        <v>1100</v>
      </c>
    </row>
    <row r="936" spans="1:12" x14ac:dyDescent="0.35">
      <c r="A936" s="145">
        <v>45701</v>
      </c>
      <c r="B936" s="146" t="s">
        <v>1440</v>
      </c>
      <c r="C936" s="147" t="s">
        <v>501</v>
      </c>
      <c r="D936" s="147" t="s">
        <v>519</v>
      </c>
      <c r="E936" s="147" t="s">
        <v>315</v>
      </c>
      <c r="F936" s="147" t="s">
        <v>510</v>
      </c>
      <c r="G936" s="147">
        <v>49</v>
      </c>
      <c r="H936" s="148">
        <v>32</v>
      </c>
      <c r="I936" s="149">
        <f t="shared" si="14"/>
        <v>1568</v>
      </c>
      <c r="J936" s="150" t="s">
        <v>503</v>
      </c>
      <c r="K936" s="151">
        <v>45.472000000000001</v>
      </c>
      <c r="L936">
        <f>Table13[[#This Row],[Price]]*Table13[[#This Row],[Units]]</f>
        <v>1568</v>
      </c>
    </row>
    <row r="937" spans="1:12" x14ac:dyDescent="0.35">
      <c r="A937" s="145">
        <v>45701</v>
      </c>
      <c r="B937" s="146" t="s">
        <v>1441</v>
      </c>
      <c r="C937" s="147" t="s">
        <v>322</v>
      </c>
      <c r="D937" s="147" t="s">
        <v>470</v>
      </c>
      <c r="E937" s="147" t="s">
        <v>483</v>
      </c>
      <c r="F937" s="147" t="s">
        <v>513</v>
      </c>
      <c r="G937" s="147">
        <v>12</v>
      </c>
      <c r="H937" s="148">
        <v>27</v>
      </c>
      <c r="I937" s="149">
        <f t="shared" si="14"/>
        <v>324</v>
      </c>
      <c r="J937" s="150" t="s">
        <v>466</v>
      </c>
      <c r="K937" s="151">
        <v>9.3960000000000008</v>
      </c>
      <c r="L937">
        <f>Table13[[#This Row],[Price]]*Table13[[#This Row],[Units]]</f>
        <v>324</v>
      </c>
    </row>
    <row r="938" spans="1:12" x14ac:dyDescent="0.35">
      <c r="A938" s="145">
        <v>45702</v>
      </c>
      <c r="B938" s="146" t="s">
        <v>1442</v>
      </c>
      <c r="C938" s="147" t="s">
        <v>489</v>
      </c>
      <c r="D938" s="147" t="s">
        <v>470</v>
      </c>
      <c r="E938" s="147" t="s">
        <v>412</v>
      </c>
      <c r="F938" s="147" t="s">
        <v>513</v>
      </c>
      <c r="G938" s="147">
        <v>52</v>
      </c>
      <c r="H938" s="148">
        <v>25</v>
      </c>
      <c r="I938" s="149">
        <f t="shared" si="14"/>
        <v>1300</v>
      </c>
      <c r="J938" s="150" t="s">
        <v>515</v>
      </c>
      <c r="K938" s="151">
        <v>35.1</v>
      </c>
      <c r="L938">
        <f>Table13[[#This Row],[Price]]*Table13[[#This Row],[Units]]</f>
        <v>1300</v>
      </c>
    </row>
    <row r="939" spans="1:12" x14ac:dyDescent="0.35">
      <c r="A939" s="145">
        <v>45702</v>
      </c>
      <c r="B939" s="146" t="s">
        <v>1443</v>
      </c>
      <c r="C939" s="147" t="s">
        <v>489</v>
      </c>
      <c r="D939" s="147" t="s">
        <v>470</v>
      </c>
      <c r="E939" s="147" t="s">
        <v>324</v>
      </c>
      <c r="F939" s="147" t="s">
        <v>517</v>
      </c>
      <c r="G939" s="147">
        <v>19</v>
      </c>
      <c r="H939" s="148">
        <v>46</v>
      </c>
      <c r="I939" s="149">
        <f t="shared" si="14"/>
        <v>874</v>
      </c>
      <c r="J939" s="150" t="s">
        <v>466</v>
      </c>
      <c r="K939" s="151">
        <v>18.353999999999999</v>
      </c>
      <c r="L939">
        <f>Table13[[#This Row],[Price]]*Table13[[#This Row],[Units]]</f>
        <v>874</v>
      </c>
    </row>
    <row r="940" spans="1:12" x14ac:dyDescent="0.35">
      <c r="A940" s="145">
        <v>45702</v>
      </c>
      <c r="B940" s="146" t="s">
        <v>1444</v>
      </c>
      <c r="C940" s="147" t="s">
        <v>322</v>
      </c>
      <c r="D940" s="147" t="s">
        <v>490</v>
      </c>
      <c r="E940" s="147" t="s">
        <v>333</v>
      </c>
      <c r="F940" s="147" t="s">
        <v>513</v>
      </c>
      <c r="G940" s="147">
        <v>37</v>
      </c>
      <c r="H940" s="148">
        <v>24</v>
      </c>
      <c r="I940" s="149">
        <f t="shared" si="14"/>
        <v>888</v>
      </c>
      <c r="J940" s="150" t="s">
        <v>472</v>
      </c>
      <c r="K940" s="151">
        <v>23.088000000000001</v>
      </c>
      <c r="L940">
        <f>Table13[[#This Row],[Price]]*Table13[[#This Row],[Units]]</f>
        <v>888</v>
      </c>
    </row>
    <row r="941" spans="1:12" x14ac:dyDescent="0.35">
      <c r="A941" s="145">
        <v>45702</v>
      </c>
      <c r="B941" s="146" t="s">
        <v>1445</v>
      </c>
      <c r="C941" s="147" t="s">
        <v>322</v>
      </c>
      <c r="D941" s="147" t="s">
        <v>477</v>
      </c>
      <c r="E941" s="147" t="s">
        <v>390</v>
      </c>
      <c r="F941" s="147" t="s">
        <v>536</v>
      </c>
      <c r="G941" s="147">
        <v>13</v>
      </c>
      <c r="H941" s="148">
        <v>21</v>
      </c>
      <c r="I941" s="149">
        <f t="shared" si="14"/>
        <v>273</v>
      </c>
      <c r="J941" s="150" t="s">
        <v>472</v>
      </c>
      <c r="K941" s="151">
        <v>7.9169999999999998</v>
      </c>
      <c r="L941">
        <f>Table13[[#This Row],[Price]]*Table13[[#This Row],[Units]]</f>
        <v>273</v>
      </c>
    </row>
    <row r="942" spans="1:12" x14ac:dyDescent="0.35">
      <c r="A942" s="145">
        <v>45702</v>
      </c>
      <c r="B942" s="146" t="s">
        <v>1446</v>
      </c>
      <c r="C942" s="147" t="s">
        <v>484</v>
      </c>
      <c r="D942" s="147" t="s">
        <v>477</v>
      </c>
      <c r="E942" s="147" t="s">
        <v>315</v>
      </c>
      <c r="F942" s="147" t="s">
        <v>497</v>
      </c>
      <c r="G942" s="147">
        <v>56</v>
      </c>
      <c r="H942" s="148">
        <v>25</v>
      </c>
      <c r="I942" s="149">
        <f t="shared" si="14"/>
        <v>1400</v>
      </c>
      <c r="J942" s="150" t="s">
        <v>466</v>
      </c>
      <c r="K942" s="151">
        <v>42</v>
      </c>
      <c r="L942">
        <f>Table13[[#This Row],[Price]]*Table13[[#This Row],[Units]]</f>
        <v>1400</v>
      </c>
    </row>
    <row r="943" spans="1:12" x14ac:dyDescent="0.35">
      <c r="A943" s="145">
        <v>45702</v>
      </c>
      <c r="B943" s="146" t="s">
        <v>1447</v>
      </c>
      <c r="C943" s="147" t="s">
        <v>492</v>
      </c>
      <c r="D943" s="147" t="s">
        <v>486</v>
      </c>
      <c r="E943" s="147" t="s">
        <v>320</v>
      </c>
      <c r="F943" s="147" t="s">
        <v>491</v>
      </c>
      <c r="G943" s="147">
        <v>20</v>
      </c>
      <c r="H943" s="148">
        <v>24</v>
      </c>
      <c r="I943" s="149">
        <f t="shared" si="14"/>
        <v>480</v>
      </c>
      <c r="J943" s="150" t="s">
        <v>466</v>
      </c>
      <c r="K943" s="151">
        <v>13.92</v>
      </c>
      <c r="L943">
        <f>Table13[[#This Row],[Price]]*Table13[[#This Row],[Units]]</f>
        <v>480</v>
      </c>
    </row>
    <row r="944" spans="1:12" x14ac:dyDescent="0.35">
      <c r="A944" s="145">
        <v>45702</v>
      </c>
      <c r="B944" s="146" t="s">
        <v>1448</v>
      </c>
      <c r="C944" s="147" t="s">
        <v>476</v>
      </c>
      <c r="D944" s="147" t="s">
        <v>465</v>
      </c>
      <c r="E944" s="147" t="s">
        <v>315</v>
      </c>
      <c r="F944" s="147" t="s">
        <v>497</v>
      </c>
      <c r="G944" s="147">
        <v>21</v>
      </c>
      <c r="H944" s="148">
        <v>41</v>
      </c>
      <c r="I944" s="149">
        <f t="shared" si="14"/>
        <v>861</v>
      </c>
      <c r="J944" s="150" t="s">
        <v>466</v>
      </c>
      <c r="K944" s="151">
        <v>23.247</v>
      </c>
      <c r="L944">
        <f>Table13[[#This Row],[Price]]*Table13[[#This Row],[Units]]</f>
        <v>861</v>
      </c>
    </row>
    <row r="945" spans="1:12" x14ac:dyDescent="0.35">
      <c r="A945" s="145">
        <v>45702</v>
      </c>
      <c r="B945" s="146" t="s">
        <v>1449</v>
      </c>
      <c r="C945" s="147" t="s">
        <v>469</v>
      </c>
      <c r="D945" s="147" t="s">
        <v>512</v>
      </c>
      <c r="E945" s="147" t="s">
        <v>324</v>
      </c>
      <c r="F945" s="147" t="s">
        <v>510</v>
      </c>
      <c r="G945" s="147">
        <v>17</v>
      </c>
      <c r="H945" s="148">
        <v>21</v>
      </c>
      <c r="I945" s="149">
        <f t="shared" si="14"/>
        <v>357</v>
      </c>
      <c r="J945" s="150" t="s">
        <v>466</v>
      </c>
      <c r="K945" s="151">
        <v>9.282</v>
      </c>
      <c r="L945">
        <f>Table13[[#This Row],[Price]]*Table13[[#This Row],[Units]]</f>
        <v>357</v>
      </c>
    </row>
    <row r="946" spans="1:12" x14ac:dyDescent="0.35">
      <c r="A946" s="145">
        <v>45702</v>
      </c>
      <c r="B946" s="146" t="s">
        <v>1450</v>
      </c>
      <c r="C946" s="147" t="s">
        <v>494</v>
      </c>
      <c r="D946" s="147" t="s">
        <v>465</v>
      </c>
      <c r="E946" s="147" t="s">
        <v>390</v>
      </c>
      <c r="F946" s="147" t="s">
        <v>513</v>
      </c>
      <c r="G946" s="147">
        <v>48</v>
      </c>
      <c r="H946" s="148">
        <v>49</v>
      </c>
      <c r="I946" s="149">
        <f t="shared" si="14"/>
        <v>2352</v>
      </c>
      <c r="J946" s="150" t="s">
        <v>466</v>
      </c>
      <c r="K946" s="151">
        <v>68.207999999999998</v>
      </c>
      <c r="L946">
        <f>Table13[[#This Row],[Price]]*Table13[[#This Row],[Units]]</f>
        <v>2352</v>
      </c>
    </row>
    <row r="947" spans="1:12" x14ac:dyDescent="0.35">
      <c r="A947" s="145">
        <v>45702</v>
      </c>
      <c r="B947" s="146" t="s">
        <v>1451</v>
      </c>
      <c r="C947" s="147" t="s">
        <v>476</v>
      </c>
      <c r="D947" s="147" t="s">
        <v>477</v>
      </c>
      <c r="E947" s="147" t="s">
        <v>333</v>
      </c>
      <c r="F947" s="147" t="s">
        <v>567</v>
      </c>
      <c r="G947" s="147">
        <v>51</v>
      </c>
      <c r="H947" s="148">
        <v>47</v>
      </c>
      <c r="I947" s="149">
        <f t="shared" si="14"/>
        <v>2397</v>
      </c>
      <c r="J947" s="150" t="s">
        <v>472</v>
      </c>
      <c r="K947" s="151">
        <v>59.924999999999997</v>
      </c>
      <c r="L947">
        <f>Table13[[#This Row],[Price]]*Table13[[#This Row],[Units]]</f>
        <v>2397</v>
      </c>
    </row>
    <row r="948" spans="1:12" x14ac:dyDescent="0.35">
      <c r="A948" s="145">
        <v>45702</v>
      </c>
      <c r="B948" s="146" t="s">
        <v>1452</v>
      </c>
      <c r="C948" s="147" t="s">
        <v>322</v>
      </c>
      <c r="D948" s="147" t="s">
        <v>470</v>
      </c>
      <c r="E948" s="147" t="s">
        <v>324</v>
      </c>
      <c r="F948" s="147" t="s">
        <v>539</v>
      </c>
      <c r="G948" s="147">
        <v>17</v>
      </c>
      <c r="H948" s="148">
        <v>31</v>
      </c>
      <c r="I948" s="149">
        <f t="shared" si="14"/>
        <v>527</v>
      </c>
      <c r="J948" s="150" t="s">
        <v>466</v>
      </c>
      <c r="K948" s="151">
        <v>13.175000000000001</v>
      </c>
      <c r="L948">
        <f>Table13[[#This Row],[Price]]*Table13[[#This Row],[Units]]</f>
        <v>527</v>
      </c>
    </row>
    <row r="949" spans="1:12" x14ac:dyDescent="0.35">
      <c r="A949" s="145">
        <v>45703</v>
      </c>
      <c r="B949" s="146" t="s">
        <v>1453</v>
      </c>
      <c r="C949" s="147" t="s">
        <v>492</v>
      </c>
      <c r="D949" s="147" t="s">
        <v>512</v>
      </c>
      <c r="E949" s="147" t="s">
        <v>315</v>
      </c>
      <c r="F949" s="147" t="s">
        <v>510</v>
      </c>
      <c r="G949" s="147">
        <v>45</v>
      </c>
      <c r="H949" s="148">
        <v>56</v>
      </c>
      <c r="I949" s="149">
        <f t="shared" si="14"/>
        <v>2520</v>
      </c>
      <c r="J949" s="150" t="s">
        <v>466</v>
      </c>
      <c r="K949" s="151">
        <v>60.48</v>
      </c>
      <c r="L949">
        <f>Table13[[#This Row],[Price]]*Table13[[#This Row],[Units]]</f>
        <v>2520</v>
      </c>
    </row>
    <row r="950" spans="1:12" x14ac:dyDescent="0.35">
      <c r="A950" s="145">
        <v>45703</v>
      </c>
      <c r="B950" s="146" t="s">
        <v>1454</v>
      </c>
      <c r="C950" s="147" t="s">
        <v>469</v>
      </c>
      <c r="D950" s="147" t="s">
        <v>490</v>
      </c>
      <c r="E950" s="147" t="s">
        <v>412</v>
      </c>
      <c r="F950" s="147" t="s">
        <v>517</v>
      </c>
      <c r="G950" s="147">
        <v>18</v>
      </c>
      <c r="H950" s="148">
        <v>41</v>
      </c>
      <c r="I950" s="149">
        <f t="shared" si="14"/>
        <v>738</v>
      </c>
      <c r="J950" s="150" t="s">
        <v>515</v>
      </c>
      <c r="K950" s="151">
        <v>15.497999999999999</v>
      </c>
      <c r="L950">
        <f>Table13[[#This Row],[Price]]*Table13[[#This Row],[Units]]</f>
        <v>738</v>
      </c>
    </row>
    <row r="951" spans="1:12" x14ac:dyDescent="0.35">
      <c r="A951" s="145">
        <v>45703</v>
      </c>
      <c r="B951" s="146" t="s">
        <v>1455</v>
      </c>
      <c r="C951" s="147" t="s">
        <v>322</v>
      </c>
      <c r="D951" s="147" t="s">
        <v>465</v>
      </c>
      <c r="E951" s="147" t="s">
        <v>390</v>
      </c>
      <c r="F951" s="147" t="s">
        <v>528</v>
      </c>
      <c r="G951" s="147">
        <v>42</v>
      </c>
      <c r="H951" s="148">
        <v>54</v>
      </c>
      <c r="I951" s="149">
        <f t="shared" si="14"/>
        <v>2268</v>
      </c>
      <c r="J951" s="150" t="s">
        <v>466</v>
      </c>
      <c r="K951" s="151">
        <v>68.040000000000006</v>
      </c>
      <c r="L951">
        <f>Table13[[#This Row],[Price]]*Table13[[#This Row],[Units]]</f>
        <v>2268</v>
      </c>
    </row>
    <row r="952" spans="1:12" x14ac:dyDescent="0.35">
      <c r="A952" s="145">
        <v>45703</v>
      </c>
      <c r="B952" s="146" t="s">
        <v>1456</v>
      </c>
      <c r="C952" s="147" t="s">
        <v>464</v>
      </c>
      <c r="D952" s="147" t="s">
        <v>465</v>
      </c>
      <c r="E952" s="147" t="s">
        <v>320</v>
      </c>
      <c r="F952" s="147" t="s">
        <v>510</v>
      </c>
      <c r="G952" s="147">
        <v>32</v>
      </c>
      <c r="H952" s="148">
        <v>33</v>
      </c>
      <c r="I952" s="149">
        <f t="shared" si="14"/>
        <v>1056</v>
      </c>
      <c r="J952" s="150" t="s">
        <v>472</v>
      </c>
      <c r="K952" s="151">
        <v>26.4</v>
      </c>
      <c r="L952">
        <f>Table13[[#This Row],[Price]]*Table13[[#This Row],[Units]]</f>
        <v>1056</v>
      </c>
    </row>
    <row r="953" spans="1:12" x14ac:dyDescent="0.35">
      <c r="A953" s="145">
        <v>45703</v>
      </c>
      <c r="B953" s="146" t="s">
        <v>1457</v>
      </c>
      <c r="C953" s="147" t="s">
        <v>484</v>
      </c>
      <c r="D953" s="147" t="s">
        <v>470</v>
      </c>
      <c r="E953" s="147" t="s">
        <v>483</v>
      </c>
      <c r="F953" s="147" t="s">
        <v>520</v>
      </c>
      <c r="G953" s="147">
        <v>17</v>
      </c>
      <c r="H953" s="148">
        <v>22</v>
      </c>
      <c r="I953" s="149">
        <f t="shared" si="14"/>
        <v>374</v>
      </c>
      <c r="J953" s="150" t="s">
        <v>466</v>
      </c>
      <c r="K953" s="151">
        <v>9.35</v>
      </c>
      <c r="L953">
        <f>Table13[[#This Row],[Price]]*Table13[[#This Row],[Units]]</f>
        <v>374</v>
      </c>
    </row>
    <row r="954" spans="1:12" x14ac:dyDescent="0.35">
      <c r="A954" s="145">
        <v>45703</v>
      </c>
      <c r="B954" s="146" t="s">
        <v>1458</v>
      </c>
      <c r="C954" s="147" t="s">
        <v>484</v>
      </c>
      <c r="D954" s="147" t="s">
        <v>477</v>
      </c>
      <c r="E954" s="147" t="s">
        <v>483</v>
      </c>
      <c r="F954" s="147" t="s">
        <v>528</v>
      </c>
      <c r="G954" s="147">
        <v>16</v>
      </c>
      <c r="H954" s="148">
        <v>24</v>
      </c>
      <c r="I954" s="149">
        <f t="shared" si="14"/>
        <v>384</v>
      </c>
      <c r="J954" s="150" t="s">
        <v>472</v>
      </c>
      <c r="K954" s="151">
        <v>9.2159999999999993</v>
      </c>
      <c r="L954">
        <f>Table13[[#This Row],[Price]]*Table13[[#This Row],[Units]]</f>
        <v>384</v>
      </c>
    </row>
    <row r="955" spans="1:12" x14ac:dyDescent="0.35">
      <c r="A955" s="145">
        <v>45703</v>
      </c>
      <c r="B955" s="146" t="s">
        <v>1459</v>
      </c>
      <c r="C955" s="147" t="s">
        <v>489</v>
      </c>
      <c r="D955" s="147" t="s">
        <v>470</v>
      </c>
      <c r="E955" s="147" t="s">
        <v>390</v>
      </c>
      <c r="F955" s="147" t="s">
        <v>539</v>
      </c>
      <c r="G955" s="147">
        <v>48</v>
      </c>
      <c r="H955" s="148">
        <v>58</v>
      </c>
      <c r="I955" s="149">
        <f t="shared" si="14"/>
        <v>2784</v>
      </c>
      <c r="J955" s="150" t="s">
        <v>472</v>
      </c>
      <c r="K955" s="151">
        <v>75.168000000000006</v>
      </c>
      <c r="L955">
        <f>Table13[[#This Row],[Price]]*Table13[[#This Row],[Units]]</f>
        <v>2784</v>
      </c>
    </row>
    <row r="956" spans="1:12" x14ac:dyDescent="0.35">
      <c r="A956" s="145">
        <v>45703</v>
      </c>
      <c r="B956" s="146" t="s">
        <v>1460</v>
      </c>
      <c r="C956" s="147" t="s">
        <v>469</v>
      </c>
      <c r="D956" s="147" t="s">
        <v>490</v>
      </c>
      <c r="E956" s="147" t="s">
        <v>315</v>
      </c>
      <c r="F956" s="147" t="s">
        <v>523</v>
      </c>
      <c r="G956" s="147">
        <v>27</v>
      </c>
      <c r="H956" s="148">
        <v>28</v>
      </c>
      <c r="I956" s="149">
        <f t="shared" si="14"/>
        <v>756</v>
      </c>
      <c r="J956" s="150" t="s">
        <v>466</v>
      </c>
      <c r="K956" s="151">
        <v>17.388000000000002</v>
      </c>
      <c r="L956">
        <f>Table13[[#This Row],[Price]]*Table13[[#This Row],[Units]]</f>
        <v>756</v>
      </c>
    </row>
    <row r="957" spans="1:12" x14ac:dyDescent="0.35">
      <c r="A957" s="145">
        <v>45703</v>
      </c>
      <c r="B957" s="146" t="s">
        <v>1461</v>
      </c>
      <c r="C957" s="147" t="s">
        <v>322</v>
      </c>
      <c r="D957" s="147" t="s">
        <v>512</v>
      </c>
      <c r="E957" s="147" t="s">
        <v>320</v>
      </c>
      <c r="F957" s="147" t="s">
        <v>491</v>
      </c>
      <c r="G957" s="147">
        <v>48</v>
      </c>
      <c r="H957" s="148">
        <v>47</v>
      </c>
      <c r="I957" s="149">
        <f t="shared" si="14"/>
        <v>2256</v>
      </c>
      <c r="J957" s="150" t="s">
        <v>503</v>
      </c>
      <c r="K957" s="151">
        <v>56.4</v>
      </c>
      <c r="L957">
        <f>Table13[[#This Row],[Price]]*Table13[[#This Row],[Units]]</f>
        <v>2256</v>
      </c>
    </row>
    <row r="958" spans="1:12" x14ac:dyDescent="0.35">
      <c r="A958" s="145">
        <v>45703</v>
      </c>
      <c r="B958" s="146" t="s">
        <v>1462</v>
      </c>
      <c r="C958" s="147" t="s">
        <v>494</v>
      </c>
      <c r="D958" s="147" t="s">
        <v>486</v>
      </c>
      <c r="E958" s="147" t="s">
        <v>315</v>
      </c>
      <c r="F958" s="147" t="s">
        <v>523</v>
      </c>
      <c r="G958" s="147">
        <v>38</v>
      </c>
      <c r="H958" s="148">
        <v>46</v>
      </c>
      <c r="I958" s="149">
        <f t="shared" si="14"/>
        <v>1748</v>
      </c>
      <c r="J958" s="150" t="s">
        <v>466</v>
      </c>
      <c r="K958" s="151">
        <v>50.692</v>
      </c>
      <c r="L958">
        <f>Table13[[#This Row],[Price]]*Table13[[#This Row],[Units]]</f>
        <v>1748</v>
      </c>
    </row>
    <row r="959" spans="1:12" x14ac:dyDescent="0.35">
      <c r="A959" s="145">
        <v>45703</v>
      </c>
      <c r="B959" s="146" t="s">
        <v>1463</v>
      </c>
      <c r="C959" s="147" t="s">
        <v>476</v>
      </c>
      <c r="D959" s="147" t="s">
        <v>470</v>
      </c>
      <c r="E959" s="147" t="s">
        <v>483</v>
      </c>
      <c r="F959" s="147" t="s">
        <v>517</v>
      </c>
      <c r="G959" s="147">
        <v>46</v>
      </c>
      <c r="H959" s="148">
        <v>53</v>
      </c>
      <c r="I959" s="149">
        <f t="shared" si="14"/>
        <v>2438</v>
      </c>
      <c r="J959" s="150" t="s">
        <v>472</v>
      </c>
      <c r="K959" s="151">
        <v>51.198</v>
      </c>
      <c r="L959">
        <f>Table13[[#This Row],[Price]]*Table13[[#This Row],[Units]]</f>
        <v>2438</v>
      </c>
    </row>
    <row r="960" spans="1:12" x14ac:dyDescent="0.35">
      <c r="A960" s="145">
        <v>45703</v>
      </c>
      <c r="B960" s="146" t="s">
        <v>1464</v>
      </c>
      <c r="C960" s="147" t="s">
        <v>322</v>
      </c>
      <c r="D960" s="147" t="s">
        <v>519</v>
      </c>
      <c r="E960" s="147" t="s">
        <v>315</v>
      </c>
      <c r="F960" s="147" t="s">
        <v>517</v>
      </c>
      <c r="G960" s="147">
        <v>49</v>
      </c>
      <c r="H960" s="148">
        <v>48</v>
      </c>
      <c r="I960" s="149">
        <f t="shared" si="14"/>
        <v>2352</v>
      </c>
      <c r="J960" s="150" t="s">
        <v>466</v>
      </c>
      <c r="K960" s="151">
        <v>47.04</v>
      </c>
      <c r="L960">
        <f>Table13[[#This Row],[Price]]*Table13[[#This Row],[Units]]</f>
        <v>2352</v>
      </c>
    </row>
    <row r="961" spans="1:12" x14ac:dyDescent="0.35">
      <c r="A961" s="145">
        <v>45703</v>
      </c>
      <c r="B961" s="146" t="s">
        <v>1465</v>
      </c>
      <c r="C961" s="147" t="s">
        <v>501</v>
      </c>
      <c r="D961" s="147" t="s">
        <v>465</v>
      </c>
      <c r="E961" s="147" t="s">
        <v>324</v>
      </c>
      <c r="F961" s="147" t="s">
        <v>497</v>
      </c>
      <c r="G961" s="147">
        <v>51</v>
      </c>
      <c r="H961" s="148">
        <v>53</v>
      </c>
      <c r="I961" s="149">
        <f t="shared" si="14"/>
        <v>2703</v>
      </c>
      <c r="J961" s="150" t="s">
        <v>466</v>
      </c>
      <c r="K961" s="151">
        <v>70.278000000000006</v>
      </c>
      <c r="L961">
        <f>Table13[[#This Row],[Price]]*Table13[[#This Row],[Units]]</f>
        <v>2703</v>
      </c>
    </row>
    <row r="962" spans="1:12" x14ac:dyDescent="0.35">
      <c r="A962" s="145">
        <v>45703</v>
      </c>
      <c r="B962" s="146" t="s">
        <v>1466</v>
      </c>
      <c r="C962" s="147" t="s">
        <v>484</v>
      </c>
      <c r="D962" s="147" t="s">
        <v>465</v>
      </c>
      <c r="E962" s="147" t="s">
        <v>390</v>
      </c>
      <c r="F962" s="147" t="s">
        <v>487</v>
      </c>
      <c r="G962" s="147">
        <v>55</v>
      </c>
      <c r="H962" s="148">
        <v>39</v>
      </c>
      <c r="I962" s="149">
        <f t="shared" si="14"/>
        <v>2145</v>
      </c>
      <c r="J962" s="150" t="s">
        <v>503</v>
      </c>
      <c r="K962" s="151">
        <v>47.19</v>
      </c>
      <c r="L962">
        <f>Table13[[#This Row],[Price]]*Table13[[#This Row],[Units]]</f>
        <v>2145</v>
      </c>
    </row>
    <row r="963" spans="1:12" x14ac:dyDescent="0.35">
      <c r="A963" s="145">
        <v>45703</v>
      </c>
      <c r="B963" s="146" t="s">
        <v>1467</v>
      </c>
      <c r="C963" s="147" t="s">
        <v>469</v>
      </c>
      <c r="D963" s="147" t="s">
        <v>477</v>
      </c>
      <c r="E963" s="147" t="s">
        <v>315</v>
      </c>
      <c r="F963" s="147" t="s">
        <v>517</v>
      </c>
      <c r="G963" s="147">
        <v>53</v>
      </c>
      <c r="H963" s="148">
        <v>42</v>
      </c>
      <c r="I963" s="149">
        <f t="shared" ref="I963:I1026" si="15">G963*H963</f>
        <v>2226</v>
      </c>
      <c r="J963" s="150" t="s">
        <v>466</v>
      </c>
      <c r="K963" s="151">
        <v>48.972000000000001</v>
      </c>
      <c r="L963">
        <f>Table13[[#This Row],[Price]]*Table13[[#This Row],[Units]]</f>
        <v>2226</v>
      </c>
    </row>
    <row r="964" spans="1:12" x14ac:dyDescent="0.35">
      <c r="A964" s="145">
        <v>45703</v>
      </c>
      <c r="B964" s="146" t="s">
        <v>1468</v>
      </c>
      <c r="C964" s="147" t="s">
        <v>484</v>
      </c>
      <c r="D964" s="147" t="s">
        <v>512</v>
      </c>
      <c r="E964" s="147" t="s">
        <v>315</v>
      </c>
      <c r="F964" s="147" t="s">
        <v>539</v>
      </c>
      <c r="G964" s="147">
        <v>17</v>
      </c>
      <c r="H964" s="148">
        <v>50</v>
      </c>
      <c r="I964" s="149">
        <f t="shared" si="15"/>
        <v>850</v>
      </c>
      <c r="J964" s="150" t="s">
        <v>515</v>
      </c>
      <c r="K964" s="151">
        <v>23.8</v>
      </c>
      <c r="L964">
        <f>Table13[[#This Row],[Price]]*Table13[[#This Row],[Units]]</f>
        <v>850</v>
      </c>
    </row>
    <row r="965" spans="1:12" x14ac:dyDescent="0.35">
      <c r="A965" s="145">
        <v>45703</v>
      </c>
      <c r="B965" s="146" t="s">
        <v>1469</v>
      </c>
      <c r="C965" s="147" t="s">
        <v>489</v>
      </c>
      <c r="D965" s="147" t="s">
        <v>519</v>
      </c>
      <c r="E965" s="147" t="s">
        <v>390</v>
      </c>
      <c r="F965" s="147" t="s">
        <v>520</v>
      </c>
      <c r="G965" s="147">
        <v>36</v>
      </c>
      <c r="H965" s="148">
        <v>52</v>
      </c>
      <c r="I965" s="149">
        <f t="shared" si="15"/>
        <v>1872</v>
      </c>
      <c r="J965" s="150" t="s">
        <v>466</v>
      </c>
      <c r="K965" s="151">
        <v>56.16</v>
      </c>
      <c r="L965">
        <f>Table13[[#This Row],[Price]]*Table13[[#This Row],[Units]]</f>
        <v>1872</v>
      </c>
    </row>
    <row r="966" spans="1:12" x14ac:dyDescent="0.35">
      <c r="A966" s="145">
        <v>45703</v>
      </c>
      <c r="B966" s="146" t="s">
        <v>1470</v>
      </c>
      <c r="C966" s="147" t="s">
        <v>501</v>
      </c>
      <c r="D966" s="147" t="s">
        <v>477</v>
      </c>
      <c r="E966" s="147" t="s">
        <v>324</v>
      </c>
      <c r="F966" s="147" t="s">
        <v>497</v>
      </c>
      <c r="G966" s="147">
        <v>45</v>
      </c>
      <c r="H966" s="148">
        <v>33</v>
      </c>
      <c r="I966" s="149">
        <f t="shared" si="15"/>
        <v>1485</v>
      </c>
      <c r="J966" s="150" t="s">
        <v>515</v>
      </c>
      <c r="K966" s="151">
        <v>31.184999999999999</v>
      </c>
      <c r="L966">
        <f>Table13[[#This Row],[Price]]*Table13[[#This Row],[Units]]</f>
        <v>1485</v>
      </c>
    </row>
    <row r="967" spans="1:12" x14ac:dyDescent="0.35">
      <c r="A967" s="145">
        <v>45703</v>
      </c>
      <c r="B967" s="146" t="s">
        <v>1471</v>
      </c>
      <c r="C967" s="147" t="s">
        <v>464</v>
      </c>
      <c r="D967" s="147" t="s">
        <v>519</v>
      </c>
      <c r="E967" s="147" t="s">
        <v>320</v>
      </c>
      <c r="F967" s="147" t="s">
        <v>491</v>
      </c>
      <c r="G967" s="147">
        <v>14</v>
      </c>
      <c r="H967" s="148">
        <v>26</v>
      </c>
      <c r="I967" s="149">
        <f t="shared" si="15"/>
        <v>364</v>
      </c>
      <c r="J967" s="150" t="s">
        <v>466</v>
      </c>
      <c r="K967" s="151">
        <v>9.4640000000000004</v>
      </c>
      <c r="L967">
        <f>Table13[[#This Row],[Price]]*Table13[[#This Row],[Units]]</f>
        <v>364</v>
      </c>
    </row>
    <row r="968" spans="1:12" x14ac:dyDescent="0.35">
      <c r="A968" s="145">
        <v>45703</v>
      </c>
      <c r="B968" s="146" t="s">
        <v>1472</v>
      </c>
      <c r="C968" s="147" t="s">
        <v>464</v>
      </c>
      <c r="D968" s="147" t="s">
        <v>477</v>
      </c>
      <c r="E968" s="147" t="s">
        <v>320</v>
      </c>
      <c r="F968" s="147" t="s">
        <v>487</v>
      </c>
      <c r="G968" s="147">
        <v>35</v>
      </c>
      <c r="H968" s="148">
        <v>41</v>
      </c>
      <c r="I968" s="149">
        <f t="shared" si="15"/>
        <v>1435</v>
      </c>
      <c r="J968" s="150" t="s">
        <v>515</v>
      </c>
      <c r="K968" s="151">
        <v>34.44</v>
      </c>
      <c r="L968">
        <f>Table13[[#This Row],[Price]]*Table13[[#This Row],[Units]]</f>
        <v>1435</v>
      </c>
    </row>
    <row r="969" spans="1:12" x14ac:dyDescent="0.35">
      <c r="A969" s="145">
        <v>45703</v>
      </c>
      <c r="B969" s="146" t="s">
        <v>1473</v>
      </c>
      <c r="C969" s="147" t="s">
        <v>489</v>
      </c>
      <c r="D969" s="147" t="s">
        <v>490</v>
      </c>
      <c r="E969" s="147" t="s">
        <v>324</v>
      </c>
      <c r="F969" s="147" t="s">
        <v>517</v>
      </c>
      <c r="G969" s="147">
        <v>28</v>
      </c>
      <c r="H969" s="148">
        <v>26</v>
      </c>
      <c r="I969" s="149">
        <f t="shared" si="15"/>
        <v>728</v>
      </c>
      <c r="J969" s="150" t="s">
        <v>472</v>
      </c>
      <c r="K969" s="151">
        <v>14.56</v>
      </c>
      <c r="L969">
        <f>Table13[[#This Row],[Price]]*Table13[[#This Row],[Units]]</f>
        <v>728</v>
      </c>
    </row>
    <row r="970" spans="1:12" x14ac:dyDescent="0.35">
      <c r="A970" s="145">
        <v>45703</v>
      </c>
      <c r="B970" s="146" t="s">
        <v>1474</v>
      </c>
      <c r="C970" s="147" t="s">
        <v>322</v>
      </c>
      <c r="D970" s="147" t="s">
        <v>486</v>
      </c>
      <c r="E970" s="147" t="s">
        <v>320</v>
      </c>
      <c r="F970" s="147" t="s">
        <v>491</v>
      </c>
      <c r="G970" s="147">
        <v>58</v>
      </c>
      <c r="H970" s="148">
        <v>25</v>
      </c>
      <c r="I970" s="149">
        <f t="shared" si="15"/>
        <v>1450</v>
      </c>
      <c r="J970" s="150" t="s">
        <v>472</v>
      </c>
      <c r="K970" s="151">
        <v>39.15</v>
      </c>
      <c r="L970">
        <f>Table13[[#This Row],[Price]]*Table13[[#This Row],[Units]]</f>
        <v>1450</v>
      </c>
    </row>
    <row r="971" spans="1:12" x14ac:dyDescent="0.35">
      <c r="A971" s="145">
        <v>45703</v>
      </c>
      <c r="B971" s="146" t="s">
        <v>1475</v>
      </c>
      <c r="C971" s="147" t="s">
        <v>494</v>
      </c>
      <c r="D971" s="147" t="s">
        <v>486</v>
      </c>
      <c r="E971" s="147" t="s">
        <v>324</v>
      </c>
      <c r="F971" s="147" t="s">
        <v>513</v>
      </c>
      <c r="G971" s="147">
        <v>34</v>
      </c>
      <c r="H971" s="148">
        <v>45</v>
      </c>
      <c r="I971" s="149">
        <f t="shared" si="15"/>
        <v>1530</v>
      </c>
      <c r="J971" s="150" t="s">
        <v>466</v>
      </c>
      <c r="K971" s="151">
        <v>39.78</v>
      </c>
      <c r="L971">
        <f>Table13[[#This Row],[Price]]*Table13[[#This Row],[Units]]</f>
        <v>1530</v>
      </c>
    </row>
    <row r="972" spans="1:12" x14ac:dyDescent="0.35">
      <c r="A972" s="145">
        <v>45703</v>
      </c>
      <c r="B972" s="146" t="s">
        <v>1476</v>
      </c>
      <c r="C972" s="147" t="s">
        <v>484</v>
      </c>
      <c r="D972" s="147" t="s">
        <v>519</v>
      </c>
      <c r="E972" s="147" t="s">
        <v>324</v>
      </c>
      <c r="F972" s="147" t="s">
        <v>520</v>
      </c>
      <c r="G972" s="147">
        <v>15</v>
      </c>
      <c r="H972" s="148">
        <v>28</v>
      </c>
      <c r="I972" s="149">
        <f t="shared" si="15"/>
        <v>420</v>
      </c>
      <c r="J972" s="150" t="s">
        <v>466</v>
      </c>
      <c r="K972" s="151">
        <v>8.82</v>
      </c>
      <c r="L972">
        <f>Table13[[#This Row],[Price]]*Table13[[#This Row],[Units]]</f>
        <v>420</v>
      </c>
    </row>
    <row r="973" spans="1:12" x14ac:dyDescent="0.35">
      <c r="A973" s="145">
        <v>45703</v>
      </c>
      <c r="B973" s="146" t="s">
        <v>1477</v>
      </c>
      <c r="C973" s="147" t="s">
        <v>489</v>
      </c>
      <c r="D973" s="147" t="s">
        <v>477</v>
      </c>
      <c r="E973" s="147" t="s">
        <v>324</v>
      </c>
      <c r="F973" s="147" t="s">
        <v>487</v>
      </c>
      <c r="G973" s="147">
        <v>27</v>
      </c>
      <c r="H973" s="148">
        <v>54</v>
      </c>
      <c r="I973" s="149">
        <f t="shared" si="15"/>
        <v>1458</v>
      </c>
      <c r="J973" s="150" t="s">
        <v>515</v>
      </c>
      <c r="K973" s="151">
        <v>40.823999999999998</v>
      </c>
      <c r="L973">
        <f>Table13[[#This Row],[Price]]*Table13[[#This Row],[Units]]</f>
        <v>1458</v>
      </c>
    </row>
    <row r="974" spans="1:12" x14ac:dyDescent="0.35">
      <c r="A974" s="145">
        <v>45703</v>
      </c>
      <c r="B974" s="146" t="s">
        <v>1478</v>
      </c>
      <c r="C974" s="147" t="s">
        <v>322</v>
      </c>
      <c r="D974" s="147" t="s">
        <v>490</v>
      </c>
      <c r="E974" s="147" t="s">
        <v>320</v>
      </c>
      <c r="F974" s="147" t="s">
        <v>567</v>
      </c>
      <c r="G974" s="147">
        <v>27</v>
      </c>
      <c r="H974" s="148">
        <v>33</v>
      </c>
      <c r="I974" s="149">
        <f t="shared" si="15"/>
        <v>891</v>
      </c>
      <c r="J974" s="150" t="s">
        <v>472</v>
      </c>
      <c r="K974" s="151">
        <v>19.602</v>
      </c>
      <c r="L974">
        <f>Table13[[#This Row],[Price]]*Table13[[#This Row],[Units]]</f>
        <v>891</v>
      </c>
    </row>
    <row r="975" spans="1:12" x14ac:dyDescent="0.35">
      <c r="A975" s="145">
        <v>45703</v>
      </c>
      <c r="B975" s="146" t="s">
        <v>1479</v>
      </c>
      <c r="C975" s="147" t="s">
        <v>322</v>
      </c>
      <c r="D975" s="147" t="s">
        <v>470</v>
      </c>
      <c r="E975" s="147" t="s">
        <v>483</v>
      </c>
      <c r="F975" s="147" t="s">
        <v>487</v>
      </c>
      <c r="G975" s="147">
        <v>31</v>
      </c>
      <c r="H975" s="148">
        <v>31</v>
      </c>
      <c r="I975" s="149">
        <f t="shared" si="15"/>
        <v>961</v>
      </c>
      <c r="J975" s="150" t="s">
        <v>466</v>
      </c>
      <c r="K975" s="151">
        <v>26.908000000000001</v>
      </c>
      <c r="L975">
        <f>Table13[[#This Row],[Price]]*Table13[[#This Row],[Units]]</f>
        <v>961</v>
      </c>
    </row>
    <row r="976" spans="1:12" x14ac:dyDescent="0.35">
      <c r="A976" s="145">
        <v>45703</v>
      </c>
      <c r="B976" s="146" t="s">
        <v>1480</v>
      </c>
      <c r="C976" s="147" t="s">
        <v>501</v>
      </c>
      <c r="D976" s="147" t="s">
        <v>519</v>
      </c>
      <c r="E976" s="147" t="s">
        <v>333</v>
      </c>
      <c r="F976" s="147" t="s">
        <v>471</v>
      </c>
      <c r="G976" s="147">
        <v>56</v>
      </c>
      <c r="H976" s="148">
        <v>35</v>
      </c>
      <c r="I976" s="149">
        <f t="shared" si="15"/>
        <v>1960</v>
      </c>
      <c r="J976" s="150" t="s">
        <v>472</v>
      </c>
      <c r="K976" s="151">
        <v>43.12</v>
      </c>
      <c r="L976">
        <f>Table13[[#This Row],[Price]]*Table13[[#This Row],[Units]]</f>
        <v>1960</v>
      </c>
    </row>
    <row r="977" spans="1:12" x14ac:dyDescent="0.35">
      <c r="A977" s="145">
        <v>45703</v>
      </c>
      <c r="B977" s="146" t="s">
        <v>1481</v>
      </c>
      <c r="C977" s="147" t="s">
        <v>464</v>
      </c>
      <c r="D977" s="147" t="s">
        <v>519</v>
      </c>
      <c r="E977" s="147" t="s">
        <v>315</v>
      </c>
      <c r="F977" s="147" t="s">
        <v>539</v>
      </c>
      <c r="G977" s="147">
        <v>17</v>
      </c>
      <c r="H977" s="148">
        <v>57</v>
      </c>
      <c r="I977" s="149">
        <f t="shared" si="15"/>
        <v>969</v>
      </c>
      <c r="J977" s="150" t="s">
        <v>466</v>
      </c>
      <c r="K977" s="151">
        <v>23.256</v>
      </c>
      <c r="L977">
        <f>Table13[[#This Row],[Price]]*Table13[[#This Row],[Units]]</f>
        <v>969</v>
      </c>
    </row>
    <row r="978" spans="1:12" x14ac:dyDescent="0.35">
      <c r="A978" s="145">
        <v>45703</v>
      </c>
      <c r="B978" s="146" t="s">
        <v>1482</v>
      </c>
      <c r="C978" s="147" t="s">
        <v>484</v>
      </c>
      <c r="D978" s="147" t="s">
        <v>519</v>
      </c>
      <c r="E978" s="147" t="s">
        <v>333</v>
      </c>
      <c r="F978" s="147" t="s">
        <v>478</v>
      </c>
      <c r="G978" s="147">
        <v>38</v>
      </c>
      <c r="H978" s="148">
        <v>31</v>
      </c>
      <c r="I978" s="149">
        <f t="shared" si="15"/>
        <v>1178</v>
      </c>
      <c r="J978" s="150" t="s">
        <v>466</v>
      </c>
      <c r="K978" s="151">
        <v>32.984000000000002</v>
      </c>
      <c r="L978">
        <f>Table13[[#This Row],[Price]]*Table13[[#This Row],[Units]]</f>
        <v>1178</v>
      </c>
    </row>
    <row r="979" spans="1:12" x14ac:dyDescent="0.35">
      <c r="A979" s="145">
        <v>45704</v>
      </c>
      <c r="B979" s="146" t="s">
        <v>1483</v>
      </c>
      <c r="C979" s="147" t="s">
        <v>322</v>
      </c>
      <c r="D979" s="147" t="s">
        <v>512</v>
      </c>
      <c r="E979" s="147" t="s">
        <v>333</v>
      </c>
      <c r="F979" s="147" t="s">
        <v>517</v>
      </c>
      <c r="G979" s="147">
        <v>60</v>
      </c>
      <c r="H979" s="148">
        <v>35</v>
      </c>
      <c r="I979" s="149">
        <f t="shared" si="15"/>
        <v>2100</v>
      </c>
      <c r="J979" s="150" t="s">
        <v>472</v>
      </c>
      <c r="K979" s="151">
        <v>63</v>
      </c>
      <c r="L979">
        <f>Table13[[#This Row],[Price]]*Table13[[#This Row],[Units]]</f>
        <v>2100</v>
      </c>
    </row>
    <row r="980" spans="1:12" x14ac:dyDescent="0.35">
      <c r="A980" s="145">
        <v>45704</v>
      </c>
      <c r="B980" s="146" t="s">
        <v>1484</v>
      </c>
      <c r="C980" s="147" t="s">
        <v>322</v>
      </c>
      <c r="D980" s="147" t="s">
        <v>490</v>
      </c>
      <c r="E980" s="147" t="s">
        <v>483</v>
      </c>
      <c r="F980" s="147" t="s">
        <v>471</v>
      </c>
      <c r="G980" s="147">
        <v>31</v>
      </c>
      <c r="H980" s="148">
        <v>25</v>
      </c>
      <c r="I980" s="149">
        <f t="shared" si="15"/>
        <v>775</v>
      </c>
      <c r="J980" s="150" t="s">
        <v>472</v>
      </c>
      <c r="K980" s="151">
        <v>20.925000000000001</v>
      </c>
      <c r="L980">
        <f>Table13[[#This Row],[Price]]*Table13[[#This Row],[Units]]</f>
        <v>775</v>
      </c>
    </row>
    <row r="981" spans="1:12" x14ac:dyDescent="0.35">
      <c r="A981" s="145">
        <v>45704</v>
      </c>
      <c r="B981" s="146" t="s">
        <v>1485</v>
      </c>
      <c r="C981" s="147" t="s">
        <v>322</v>
      </c>
      <c r="D981" s="147" t="s">
        <v>465</v>
      </c>
      <c r="E981" s="147" t="s">
        <v>320</v>
      </c>
      <c r="F981" s="147" t="s">
        <v>567</v>
      </c>
      <c r="G981" s="147">
        <v>35</v>
      </c>
      <c r="H981" s="148">
        <v>51</v>
      </c>
      <c r="I981" s="149">
        <f t="shared" si="15"/>
        <v>1785</v>
      </c>
      <c r="J981" s="150" t="s">
        <v>472</v>
      </c>
      <c r="K981" s="151">
        <v>49.98</v>
      </c>
      <c r="L981">
        <f>Table13[[#This Row],[Price]]*Table13[[#This Row],[Units]]</f>
        <v>1785</v>
      </c>
    </row>
    <row r="982" spans="1:12" x14ac:dyDescent="0.35">
      <c r="A982" s="145">
        <v>45704</v>
      </c>
      <c r="B982" s="146" t="s">
        <v>1486</v>
      </c>
      <c r="C982" s="147" t="s">
        <v>484</v>
      </c>
      <c r="D982" s="147" t="s">
        <v>512</v>
      </c>
      <c r="E982" s="147" t="s">
        <v>315</v>
      </c>
      <c r="F982" s="147" t="s">
        <v>520</v>
      </c>
      <c r="G982" s="147">
        <v>28</v>
      </c>
      <c r="H982" s="148">
        <v>28</v>
      </c>
      <c r="I982" s="149">
        <f t="shared" si="15"/>
        <v>784</v>
      </c>
      <c r="J982" s="150" t="s">
        <v>515</v>
      </c>
      <c r="K982" s="151">
        <v>18.032</v>
      </c>
      <c r="L982">
        <f>Table13[[#This Row],[Price]]*Table13[[#This Row],[Units]]</f>
        <v>784</v>
      </c>
    </row>
    <row r="983" spans="1:12" x14ac:dyDescent="0.35">
      <c r="A983" s="145">
        <v>45704</v>
      </c>
      <c r="B983" s="146" t="s">
        <v>1487</v>
      </c>
      <c r="C983" s="147" t="s">
        <v>489</v>
      </c>
      <c r="D983" s="147" t="s">
        <v>470</v>
      </c>
      <c r="E983" s="147" t="s">
        <v>390</v>
      </c>
      <c r="F983" s="147" t="s">
        <v>454</v>
      </c>
      <c r="G983" s="147">
        <v>13</v>
      </c>
      <c r="H983" s="148">
        <v>38</v>
      </c>
      <c r="I983" s="149">
        <f t="shared" si="15"/>
        <v>494</v>
      </c>
      <c r="J983" s="150" t="s">
        <v>466</v>
      </c>
      <c r="K983" s="151">
        <v>12.35</v>
      </c>
      <c r="L983">
        <f>Table13[[#This Row],[Price]]*Table13[[#This Row],[Units]]</f>
        <v>494</v>
      </c>
    </row>
    <row r="984" spans="1:12" x14ac:dyDescent="0.35">
      <c r="A984" s="145">
        <v>45705</v>
      </c>
      <c r="B984" s="146" t="s">
        <v>1488</v>
      </c>
      <c r="C984" s="147" t="s">
        <v>322</v>
      </c>
      <c r="D984" s="147" t="s">
        <v>490</v>
      </c>
      <c r="E984" s="147" t="s">
        <v>412</v>
      </c>
      <c r="F984" s="147" t="s">
        <v>517</v>
      </c>
      <c r="G984" s="147">
        <v>26</v>
      </c>
      <c r="H984" s="148">
        <v>41</v>
      </c>
      <c r="I984" s="149">
        <f t="shared" si="15"/>
        <v>1066</v>
      </c>
      <c r="J984" s="150" t="s">
        <v>466</v>
      </c>
      <c r="K984" s="151">
        <v>27.716000000000001</v>
      </c>
      <c r="L984">
        <f>Table13[[#This Row],[Price]]*Table13[[#This Row],[Units]]</f>
        <v>1066</v>
      </c>
    </row>
    <row r="985" spans="1:12" x14ac:dyDescent="0.35">
      <c r="A985" s="145">
        <v>45705</v>
      </c>
      <c r="B985" s="146" t="s">
        <v>1489</v>
      </c>
      <c r="C985" s="147" t="s">
        <v>476</v>
      </c>
      <c r="D985" s="147" t="s">
        <v>477</v>
      </c>
      <c r="E985" s="147" t="s">
        <v>320</v>
      </c>
      <c r="F985" s="147" t="s">
        <v>567</v>
      </c>
      <c r="G985" s="147">
        <v>10</v>
      </c>
      <c r="H985" s="148">
        <v>38</v>
      </c>
      <c r="I985" s="149">
        <f t="shared" si="15"/>
        <v>380</v>
      </c>
      <c r="J985" s="150" t="s">
        <v>466</v>
      </c>
      <c r="K985" s="151">
        <v>9.1199999999999992</v>
      </c>
      <c r="L985">
        <f>Table13[[#This Row],[Price]]*Table13[[#This Row],[Units]]</f>
        <v>380</v>
      </c>
    </row>
    <row r="986" spans="1:12" x14ac:dyDescent="0.35">
      <c r="A986" s="145">
        <v>45705</v>
      </c>
      <c r="B986" s="146" t="s">
        <v>1490</v>
      </c>
      <c r="C986" s="147" t="s">
        <v>489</v>
      </c>
      <c r="D986" s="147" t="s">
        <v>470</v>
      </c>
      <c r="E986" s="147" t="s">
        <v>333</v>
      </c>
      <c r="F986" s="147" t="s">
        <v>539</v>
      </c>
      <c r="G986" s="147">
        <v>41</v>
      </c>
      <c r="H986" s="148">
        <v>56</v>
      </c>
      <c r="I986" s="149">
        <f t="shared" si="15"/>
        <v>2296</v>
      </c>
      <c r="J986" s="150" t="s">
        <v>515</v>
      </c>
      <c r="K986" s="151">
        <v>59.695999999999998</v>
      </c>
      <c r="L986">
        <f>Table13[[#This Row],[Price]]*Table13[[#This Row],[Units]]</f>
        <v>2296</v>
      </c>
    </row>
    <row r="987" spans="1:12" x14ac:dyDescent="0.35">
      <c r="A987" s="145">
        <v>45706</v>
      </c>
      <c r="B987" s="146" t="s">
        <v>1491</v>
      </c>
      <c r="C987" s="147" t="s">
        <v>494</v>
      </c>
      <c r="D987" s="147" t="s">
        <v>512</v>
      </c>
      <c r="E987" s="147" t="s">
        <v>320</v>
      </c>
      <c r="F987" s="147" t="s">
        <v>491</v>
      </c>
      <c r="G987" s="147">
        <v>34</v>
      </c>
      <c r="H987" s="148">
        <v>30</v>
      </c>
      <c r="I987" s="149">
        <f t="shared" si="15"/>
        <v>1020</v>
      </c>
      <c r="J987" s="150" t="s">
        <v>466</v>
      </c>
      <c r="K987" s="151">
        <v>30.6</v>
      </c>
      <c r="L987">
        <f>Table13[[#This Row],[Price]]*Table13[[#This Row],[Units]]</f>
        <v>1020</v>
      </c>
    </row>
    <row r="988" spans="1:12" x14ac:dyDescent="0.35">
      <c r="A988" s="145">
        <v>45706</v>
      </c>
      <c r="B988" s="146" t="s">
        <v>1492</v>
      </c>
      <c r="C988" s="147" t="s">
        <v>494</v>
      </c>
      <c r="D988" s="147" t="s">
        <v>470</v>
      </c>
      <c r="E988" s="147" t="s">
        <v>390</v>
      </c>
      <c r="F988" s="147" t="s">
        <v>567</v>
      </c>
      <c r="G988" s="147">
        <v>10</v>
      </c>
      <c r="H988" s="148">
        <v>57</v>
      </c>
      <c r="I988" s="149">
        <f t="shared" si="15"/>
        <v>570</v>
      </c>
      <c r="J988" s="150" t="s">
        <v>503</v>
      </c>
      <c r="K988" s="151">
        <v>14.82</v>
      </c>
      <c r="L988">
        <f>Table13[[#This Row],[Price]]*Table13[[#This Row],[Units]]</f>
        <v>570</v>
      </c>
    </row>
    <row r="989" spans="1:12" x14ac:dyDescent="0.35">
      <c r="A989" s="145">
        <v>45706</v>
      </c>
      <c r="B989" s="146" t="s">
        <v>1493</v>
      </c>
      <c r="C989" s="147" t="s">
        <v>494</v>
      </c>
      <c r="D989" s="147" t="s">
        <v>470</v>
      </c>
      <c r="E989" s="147" t="s">
        <v>324</v>
      </c>
      <c r="F989" s="147" t="s">
        <v>523</v>
      </c>
      <c r="G989" s="147">
        <v>59</v>
      </c>
      <c r="H989" s="148">
        <v>26</v>
      </c>
      <c r="I989" s="149">
        <f t="shared" si="15"/>
        <v>1534</v>
      </c>
      <c r="J989" s="150" t="s">
        <v>466</v>
      </c>
      <c r="K989" s="151">
        <v>39.884</v>
      </c>
      <c r="L989">
        <f>Table13[[#This Row],[Price]]*Table13[[#This Row],[Units]]</f>
        <v>1534</v>
      </c>
    </row>
    <row r="990" spans="1:12" x14ac:dyDescent="0.35">
      <c r="A990" s="145">
        <v>45706</v>
      </c>
      <c r="B990" s="146" t="s">
        <v>1494</v>
      </c>
      <c r="C990" s="147" t="s">
        <v>501</v>
      </c>
      <c r="D990" s="147" t="s">
        <v>470</v>
      </c>
      <c r="E990" s="147" t="s">
        <v>320</v>
      </c>
      <c r="F990" s="147" t="s">
        <v>520</v>
      </c>
      <c r="G990" s="147">
        <v>25</v>
      </c>
      <c r="H990" s="148">
        <v>36</v>
      </c>
      <c r="I990" s="149">
        <f t="shared" si="15"/>
        <v>900</v>
      </c>
      <c r="J990" s="150" t="s">
        <v>466</v>
      </c>
      <c r="K990" s="151">
        <v>21.6</v>
      </c>
      <c r="L990">
        <f>Table13[[#This Row],[Price]]*Table13[[#This Row],[Units]]</f>
        <v>900</v>
      </c>
    </row>
    <row r="991" spans="1:12" x14ac:dyDescent="0.35">
      <c r="A991" s="145">
        <v>45706</v>
      </c>
      <c r="B991" s="146" t="s">
        <v>1495</v>
      </c>
      <c r="C991" s="147" t="s">
        <v>501</v>
      </c>
      <c r="D991" s="147" t="s">
        <v>477</v>
      </c>
      <c r="E991" s="147" t="s">
        <v>483</v>
      </c>
      <c r="F991" s="147" t="s">
        <v>487</v>
      </c>
      <c r="G991" s="147">
        <v>41</v>
      </c>
      <c r="H991" s="148">
        <v>43</v>
      </c>
      <c r="I991" s="149">
        <f t="shared" si="15"/>
        <v>1763</v>
      </c>
      <c r="J991" s="150" t="s">
        <v>472</v>
      </c>
      <c r="K991" s="151">
        <v>35.26</v>
      </c>
      <c r="L991">
        <f>Table13[[#This Row],[Price]]*Table13[[#This Row],[Units]]</f>
        <v>1763</v>
      </c>
    </row>
    <row r="992" spans="1:12" x14ac:dyDescent="0.35">
      <c r="A992" s="145">
        <v>45706</v>
      </c>
      <c r="B992" s="146" t="s">
        <v>1496</v>
      </c>
      <c r="C992" s="147" t="s">
        <v>501</v>
      </c>
      <c r="D992" s="147" t="s">
        <v>477</v>
      </c>
      <c r="E992" s="147" t="s">
        <v>324</v>
      </c>
      <c r="F992" s="147" t="s">
        <v>497</v>
      </c>
      <c r="G992" s="147">
        <v>50</v>
      </c>
      <c r="H992" s="148">
        <v>33</v>
      </c>
      <c r="I992" s="149">
        <f t="shared" si="15"/>
        <v>1650</v>
      </c>
      <c r="J992" s="150" t="s">
        <v>472</v>
      </c>
      <c r="K992" s="151">
        <v>47.85</v>
      </c>
      <c r="L992">
        <f>Table13[[#This Row],[Price]]*Table13[[#This Row],[Units]]</f>
        <v>1650</v>
      </c>
    </row>
    <row r="993" spans="1:12" x14ac:dyDescent="0.35">
      <c r="A993" s="145">
        <v>45706</v>
      </c>
      <c r="B993" s="146" t="s">
        <v>1497</v>
      </c>
      <c r="C993" s="147" t="s">
        <v>476</v>
      </c>
      <c r="D993" s="147" t="s">
        <v>486</v>
      </c>
      <c r="E993" s="147" t="s">
        <v>333</v>
      </c>
      <c r="F993" s="147" t="s">
        <v>478</v>
      </c>
      <c r="G993" s="147">
        <v>26</v>
      </c>
      <c r="H993" s="148">
        <v>53</v>
      </c>
      <c r="I993" s="149">
        <f t="shared" si="15"/>
        <v>1378</v>
      </c>
      <c r="J993" s="150" t="s">
        <v>503</v>
      </c>
      <c r="K993" s="151">
        <v>34.450000000000003</v>
      </c>
      <c r="L993">
        <f>Table13[[#This Row],[Price]]*Table13[[#This Row],[Units]]</f>
        <v>1378</v>
      </c>
    </row>
    <row r="994" spans="1:12" x14ac:dyDescent="0.35">
      <c r="A994" s="145">
        <v>45706</v>
      </c>
      <c r="B994" s="146" t="s">
        <v>1498</v>
      </c>
      <c r="C994" s="147" t="s">
        <v>469</v>
      </c>
      <c r="D994" s="147" t="s">
        <v>470</v>
      </c>
      <c r="E994" s="147" t="s">
        <v>333</v>
      </c>
      <c r="F994" s="147" t="s">
        <v>454</v>
      </c>
      <c r="G994" s="147">
        <v>17</v>
      </c>
      <c r="H994" s="148">
        <v>23</v>
      </c>
      <c r="I994" s="149">
        <f t="shared" si="15"/>
        <v>391</v>
      </c>
      <c r="J994" s="150" t="s">
        <v>515</v>
      </c>
      <c r="K994" s="151">
        <v>7.82</v>
      </c>
      <c r="L994">
        <f>Table13[[#This Row],[Price]]*Table13[[#This Row],[Units]]</f>
        <v>391</v>
      </c>
    </row>
    <row r="995" spans="1:12" x14ac:dyDescent="0.35">
      <c r="A995" s="145">
        <v>45706</v>
      </c>
      <c r="B995" s="146" t="s">
        <v>1499</v>
      </c>
      <c r="C995" s="147" t="s">
        <v>501</v>
      </c>
      <c r="D995" s="147" t="s">
        <v>477</v>
      </c>
      <c r="E995" s="147" t="s">
        <v>324</v>
      </c>
      <c r="F995" s="147" t="s">
        <v>523</v>
      </c>
      <c r="G995" s="147">
        <v>37</v>
      </c>
      <c r="H995" s="148">
        <v>24</v>
      </c>
      <c r="I995" s="149">
        <f t="shared" si="15"/>
        <v>888</v>
      </c>
      <c r="J995" s="150" t="s">
        <v>466</v>
      </c>
      <c r="K995" s="151">
        <v>22.2</v>
      </c>
      <c r="L995">
        <f>Table13[[#This Row],[Price]]*Table13[[#This Row],[Units]]</f>
        <v>888</v>
      </c>
    </row>
    <row r="996" spans="1:12" x14ac:dyDescent="0.35">
      <c r="A996" s="145">
        <v>45706</v>
      </c>
      <c r="B996" s="146" t="s">
        <v>1500</v>
      </c>
      <c r="C996" s="147" t="s">
        <v>464</v>
      </c>
      <c r="D996" s="147" t="s">
        <v>470</v>
      </c>
      <c r="E996" s="147" t="s">
        <v>483</v>
      </c>
      <c r="F996" s="147" t="s">
        <v>520</v>
      </c>
      <c r="G996" s="147">
        <v>54</v>
      </c>
      <c r="H996" s="148">
        <v>29</v>
      </c>
      <c r="I996" s="149">
        <f t="shared" si="15"/>
        <v>1566</v>
      </c>
      <c r="J996" s="150" t="s">
        <v>515</v>
      </c>
      <c r="K996" s="151">
        <v>34.451999999999998</v>
      </c>
      <c r="L996">
        <f>Table13[[#This Row],[Price]]*Table13[[#This Row],[Units]]</f>
        <v>1566</v>
      </c>
    </row>
    <row r="997" spans="1:12" x14ac:dyDescent="0.35">
      <c r="A997" s="145">
        <v>45706</v>
      </c>
      <c r="B997" s="146" t="s">
        <v>1501</v>
      </c>
      <c r="C997" s="147" t="s">
        <v>501</v>
      </c>
      <c r="D997" s="147" t="s">
        <v>465</v>
      </c>
      <c r="E997" s="147" t="s">
        <v>324</v>
      </c>
      <c r="F997" s="147" t="s">
        <v>497</v>
      </c>
      <c r="G997" s="147">
        <v>43</v>
      </c>
      <c r="H997" s="148">
        <v>44</v>
      </c>
      <c r="I997" s="149">
        <f t="shared" si="15"/>
        <v>1892</v>
      </c>
      <c r="J997" s="150" t="s">
        <v>515</v>
      </c>
      <c r="K997" s="151">
        <v>37.840000000000003</v>
      </c>
      <c r="L997">
        <f>Table13[[#This Row],[Price]]*Table13[[#This Row],[Units]]</f>
        <v>1892</v>
      </c>
    </row>
    <row r="998" spans="1:12" x14ac:dyDescent="0.35">
      <c r="A998" s="145">
        <v>45706</v>
      </c>
      <c r="B998" s="146" t="s">
        <v>1502</v>
      </c>
      <c r="C998" s="147" t="s">
        <v>489</v>
      </c>
      <c r="D998" s="147" t="s">
        <v>465</v>
      </c>
      <c r="E998" s="147" t="s">
        <v>324</v>
      </c>
      <c r="F998" s="147" t="s">
        <v>567</v>
      </c>
      <c r="G998" s="147">
        <v>51</v>
      </c>
      <c r="H998" s="148">
        <v>30</v>
      </c>
      <c r="I998" s="149">
        <f t="shared" si="15"/>
        <v>1530</v>
      </c>
      <c r="J998" s="150" t="s">
        <v>515</v>
      </c>
      <c r="K998" s="151">
        <v>44.37</v>
      </c>
      <c r="L998">
        <f>Table13[[#This Row],[Price]]*Table13[[#This Row],[Units]]</f>
        <v>1530</v>
      </c>
    </row>
    <row r="999" spans="1:12" x14ac:dyDescent="0.35">
      <c r="A999" s="145">
        <v>45706</v>
      </c>
      <c r="B999" s="146" t="s">
        <v>1503</v>
      </c>
      <c r="C999" s="147" t="s">
        <v>489</v>
      </c>
      <c r="D999" s="147" t="s">
        <v>519</v>
      </c>
      <c r="E999" s="147" t="s">
        <v>390</v>
      </c>
      <c r="F999" s="147" t="s">
        <v>478</v>
      </c>
      <c r="G999" s="147">
        <v>42</v>
      </c>
      <c r="H999" s="148">
        <v>57</v>
      </c>
      <c r="I999" s="149">
        <f t="shared" si="15"/>
        <v>2394</v>
      </c>
      <c r="J999" s="150" t="s">
        <v>466</v>
      </c>
      <c r="K999" s="151">
        <v>52.667999999999999</v>
      </c>
      <c r="L999">
        <f>Table13[[#This Row],[Price]]*Table13[[#This Row],[Units]]</f>
        <v>2394</v>
      </c>
    </row>
    <row r="1000" spans="1:12" x14ac:dyDescent="0.35">
      <c r="A1000" s="145">
        <v>45706</v>
      </c>
      <c r="B1000" s="146" t="s">
        <v>1504</v>
      </c>
      <c r="C1000" s="147" t="s">
        <v>476</v>
      </c>
      <c r="D1000" s="147" t="s">
        <v>477</v>
      </c>
      <c r="E1000" s="147" t="s">
        <v>483</v>
      </c>
      <c r="F1000" s="147" t="s">
        <v>491</v>
      </c>
      <c r="G1000" s="147">
        <v>59</v>
      </c>
      <c r="H1000" s="148">
        <v>55</v>
      </c>
      <c r="I1000" s="149">
        <f t="shared" si="15"/>
        <v>3245</v>
      </c>
      <c r="J1000" s="150" t="s">
        <v>515</v>
      </c>
      <c r="K1000" s="151">
        <v>71.39</v>
      </c>
      <c r="L1000">
        <f>Table13[[#This Row],[Price]]*Table13[[#This Row],[Units]]</f>
        <v>3245</v>
      </c>
    </row>
    <row r="1001" spans="1:12" x14ac:dyDescent="0.35">
      <c r="A1001" s="145">
        <v>45706</v>
      </c>
      <c r="B1001" s="146" t="s">
        <v>1505</v>
      </c>
      <c r="C1001" s="147" t="s">
        <v>469</v>
      </c>
      <c r="D1001" s="147" t="s">
        <v>512</v>
      </c>
      <c r="E1001" s="147" t="s">
        <v>320</v>
      </c>
      <c r="F1001" s="147" t="s">
        <v>517</v>
      </c>
      <c r="G1001" s="147">
        <v>16</v>
      </c>
      <c r="H1001" s="148">
        <v>48</v>
      </c>
      <c r="I1001" s="149">
        <f t="shared" si="15"/>
        <v>768</v>
      </c>
      <c r="J1001" s="150" t="s">
        <v>515</v>
      </c>
      <c r="K1001" s="151">
        <v>23.04</v>
      </c>
      <c r="L1001">
        <f>Table13[[#This Row],[Price]]*Table13[[#This Row],[Units]]</f>
        <v>768</v>
      </c>
    </row>
    <row r="1002" spans="1:12" x14ac:dyDescent="0.35">
      <c r="A1002" s="145">
        <v>45706</v>
      </c>
      <c r="B1002" s="146" t="s">
        <v>1506</v>
      </c>
      <c r="C1002" s="147" t="s">
        <v>494</v>
      </c>
      <c r="D1002" s="147" t="s">
        <v>486</v>
      </c>
      <c r="E1002" s="147" t="s">
        <v>483</v>
      </c>
      <c r="F1002" s="147" t="s">
        <v>523</v>
      </c>
      <c r="G1002" s="147">
        <v>56</v>
      </c>
      <c r="H1002" s="148">
        <v>59</v>
      </c>
      <c r="I1002" s="149">
        <f t="shared" si="15"/>
        <v>3304</v>
      </c>
      <c r="J1002" s="150" t="s">
        <v>503</v>
      </c>
      <c r="K1002" s="151">
        <v>69.384</v>
      </c>
      <c r="L1002">
        <f>Table13[[#This Row],[Price]]*Table13[[#This Row],[Units]]</f>
        <v>3304</v>
      </c>
    </row>
    <row r="1003" spans="1:12" x14ac:dyDescent="0.35">
      <c r="A1003" s="145">
        <v>45706</v>
      </c>
      <c r="B1003" s="146" t="s">
        <v>1507</v>
      </c>
      <c r="C1003" s="147" t="s">
        <v>322</v>
      </c>
      <c r="D1003" s="147" t="s">
        <v>477</v>
      </c>
      <c r="E1003" s="147" t="s">
        <v>315</v>
      </c>
      <c r="F1003" s="147" t="s">
        <v>567</v>
      </c>
      <c r="G1003" s="147">
        <v>42</v>
      </c>
      <c r="H1003" s="148">
        <v>59</v>
      </c>
      <c r="I1003" s="149">
        <f t="shared" si="15"/>
        <v>2478</v>
      </c>
      <c r="J1003" s="150" t="s">
        <v>515</v>
      </c>
      <c r="K1003" s="151">
        <v>49.56</v>
      </c>
      <c r="L1003">
        <f>Table13[[#This Row],[Price]]*Table13[[#This Row],[Units]]</f>
        <v>2478</v>
      </c>
    </row>
    <row r="1004" spans="1:12" x14ac:dyDescent="0.35">
      <c r="A1004" s="145">
        <v>45707</v>
      </c>
      <c r="B1004" s="146" t="s">
        <v>1508</v>
      </c>
      <c r="C1004" s="147" t="s">
        <v>484</v>
      </c>
      <c r="D1004" s="147" t="s">
        <v>470</v>
      </c>
      <c r="E1004" s="147" t="s">
        <v>315</v>
      </c>
      <c r="F1004" s="147" t="s">
        <v>517</v>
      </c>
      <c r="G1004" s="147">
        <v>42</v>
      </c>
      <c r="H1004" s="148">
        <v>42</v>
      </c>
      <c r="I1004" s="149">
        <f t="shared" si="15"/>
        <v>1764</v>
      </c>
      <c r="J1004" s="150" t="s">
        <v>466</v>
      </c>
      <c r="K1004" s="151">
        <v>44.1</v>
      </c>
      <c r="L1004">
        <f>Table13[[#This Row],[Price]]*Table13[[#This Row],[Units]]</f>
        <v>1764</v>
      </c>
    </row>
    <row r="1005" spans="1:12" x14ac:dyDescent="0.35">
      <c r="A1005" s="145">
        <v>45707</v>
      </c>
      <c r="B1005" s="146" t="s">
        <v>1509</v>
      </c>
      <c r="C1005" s="147" t="s">
        <v>464</v>
      </c>
      <c r="D1005" s="147" t="s">
        <v>477</v>
      </c>
      <c r="E1005" s="147" t="s">
        <v>324</v>
      </c>
      <c r="F1005" s="147" t="s">
        <v>523</v>
      </c>
      <c r="G1005" s="147">
        <v>37</v>
      </c>
      <c r="H1005" s="148">
        <v>32</v>
      </c>
      <c r="I1005" s="149">
        <f t="shared" si="15"/>
        <v>1184</v>
      </c>
      <c r="J1005" s="150" t="s">
        <v>515</v>
      </c>
      <c r="K1005" s="151">
        <v>34.335999999999999</v>
      </c>
      <c r="L1005">
        <f>Table13[[#This Row],[Price]]*Table13[[#This Row],[Units]]</f>
        <v>1184</v>
      </c>
    </row>
    <row r="1006" spans="1:12" x14ac:dyDescent="0.35">
      <c r="A1006" s="145">
        <v>45707</v>
      </c>
      <c r="B1006" s="146" t="s">
        <v>1510</v>
      </c>
      <c r="C1006" s="147" t="s">
        <v>469</v>
      </c>
      <c r="D1006" s="147" t="s">
        <v>490</v>
      </c>
      <c r="E1006" s="147" t="s">
        <v>324</v>
      </c>
      <c r="F1006" s="147" t="s">
        <v>528</v>
      </c>
      <c r="G1006" s="147">
        <v>47</v>
      </c>
      <c r="H1006" s="148">
        <v>49</v>
      </c>
      <c r="I1006" s="149">
        <f t="shared" si="15"/>
        <v>2303</v>
      </c>
      <c r="J1006" s="150" t="s">
        <v>466</v>
      </c>
      <c r="K1006" s="151">
        <v>62.180999999999997</v>
      </c>
      <c r="L1006">
        <f>Table13[[#This Row],[Price]]*Table13[[#This Row],[Units]]</f>
        <v>2303</v>
      </c>
    </row>
    <row r="1007" spans="1:12" x14ac:dyDescent="0.35">
      <c r="A1007" s="145">
        <v>45707</v>
      </c>
      <c r="B1007" s="146" t="s">
        <v>1511</v>
      </c>
      <c r="C1007" s="147" t="s">
        <v>494</v>
      </c>
      <c r="D1007" s="147" t="s">
        <v>465</v>
      </c>
      <c r="E1007" s="147" t="s">
        <v>483</v>
      </c>
      <c r="F1007" s="147" t="s">
        <v>505</v>
      </c>
      <c r="G1007" s="147">
        <v>28</v>
      </c>
      <c r="H1007" s="148">
        <v>52</v>
      </c>
      <c r="I1007" s="149">
        <f t="shared" si="15"/>
        <v>1456</v>
      </c>
      <c r="J1007" s="150" t="s">
        <v>472</v>
      </c>
      <c r="K1007" s="151">
        <v>30.576000000000001</v>
      </c>
      <c r="L1007">
        <f>Table13[[#This Row],[Price]]*Table13[[#This Row],[Units]]</f>
        <v>1456</v>
      </c>
    </row>
    <row r="1008" spans="1:12" x14ac:dyDescent="0.35">
      <c r="A1008" s="145">
        <v>45707</v>
      </c>
      <c r="B1008" s="146" t="s">
        <v>1512</v>
      </c>
      <c r="C1008" s="147" t="s">
        <v>322</v>
      </c>
      <c r="D1008" s="147" t="s">
        <v>470</v>
      </c>
      <c r="E1008" s="147" t="s">
        <v>315</v>
      </c>
      <c r="F1008" s="147" t="s">
        <v>491</v>
      </c>
      <c r="G1008" s="147">
        <v>36</v>
      </c>
      <c r="H1008" s="148">
        <v>37</v>
      </c>
      <c r="I1008" s="149">
        <f t="shared" si="15"/>
        <v>1332</v>
      </c>
      <c r="J1008" s="150" t="s">
        <v>515</v>
      </c>
      <c r="K1008" s="151">
        <v>26.64</v>
      </c>
      <c r="L1008">
        <f>Table13[[#This Row],[Price]]*Table13[[#This Row],[Units]]</f>
        <v>1332</v>
      </c>
    </row>
    <row r="1009" spans="1:12" x14ac:dyDescent="0.35">
      <c r="A1009" s="145">
        <v>45707</v>
      </c>
      <c r="B1009" s="146" t="s">
        <v>1513</v>
      </c>
      <c r="C1009" s="147" t="s">
        <v>476</v>
      </c>
      <c r="D1009" s="147" t="s">
        <v>486</v>
      </c>
      <c r="E1009" s="147" t="s">
        <v>333</v>
      </c>
      <c r="F1009" s="147" t="s">
        <v>517</v>
      </c>
      <c r="G1009" s="147">
        <v>57</v>
      </c>
      <c r="H1009" s="148">
        <v>40</v>
      </c>
      <c r="I1009" s="149">
        <f t="shared" si="15"/>
        <v>2280</v>
      </c>
      <c r="J1009" s="150" t="s">
        <v>515</v>
      </c>
      <c r="K1009" s="151">
        <v>57</v>
      </c>
      <c r="L1009">
        <f>Table13[[#This Row],[Price]]*Table13[[#This Row],[Units]]</f>
        <v>2280</v>
      </c>
    </row>
    <row r="1010" spans="1:12" x14ac:dyDescent="0.35">
      <c r="A1010" s="145">
        <v>45707</v>
      </c>
      <c r="B1010" s="146" t="s">
        <v>1514</v>
      </c>
      <c r="C1010" s="147" t="s">
        <v>501</v>
      </c>
      <c r="D1010" s="147" t="s">
        <v>470</v>
      </c>
      <c r="E1010" s="147" t="s">
        <v>483</v>
      </c>
      <c r="F1010" s="147" t="s">
        <v>528</v>
      </c>
      <c r="G1010" s="147">
        <v>10</v>
      </c>
      <c r="H1010" s="148">
        <v>20</v>
      </c>
      <c r="I1010" s="149">
        <f t="shared" si="15"/>
        <v>200</v>
      </c>
      <c r="J1010" s="150" t="s">
        <v>466</v>
      </c>
      <c r="K1010" s="151">
        <v>4.4000000000000004</v>
      </c>
      <c r="L1010">
        <f>Table13[[#This Row],[Price]]*Table13[[#This Row],[Units]]</f>
        <v>200</v>
      </c>
    </row>
    <row r="1011" spans="1:12" x14ac:dyDescent="0.35">
      <c r="A1011" s="145">
        <v>45707</v>
      </c>
      <c r="B1011" s="146" t="s">
        <v>1515</v>
      </c>
      <c r="C1011" s="147" t="s">
        <v>322</v>
      </c>
      <c r="D1011" s="147" t="s">
        <v>512</v>
      </c>
      <c r="E1011" s="147" t="s">
        <v>483</v>
      </c>
      <c r="F1011" s="147" t="s">
        <v>487</v>
      </c>
      <c r="G1011" s="147">
        <v>28</v>
      </c>
      <c r="H1011" s="148">
        <v>52</v>
      </c>
      <c r="I1011" s="149">
        <f t="shared" si="15"/>
        <v>1456</v>
      </c>
      <c r="J1011" s="150" t="s">
        <v>466</v>
      </c>
      <c r="K1011" s="151">
        <v>29.12</v>
      </c>
      <c r="L1011">
        <f>Table13[[#This Row],[Price]]*Table13[[#This Row],[Units]]</f>
        <v>1456</v>
      </c>
    </row>
    <row r="1012" spans="1:12" x14ac:dyDescent="0.35">
      <c r="A1012" s="145">
        <v>45708</v>
      </c>
      <c r="B1012" s="146" t="s">
        <v>1516</v>
      </c>
      <c r="C1012" s="147" t="s">
        <v>494</v>
      </c>
      <c r="D1012" s="147" t="s">
        <v>470</v>
      </c>
      <c r="E1012" s="147" t="s">
        <v>333</v>
      </c>
      <c r="F1012" s="147" t="s">
        <v>505</v>
      </c>
      <c r="G1012" s="147">
        <v>16</v>
      </c>
      <c r="H1012" s="148">
        <v>21</v>
      </c>
      <c r="I1012" s="149">
        <f t="shared" si="15"/>
        <v>336</v>
      </c>
      <c r="J1012" s="150" t="s">
        <v>515</v>
      </c>
      <c r="K1012" s="151">
        <v>9.4079999999999995</v>
      </c>
      <c r="L1012">
        <f>Table13[[#This Row],[Price]]*Table13[[#This Row],[Units]]</f>
        <v>336</v>
      </c>
    </row>
    <row r="1013" spans="1:12" x14ac:dyDescent="0.35">
      <c r="A1013" s="145">
        <v>45708</v>
      </c>
      <c r="B1013" s="146" t="s">
        <v>1517</v>
      </c>
      <c r="C1013" s="147" t="s">
        <v>322</v>
      </c>
      <c r="D1013" s="147" t="s">
        <v>486</v>
      </c>
      <c r="E1013" s="147" t="s">
        <v>324</v>
      </c>
      <c r="F1013" s="147" t="s">
        <v>500</v>
      </c>
      <c r="G1013" s="147">
        <v>33</v>
      </c>
      <c r="H1013" s="148">
        <v>45</v>
      </c>
      <c r="I1013" s="149">
        <f t="shared" si="15"/>
        <v>1485</v>
      </c>
      <c r="J1013" s="150" t="s">
        <v>515</v>
      </c>
      <c r="K1013" s="151">
        <v>31.184999999999999</v>
      </c>
      <c r="L1013">
        <f>Table13[[#This Row],[Price]]*Table13[[#This Row],[Units]]</f>
        <v>1485</v>
      </c>
    </row>
    <row r="1014" spans="1:12" x14ac:dyDescent="0.35">
      <c r="A1014" s="145">
        <v>45708</v>
      </c>
      <c r="B1014" s="146" t="s">
        <v>1518</v>
      </c>
      <c r="C1014" s="147" t="s">
        <v>494</v>
      </c>
      <c r="D1014" s="147" t="s">
        <v>519</v>
      </c>
      <c r="E1014" s="147" t="s">
        <v>315</v>
      </c>
      <c r="F1014" s="147" t="s">
        <v>517</v>
      </c>
      <c r="G1014" s="147">
        <v>27</v>
      </c>
      <c r="H1014" s="148">
        <v>37</v>
      </c>
      <c r="I1014" s="149">
        <f t="shared" si="15"/>
        <v>999</v>
      </c>
      <c r="J1014" s="150" t="s">
        <v>466</v>
      </c>
      <c r="K1014" s="151">
        <v>25.974</v>
      </c>
      <c r="L1014">
        <f>Table13[[#This Row],[Price]]*Table13[[#This Row],[Units]]</f>
        <v>999</v>
      </c>
    </row>
    <row r="1015" spans="1:12" x14ac:dyDescent="0.35">
      <c r="A1015" s="145">
        <v>45708</v>
      </c>
      <c r="B1015" s="146" t="s">
        <v>1519</v>
      </c>
      <c r="C1015" s="147" t="s">
        <v>469</v>
      </c>
      <c r="D1015" s="147" t="s">
        <v>490</v>
      </c>
      <c r="E1015" s="147" t="s">
        <v>320</v>
      </c>
      <c r="F1015" s="147" t="s">
        <v>539</v>
      </c>
      <c r="G1015" s="147">
        <v>42</v>
      </c>
      <c r="H1015" s="148">
        <v>58</v>
      </c>
      <c r="I1015" s="149">
        <f t="shared" si="15"/>
        <v>2436</v>
      </c>
      <c r="J1015" s="150" t="s">
        <v>466</v>
      </c>
      <c r="K1015" s="151">
        <v>56.027999999999999</v>
      </c>
      <c r="L1015">
        <f>Table13[[#This Row],[Price]]*Table13[[#This Row],[Units]]</f>
        <v>2436</v>
      </c>
    </row>
    <row r="1016" spans="1:12" x14ac:dyDescent="0.35">
      <c r="A1016" s="145">
        <v>45708</v>
      </c>
      <c r="B1016" s="146" t="s">
        <v>1520</v>
      </c>
      <c r="C1016" s="147" t="s">
        <v>464</v>
      </c>
      <c r="D1016" s="147" t="s">
        <v>470</v>
      </c>
      <c r="E1016" s="147" t="s">
        <v>390</v>
      </c>
      <c r="F1016" s="147" t="s">
        <v>523</v>
      </c>
      <c r="G1016" s="147">
        <v>59</v>
      </c>
      <c r="H1016" s="148">
        <v>53</v>
      </c>
      <c r="I1016" s="149">
        <f t="shared" si="15"/>
        <v>3127</v>
      </c>
      <c r="J1016" s="150" t="s">
        <v>503</v>
      </c>
      <c r="K1016" s="151">
        <v>90.683000000000007</v>
      </c>
      <c r="L1016">
        <f>Table13[[#This Row],[Price]]*Table13[[#This Row],[Units]]</f>
        <v>3127</v>
      </c>
    </row>
    <row r="1017" spans="1:12" x14ac:dyDescent="0.35">
      <c r="A1017" s="145">
        <v>45709</v>
      </c>
      <c r="B1017" s="146" t="s">
        <v>1521</v>
      </c>
      <c r="C1017" s="147" t="s">
        <v>489</v>
      </c>
      <c r="D1017" s="147" t="s">
        <v>519</v>
      </c>
      <c r="E1017" s="147" t="s">
        <v>324</v>
      </c>
      <c r="F1017" s="147" t="s">
        <v>478</v>
      </c>
      <c r="G1017" s="147">
        <v>35</v>
      </c>
      <c r="H1017" s="148">
        <v>34</v>
      </c>
      <c r="I1017" s="149">
        <f t="shared" si="15"/>
        <v>1190</v>
      </c>
      <c r="J1017" s="150" t="s">
        <v>466</v>
      </c>
      <c r="K1017" s="151">
        <v>32.130000000000003</v>
      </c>
      <c r="L1017">
        <f>Table13[[#This Row],[Price]]*Table13[[#This Row],[Units]]</f>
        <v>1190</v>
      </c>
    </row>
    <row r="1018" spans="1:12" x14ac:dyDescent="0.35">
      <c r="A1018" s="145">
        <v>45709</v>
      </c>
      <c r="B1018" s="146" t="s">
        <v>1522</v>
      </c>
      <c r="C1018" s="147" t="s">
        <v>494</v>
      </c>
      <c r="D1018" s="147" t="s">
        <v>465</v>
      </c>
      <c r="E1018" s="147" t="s">
        <v>315</v>
      </c>
      <c r="F1018" s="147" t="s">
        <v>510</v>
      </c>
      <c r="G1018" s="147">
        <v>57</v>
      </c>
      <c r="H1018" s="148">
        <v>29</v>
      </c>
      <c r="I1018" s="149">
        <f t="shared" si="15"/>
        <v>1653</v>
      </c>
      <c r="J1018" s="150" t="s">
        <v>466</v>
      </c>
      <c r="K1018" s="151">
        <v>49.59</v>
      </c>
      <c r="L1018">
        <f>Table13[[#This Row],[Price]]*Table13[[#This Row],[Units]]</f>
        <v>1653</v>
      </c>
    </row>
    <row r="1019" spans="1:12" x14ac:dyDescent="0.35">
      <c r="A1019" s="145">
        <v>45709</v>
      </c>
      <c r="B1019" s="146" t="s">
        <v>1523</v>
      </c>
      <c r="C1019" s="147" t="s">
        <v>476</v>
      </c>
      <c r="D1019" s="147" t="s">
        <v>477</v>
      </c>
      <c r="E1019" s="147" t="s">
        <v>324</v>
      </c>
      <c r="F1019" s="147" t="s">
        <v>478</v>
      </c>
      <c r="G1019" s="147">
        <v>16</v>
      </c>
      <c r="H1019" s="148">
        <v>59</v>
      </c>
      <c r="I1019" s="149">
        <f t="shared" si="15"/>
        <v>944</v>
      </c>
      <c r="J1019" s="150" t="s">
        <v>466</v>
      </c>
      <c r="K1019" s="151">
        <v>24.544</v>
      </c>
      <c r="L1019">
        <f>Table13[[#This Row],[Price]]*Table13[[#This Row],[Units]]</f>
        <v>944</v>
      </c>
    </row>
    <row r="1020" spans="1:12" x14ac:dyDescent="0.35">
      <c r="A1020" s="145">
        <v>45709</v>
      </c>
      <c r="B1020" s="146" t="s">
        <v>1524</v>
      </c>
      <c r="C1020" s="147" t="s">
        <v>489</v>
      </c>
      <c r="D1020" s="147" t="s">
        <v>486</v>
      </c>
      <c r="E1020" s="147" t="s">
        <v>333</v>
      </c>
      <c r="F1020" s="147" t="s">
        <v>528</v>
      </c>
      <c r="G1020" s="147">
        <v>12</v>
      </c>
      <c r="H1020" s="148">
        <v>37</v>
      </c>
      <c r="I1020" s="149">
        <f t="shared" si="15"/>
        <v>444</v>
      </c>
      <c r="J1020" s="150" t="s">
        <v>466</v>
      </c>
      <c r="K1020" s="151">
        <v>11.988</v>
      </c>
      <c r="L1020">
        <f>Table13[[#This Row],[Price]]*Table13[[#This Row],[Units]]</f>
        <v>444</v>
      </c>
    </row>
    <row r="1021" spans="1:12" x14ac:dyDescent="0.35">
      <c r="A1021" s="145">
        <v>45709</v>
      </c>
      <c r="B1021" s="146" t="s">
        <v>1525</v>
      </c>
      <c r="C1021" s="147" t="s">
        <v>501</v>
      </c>
      <c r="D1021" s="147" t="s">
        <v>470</v>
      </c>
      <c r="E1021" s="147" t="s">
        <v>324</v>
      </c>
      <c r="F1021" s="147" t="s">
        <v>478</v>
      </c>
      <c r="G1021" s="147">
        <v>59</v>
      </c>
      <c r="H1021" s="148">
        <v>57</v>
      </c>
      <c r="I1021" s="149">
        <f t="shared" si="15"/>
        <v>3363</v>
      </c>
      <c r="J1021" s="150" t="s">
        <v>466</v>
      </c>
      <c r="K1021" s="151">
        <v>97.527000000000001</v>
      </c>
      <c r="L1021">
        <f>Table13[[#This Row],[Price]]*Table13[[#This Row],[Units]]</f>
        <v>3363</v>
      </c>
    </row>
    <row r="1022" spans="1:12" x14ac:dyDescent="0.35">
      <c r="A1022" s="145">
        <v>45709</v>
      </c>
      <c r="B1022" s="146" t="s">
        <v>1526</v>
      </c>
      <c r="C1022" s="147" t="s">
        <v>484</v>
      </c>
      <c r="D1022" s="147" t="s">
        <v>470</v>
      </c>
      <c r="E1022" s="147" t="s">
        <v>483</v>
      </c>
      <c r="F1022" s="147" t="s">
        <v>505</v>
      </c>
      <c r="G1022" s="147">
        <v>29</v>
      </c>
      <c r="H1022" s="148">
        <v>23</v>
      </c>
      <c r="I1022" s="149">
        <f t="shared" si="15"/>
        <v>667</v>
      </c>
      <c r="J1022" s="150" t="s">
        <v>466</v>
      </c>
      <c r="K1022" s="151">
        <v>16.007999999999999</v>
      </c>
      <c r="L1022">
        <f>Table13[[#This Row],[Price]]*Table13[[#This Row],[Units]]</f>
        <v>667</v>
      </c>
    </row>
    <row r="1023" spans="1:12" x14ac:dyDescent="0.35">
      <c r="A1023" s="145">
        <v>45710</v>
      </c>
      <c r="B1023" s="146" t="s">
        <v>1527</v>
      </c>
      <c r="C1023" s="147" t="s">
        <v>494</v>
      </c>
      <c r="D1023" s="147" t="s">
        <v>486</v>
      </c>
      <c r="E1023" s="147" t="s">
        <v>320</v>
      </c>
      <c r="F1023" s="147" t="s">
        <v>505</v>
      </c>
      <c r="G1023" s="147">
        <v>49</v>
      </c>
      <c r="H1023" s="148">
        <v>25</v>
      </c>
      <c r="I1023" s="149">
        <f t="shared" si="15"/>
        <v>1225</v>
      </c>
      <c r="J1023" s="150" t="s">
        <v>466</v>
      </c>
      <c r="K1023" s="151">
        <v>36.75</v>
      </c>
      <c r="L1023">
        <f>Table13[[#This Row],[Price]]*Table13[[#This Row],[Units]]</f>
        <v>1225</v>
      </c>
    </row>
    <row r="1024" spans="1:12" x14ac:dyDescent="0.35">
      <c r="A1024" s="145">
        <v>45711</v>
      </c>
      <c r="B1024" s="146" t="s">
        <v>1528</v>
      </c>
      <c r="C1024" s="147" t="s">
        <v>494</v>
      </c>
      <c r="D1024" s="147" t="s">
        <v>465</v>
      </c>
      <c r="E1024" s="147" t="s">
        <v>390</v>
      </c>
      <c r="F1024" s="147" t="s">
        <v>497</v>
      </c>
      <c r="G1024" s="147">
        <v>17</v>
      </c>
      <c r="H1024" s="148">
        <v>35</v>
      </c>
      <c r="I1024" s="149">
        <f t="shared" si="15"/>
        <v>595</v>
      </c>
      <c r="J1024" s="150" t="s">
        <v>515</v>
      </c>
      <c r="K1024" s="151">
        <v>16.065000000000001</v>
      </c>
      <c r="L1024">
        <f>Table13[[#This Row],[Price]]*Table13[[#This Row],[Units]]</f>
        <v>595</v>
      </c>
    </row>
    <row r="1025" spans="1:12" x14ac:dyDescent="0.35">
      <c r="A1025" s="145">
        <v>45711</v>
      </c>
      <c r="B1025" s="146" t="s">
        <v>1529</v>
      </c>
      <c r="C1025" s="147" t="s">
        <v>464</v>
      </c>
      <c r="D1025" s="147" t="s">
        <v>470</v>
      </c>
      <c r="E1025" s="147" t="s">
        <v>320</v>
      </c>
      <c r="F1025" s="147" t="s">
        <v>520</v>
      </c>
      <c r="G1025" s="147">
        <v>14</v>
      </c>
      <c r="H1025" s="148">
        <v>57</v>
      </c>
      <c r="I1025" s="149">
        <f t="shared" si="15"/>
        <v>798</v>
      </c>
      <c r="J1025" s="150" t="s">
        <v>466</v>
      </c>
      <c r="K1025" s="151">
        <v>18.353999999999999</v>
      </c>
      <c r="L1025">
        <f>Table13[[#This Row],[Price]]*Table13[[#This Row],[Units]]</f>
        <v>798</v>
      </c>
    </row>
    <row r="1026" spans="1:12" x14ac:dyDescent="0.35">
      <c r="A1026" s="145">
        <v>45711</v>
      </c>
      <c r="B1026" s="146" t="s">
        <v>1530</v>
      </c>
      <c r="C1026" s="147" t="s">
        <v>489</v>
      </c>
      <c r="D1026" s="147" t="s">
        <v>486</v>
      </c>
      <c r="E1026" s="147" t="s">
        <v>412</v>
      </c>
      <c r="F1026" s="147" t="s">
        <v>471</v>
      </c>
      <c r="G1026" s="147">
        <v>12</v>
      </c>
      <c r="H1026" s="148">
        <v>34</v>
      </c>
      <c r="I1026" s="149">
        <f t="shared" si="15"/>
        <v>408</v>
      </c>
      <c r="J1026" s="150" t="s">
        <v>515</v>
      </c>
      <c r="K1026" s="151">
        <v>10.608000000000001</v>
      </c>
      <c r="L1026">
        <f>Table13[[#This Row],[Price]]*Table13[[#This Row],[Units]]</f>
        <v>408</v>
      </c>
    </row>
    <row r="1027" spans="1:12" x14ac:dyDescent="0.35">
      <c r="A1027" s="145">
        <v>45711</v>
      </c>
      <c r="B1027" s="146" t="s">
        <v>1531</v>
      </c>
      <c r="C1027" s="147" t="s">
        <v>476</v>
      </c>
      <c r="D1027" s="147" t="s">
        <v>477</v>
      </c>
      <c r="E1027" s="147" t="s">
        <v>324</v>
      </c>
      <c r="F1027" s="147" t="s">
        <v>520</v>
      </c>
      <c r="G1027" s="147">
        <v>30</v>
      </c>
      <c r="H1027" s="148">
        <v>37</v>
      </c>
      <c r="I1027" s="149">
        <f t="shared" ref="I1027:I1090" si="16">G1027*H1027</f>
        <v>1110</v>
      </c>
      <c r="J1027" s="150" t="s">
        <v>472</v>
      </c>
      <c r="K1027" s="151">
        <v>25.53</v>
      </c>
      <c r="L1027">
        <f>Table13[[#This Row],[Price]]*Table13[[#This Row],[Units]]</f>
        <v>1110</v>
      </c>
    </row>
    <row r="1028" spans="1:12" x14ac:dyDescent="0.35">
      <c r="A1028" s="145">
        <v>45711</v>
      </c>
      <c r="B1028" s="146" t="s">
        <v>1532</v>
      </c>
      <c r="C1028" s="147" t="s">
        <v>494</v>
      </c>
      <c r="D1028" s="147" t="s">
        <v>470</v>
      </c>
      <c r="E1028" s="147" t="s">
        <v>412</v>
      </c>
      <c r="F1028" s="147" t="s">
        <v>497</v>
      </c>
      <c r="G1028" s="147">
        <v>45</v>
      </c>
      <c r="H1028" s="148">
        <v>42</v>
      </c>
      <c r="I1028" s="149">
        <f t="shared" si="16"/>
        <v>1890</v>
      </c>
      <c r="J1028" s="150" t="s">
        <v>515</v>
      </c>
      <c r="K1028" s="151">
        <v>39.69</v>
      </c>
      <c r="L1028">
        <f>Table13[[#This Row],[Price]]*Table13[[#This Row],[Units]]</f>
        <v>1890</v>
      </c>
    </row>
    <row r="1029" spans="1:12" x14ac:dyDescent="0.35">
      <c r="A1029" s="145">
        <v>45711</v>
      </c>
      <c r="B1029" s="146" t="s">
        <v>1533</v>
      </c>
      <c r="C1029" s="147" t="s">
        <v>494</v>
      </c>
      <c r="D1029" s="147" t="s">
        <v>477</v>
      </c>
      <c r="E1029" s="147" t="s">
        <v>315</v>
      </c>
      <c r="F1029" s="147" t="s">
        <v>505</v>
      </c>
      <c r="G1029" s="147">
        <v>59</v>
      </c>
      <c r="H1029" s="148">
        <v>29</v>
      </c>
      <c r="I1029" s="149">
        <f t="shared" si="16"/>
        <v>1711</v>
      </c>
      <c r="J1029" s="150" t="s">
        <v>515</v>
      </c>
      <c r="K1029" s="151">
        <v>46.197000000000003</v>
      </c>
      <c r="L1029">
        <f>Table13[[#This Row],[Price]]*Table13[[#This Row],[Units]]</f>
        <v>1711</v>
      </c>
    </row>
    <row r="1030" spans="1:12" x14ac:dyDescent="0.35">
      <c r="A1030" s="145">
        <v>45711</v>
      </c>
      <c r="B1030" s="146" t="s">
        <v>1534</v>
      </c>
      <c r="C1030" s="147" t="s">
        <v>322</v>
      </c>
      <c r="D1030" s="147" t="s">
        <v>512</v>
      </c>
      <c r="E1030" s="147" t="s">
        <v>315</v>
      </c>
      <c r="F1030" s="147" t="s">
        <v>539</v>
      </c>
      <c r="G1030" s="147">
        <v>27</v>
      </c>
      <c r="H1030" s="148">
        <v>50</v>
      </c>
      <c r="I1030" s="149">
        <f t="shared" si="16"/>
        <v>1350</v>
      </c>
      <c r="J1030" s="150" t="s">
        <v>466</v>
      </c>
      <c r="K1030" s="151">
        <v>31.05</v>
      </c>
      <c r="L1030">
        <f>Table13[[#This Row],[Price]]*Table13[[#This Row],[Units]]</f>
        <v>1350</v>
      </c>
    </row>
    <row r="1031" spans="1:12" x14ac:dyDescent="0.35">
      <c r="A1031" s="145">
        <v>45712</v>
      </c>
      <c r="B1031" s="146" t="s">
        <v>1535</v>
      </c>
      <c r="C1031" s="147" t="s">
        <v>489</v>
      </c>
      <c r="D1031" s="147" t="s">
        <v>477</v>
      </c>
      <c r="E1031" s="147" t="s">
        <v>315</v>
      </c>
      <c r="F1031" s="147" t="s">
        <v>536</v>
      </c>
      <c r="G1031" s="147">
        <v>54</v>
      </c>
      <c r="H1031" s="148">
        <v>51</v>
      </c>
      <c r="I1031" s="149">
        <f t="shared" si="16"/>
        <v>2754</v>
      </c>
      <c r="J1031" s="150" t="s">
        <v>472</v>
      </c>
      <c r="K1031" s="151">
        <v>74.358000000000004</v>
      </c>
      <c r="L1031">
        <f>Table13[[#This Row],[Price]]*Table13[[#This Row],[Units]]</f>
        <v>2754</v>
      </c>
    </row>
    <row r="1032" spans="1:12" x14ac:dyDescent="0.35">
      <c r="A1032" s="145">
        <v>45712</v>
      </c>
      <c r="B1032" s="146" t="s">
        <v>1536</v>
      </c>
      <c r="C1032" s="147" t="s">
        <v>469</v>
      </c>
      <c r="D1032" s="147" t="s">
        <v>486</v>
      </c>
      <c r="E1032" s="147" t="s">
        <v>483</v>
      </c>
      <c r="F1032" s="147" t="s">
        <v>536</v>
      </c>
      <c r="G1032" s="147">
        <v>39</v>
      </c>
      <c r="H1032" s="148">
        <v>46</v>
      </c>
      <c r="I1032" s="149">
        <f t="shared" si="16"/>
        <v>1794</v>
      </c>
      <c r="J1032" s="150" t="s">
        <v>472</v>
      </c>
      <c r="K1032" s="151">
        <v>37.673999999999999</v>
      </c>
      <c r="L1032">
        <f>Table13[[#This Row],[Price]]*Table13[[#This Row],[Units]]</f>
        <v>1794</v>
      </c>
    </row>
    <row r="1033" spans="1:12" x14ac:dyDescent="0.35">
      <c r="A1033" s="145">
        <v>45712</v>
      </c>
      <c r="B1033" s="146" t="s">
        <v>1537</v>
      </c>
      <c r="C1033" s="147" t="s">
        <v>501</v>
      </c>
      <c r="D1033" s="147" t="s">
        <v>512</v>
      </c>
      <c r="E1033" s="147" t="s">
        <v>412</v>
      </c>
      <c r="F1033" s="147" t="s">
        <v>536</v>
      </c>
      <c r="G1033" s="147">
        <v>26</v>
      </c>
      <c r="H1033" s="148">
        <v>53</v>
      </c>
      <c r="I1033" s="149">
        <f t="shared" si="16"/>
        <v>1378</v>
      </c>
      <c r="J1033" s="150" t="s">
        <v>515</v>
      </c>
      <c r="K1033" s="151">
        <v>39.962000000000003</v>
      </c>
      <c r="L1033">
        <f>Table13[[#This Row],[Price]]*Table13[[#This Row],[Units]]</f>
        <v>1378</v>
      </c>
    </row>
    <row r="1034" spans="1:12" x14ac:dyDescent="0.35">
      <c r="A1034" s="145">
        <v>45713</v>
      </c>
      <c r="B1034" s="146" t="s">
        <v>1538</v>
      </c>
      <c r="C1034" s="147" t="s">
        <v>484</v>
      </c>
      <c r="D1034" s="147" t="s">
        <v>470</v>
      </c>
      <c r="E1034" s="147" t="s">
        <v>333</v>
      </c>
      <c r="F1034" s="147" t="s">
        <v>471</v>
      </c>
      <c r="G1034" s="147">
        <v>55</v>
      </c>
      <c r="H1034" s="148">
        <v>33</v>
      </c>
      <c r="I1034" s="149">
        <f t="shared" si="16"/>
        <v>1815</v>
      </c>
      <c r="J1034" s="150" t="s">
        <v>472</v>
      </c>
      <c r="K1034" s="151">
        <v>49.005000000000003</v>
      </c>
      <c r="L1034">
        <f>Table13[[#This Row],[Price]]*Table13[[#This Row],[Units]]</f>
        <v>1815</v>
      </c>
    </row>
    <row r="1035" spans="1:12" x14ac:dyDescent="0.35">
      <c r="A1035" s="145">
        <v>45713</v>
      </c>
      <c r="B1035" s="146" t="s">
        <v>1539</v>
      </c>
      <c r="C1035" s="147" t="s">
        <v>322</v>
      </c>
      <c r="D1035" s="147" t="s">
        <v>519</v>
      </c>
      <c r="E1035" s="147" t="s">
        <v>333</v>
      </c>
      <c r="F1035" s="147" t="s">
        <v>454</v>
      </c>
      <c r="G1035" s="147">
        <v>17</v>
      </c>
      <c r="H1035" s="148">
        <v>49</v>
      </c>
      <c r="I1035" s="149">
        <f t="shared" si="16"/>
        <v>833</v>
      </c>
      <c r="J1035" s="150" t="s">
        <v>466</v>
      </c>
      <c r="K1035" s="151">
        <v>23.324000000000002</v>
      </c>
      <c r="L1035">
        <f>Table13[[#This Row],[Price]]*Table13[[#This Row],[Units]]</f>
        <v>833</v>
      </c>
    </row>
    <row r="1036" spans="1:12" x14ac:dyDescent="0.35">
      <c r="A1036" s="145">
        <v>45713</v>
      </c>
      <c r="B1036" s="146" t="s">
        <v>1540</v>
      </c>
      <c r="C1036" s="147" t="s">
        <v>494</v>
      </c>
      <c r="D1036" s="147" t="s">
        <v>512</v>
      </c>
      <c r="E1036" s="147" t="s">
        <v>324</v>
      </c>
      <c r="F1036" s="147" t="s">
        <v>478</v>
      </c>
      <c r="G1036" s="147">
        <v>37</v>
      </c>
      <c r="H1036" s="148">
        <v>49</v>
      </c>
      <c r="I1036" s="149">
        <f t="shared" si="16"/>
        <v>1813</v>
      </c>
      <c r="J1036" s="150" t="s">
        <v>466</v>
      </c>
      <c r="K1036" s="151">
        <v>50.764000000000003</v>
      </c>
      <c r="L1036">
        <f>Table13[[#This Row],[Price]]*Table13[[#This Row],[Units]]</f>
        <v>1813</v>
      </c>
    </row>
    <row r="1037" spans="1:12" x14ac:dyDescent="0.35">
      <c r="A1037" s="145">
        <v>45713</v>
      </c>
      <c r="B1037" s="146" t="s">
        <v>1541</v>
      </c>
      <c r="C1037" s="147" t="s">
        <v>489</v>
      </c>
      <c r="D1037" s="147" t="s">
        <v>477</v>
      </c>
      <c r="E1037" s="147" t="s">
        <v>483</v>
      </c>
      <c r="F1037" s="147" t="s">
        <v>567</v>
      </c>
      <c r="G1037" s="147">
        <v>25</v>
      </c>
      <c r="H1037" s="148">
        <v>32</v>
      </c>
      <c r="I1037" s="149">
        <f t="shared" si="16"/>
        <v>800</v>
      </c>
      <c r="J1037" s="150" t="s">
        <v>466</v>
      </c>
      <c r="K1037" s="151">
        <v>20</v>
      </c>
      <c r="L1037">
        <f>Table13[[#This Row],[Price]]*Table13[[#This Row],[Units]]</f>
        <v>800</v>
      </c>
    </row>
    <row r="1038" spans="1:12" x14ac:dyDescent="0.35">
      <c r="A1038" s="145">
        <v>45713</v>
      </c>
      <c r="B1038" s="146" t="s">
        <v>1542</v>
      </c>
      <c r="C1038" s="147" t="s">
        <v>494</v>
      </c>
      <c r="D1038" s="147" t="s">
        <v>519</v>
      </c>
      <c r="E1038" s="147" t="s">
        <v>315</v>
      </c>
      <c r="F1038" s="147" t="s">
        <v>528</v>
      </c>
      <c r="G1038" s="147">
        <v>52</v>
      </c>
      <c r="H1038" s="148">
        <v>34</v>
      </c>
      <c r="I1038" s="149">
        <f t="shared" si="16"/>
        <v>1768</v>
      </c>
      <c r="J1038" s="150" t="s">
        <v>472</v>
      </c>
      <c r="K1038" s="151">
        <v>44.2</v>
      </c>
      <c r="L1038">
        <f>Table13[[#This Row],[Price]]*Table13[[#This Row],[Units]]</f>
        <v>1768</v>
      </c>
    </row>
    <row r="1039" spans="1:12" x14ac:dyDescent="0.35">
      <c r="A1039" s="145">
        <v>45713</v>
      </c>
      <c r="B1039" s="146" t="s">
        <v>1543</v>
      </c>
      <c r="C1039" s="147" t="s">
        <v>501</v>
      </c>
      <c r="D1039" s="147" t="s">
        <v>490</v>
      </c>
      <c r="E1039" s="147" t="s">
        <v>320</v>
      </c>
      <c r="F1039" s="147" t="s">
        <v>478</v>
      </c>
      <c r="G1039" s="147">
        <v>49</v>
      </c>
      <c r="H1039" s="148">
        <v>48</v>
      </c>
      <c r="I1039" s="149">
        <f t="shared" si="16"/>
        <v>2352</v>
      </c>
      <c r="J1039" s="150" t="s">
        <v>515</v>
      </c>
      <c r="K1039" s="151">
        <v>58.8</v>
      </c>
      <c r="L1039">
        <f>Table13[[#This Row],[Price]]*Table13[[#This Row],[Units]]</f>
        <v>2352</v>
      </c>
    </row>
    <row r="1040" spans="1:12" x14ac:dyDescent="0.35">
      <c r="A1040" s="145">
        <v>45713</v>
      </c>
      <c r="B1040" s="146" t="s">
        <v>1544</v>
      </c>
      <c r="C1040" s="147" t="s">
        <v>464</v>
      </c>
      <c r="D1040" s="147" t="s">
        <v>519</v>
      </c>
      <c r="E1040" s="147" t="s">
        <v>483</v>
      </c>
      <c r="F1040" s="147" t="s">
        <v>491</v>
      </c>
      <c r="G1040" s="147">
        <v>54</v>
      </c>
      <c r="H1040" s="148">
        <v>59</v>
      </c>
      <c r="I1040" s="149">
        <f t="shared" si="16"/>
        <v>3186</v>
      </c>
      <c r="J1040" s="150" t="s">
        <v>466</v>
      </c>
      <c r="K1040" s="151">
        <v>79.650000000000006</v>
      </c>
      <c r="L1040">
        <f>Table13[[#This Row],[Price]]*Table13[[#This Row],[Units]]</f>
        <v>3186</v>
      </c>
    </row>
    <row r="1041" spans="1:12" x14ac:dyDescent="0.35">
      <c r="A1041" s="145">
        <v>45713</v>
      </c>
      <c r="B1041" s="146" t="s">
        <v>1545</v>
      </c>
      <c r="C1041" s="147" t="s">
        <v>501</v>
      </c>
      <c r="D1041" s="147" t="s">
        <v>477</v>
      </c>
      <c r="E1041" s="147" t="s">
        <v>412</v>
      </c>
      <c r="F1041" s="147" t="s">
        <v>454</v>
      </c>
      <c r="G1041" s="147">
        <v>39</v>
      </c>
      <c r="H1041" s="148">
        <v>58</v>
      </c>
      <c r="I1041" s="149">
        <f t="shared" si="16"/>
        <v>2262</v>
      </c>
      <c r="J1041" s="150" t="s">
        <v>466</v>
      </c>
      <c r="K1041" s="151">
        <v>67.86</v>
      </c>
      <c r="L1041">
        <f>Table13[[#This Row],[Price]]*Table13[[#This Row],[Units]]</f>
        <v>2262</v>
      </c>
    </row>
    <row r="1042" spans="1:12" x14ac:dyDescent="0.35">
      <c r="A1042" s="145">
        <v>45713</v>
      </c>
      <c r="B1042" s="146" t="s">
        <v>1546</v>
      </c>
      <c r="C1042" s="147" t="s">
        <v>494</v>
      </c>
      <c r="D1042" s="147" t="s">
        <v>470</v>
      </c>
      <c r="E1042" s="147" t="s">
        <v>333</v>
      </c>
      <c r="F1042" s="147" t="s">
        <v>487</v>
      </c>
      <c r="G1042" s="147">
        <v>24</v>
      </c>
      <c r="H1042" s="148">
        <v>29</v>
      </c>
      <c r="I1042" s="149">
        <f t="shared" si="16"/>
        <v>696</v>
      </c>
      <c r="J1042" s="150" t="s">
        <v>515</v>
      </c>
      <c r="K1042" s="151">
        <v>15.311999999999999</v>
      </c>
      <c r="L1042">
        <f>Table13[[#This Row],[Price]]*Table13[[#This Row],[Units]]</f>
        <v>696</v>
      </c>
    </row>
    <row r="1043" spans="1:12" x14ac:dyDescent="0.35">
      <c r="A1043" s="145">
        <v>45713</v>
      </c>
      <c r="B1043" s="146" t="s">
        <v>1547</v>
      </c>
      <c r="C1043" s="147" t="s">
        <v>476</v>
      </c>
      <c r="D1043" s="147" t="s">
        <v>512</v>
      </c>
      <c r="E1043" s="147" t="s">
        <v>333</v>
      </c>
      <c r="F1043" s="147" t="s">
        <v>471</v>
      </c>
      <c r="G1043" s="147">
        <v>30</v>
      </c>
      <c r="H1043" s="148">
        <v>59</v>
      </c>
      <c r="I1043" s="149">
        <f t="shared" si="16"/>
        <v>1770</v>
      </c>
      <c r="J1043" s="150" t="s">
        <v>515</v>
      </c>
      <c r="K1043" s="151">
        <v>53.1</v>
      </c>
      <c r="L1043">
        <f>Table13[[#This Row],[Price]]*Table13[[#This Row],[Units]]</f>
        <v>1770</v>
      </c>
    </row>
    <row r="1044" spans="1:12" x14ac:dyDescent="0.35">
      <c r="A1044" s="145">
        <v>45713</v>
      </c>
      <c r="B1044" s="146" t="s">
        <v>1548</v>
      </c>
      <c r="C1044" s="147" t="s">
        <v>322</v>
      </c>
      <c r="D1044" s="147" t="s">
        <v>465</v>
      </c>
      <c r="E1044" s="147" t="s">
        <v>315</v>
      </c>
      <c r="F1044" s="147" t="s">
        <v>500</v>
      </c>
      <c r="G1044" s="147">
        <v>37</v>
      </c>
      <c r="H1044" s="148">
        <v>39</v>
      </c>
      <c r="I1044" s="149">
        <f t="shared" si="16"/>
        <v>1443</v>
      </c>
      <c r="J1044" s="150" t="s">
        <v>515</v>
      </c>
      <c r="K1044" s="151">
        <v>37.518000000000001</v>
      </c>
      <c r="L1044">
        <f>Table13[[#This Row],[Price]]*Table13[[#This Row],[Units]]</f>
        <v>1443</v>
      </c>
    </row>
    <row r="1045" spans="1:12" x14ac:dyDescent="0.35">
      <c r="A1045" s="145">
        <v>45713</v>
      </c>
      <c r="B1045" s="146" t="s">
        <v>1549</v>
      </c>
      <c r="C1045" s="147" t="s">
        <v>492</v>
      </c>
      <c r="D1045" s="147" t="s">
        <v>490</v>
      </c>
      <c r="E1045" s="147" t="s">
        <v>315</v>
      </c>
      <c r="F1045" s="147" t="s">
        <v>500</v>
      </c>
      <c r="G1045" s="147">
        <v>49</v>
      </c>
      <c r="H1045" s="148">
        <v>22</v>
      </c>
      <c r="I1045" s="149">
        <f t="shared" si="16"/>
        <v>1078</v>
      </c>
      <c r="J1045" s="150" t="s">
        <v>472</v>
      </c>
      <c r="K1045" s="151">
        <v>22.638000000000002</v>
      </c>
      <c r="L1045">
        <f>Table13[[#This Row],[Price]]*Table13[[#This Row],[Units]]</f>
        <v>1078</v>
      </c>
    </row>
    <row r="1046" spans="1:12" x14ac:dyDescent="0.35">
      <c r="A1046" s="145">
        <v>45713</v>
      </c>
      <c r="B1046" s="146" t="s">
        <v>1550</v>
      </c>
      <c r="C1046" s="147" t="s">
        <v>322</v>
      </c>
      <c r="D1046" s="147" t="s">
        <v>490</v>
      </c>
      <c r="E1046" s="147" t="s">
        <v>483</v>
      </c>
      <c r="F1046" s="147" t="s">
        <v>505</v>
      </c>
      <c r="G1046" s="147">
        <v>34</v>
      </c>
      <c r="H1046" s="148">
        <v>55</v>
      </c>
      <c r="I1046" s="149">
        <f t="shared" si="16"/>
        <v>1870</v>
      </c>
      <c r="J1046" s="150" t="s">
        <v>472</v>
      </c>
      <c r="K1046" s="151">
        <v>56.1</v>
      </c>
      <c r="L1046">
        <f>Table13[[#This Row],[Price]]*Table13[[#This Row],[Units]]</f>
        <v>1870</v>
      </c>
    </row>
    <row r="1047" spans="1:12" x14ac:dyDescent="0.35">
      <c r="A1047" s="145">
        <v>45713</v>
      </c>
      <c r="B1047" s="146" t="s">
        <v>1551</v>
      </c>
      <c r="C1047" s="147" t="s">
        <v>484</v>
      </c>
      <c r="D1047" s="147" t="s">
        <v>477</v>
      </c>
      <c r="E1047" s="147" t="s">
        <v>483</v>
      </c>
      <c r="F1047" s="147" t="s">
        <v>528</v>
      </c>
      <c r="G1047" s="147">
        <v>53</v>
      </c>
      <c r="H1047" s="148">
        <v>29</v>
      </c>
      <c r="I1047" s="149">
        <f t="shared" si="16"/>
        <v>1537</v>
      </c>
      <c r="J1047" s="150" t="s">
        <v>515</v>
      </c>
      <c r="K1047" s="151">
        <v>44.573</v>
      </c>
      <c r="L1047">
        <f>Table13[[#This Row],[Price]]*Table13[[#This Row],[Units]]</f>
        <v>1537</v>
      </c>
    </row>
    <row r="1048" spans="1:12" x14ac:dyDescent="0.35">
      <c r="A1048" s="145">
        <v>45713</v>
      </c>
      <c r="B1048" s="146" t="s">
        <v>1552</v>
      </c>
      <c r="C1048" s="147" t="s">
        <v>492</v>
      </c>
      <c r="D1048" s="147" t="s">
        <v>519</v>
      </c>
      <c r="E1048" s="147" t="s">
        <v>483</v>
      </c>
      <c r="F1048" s="147" t="s">
        <v>497</v>
      </c>
      <c r="G1048" s="147">
        <v>31</v>
      </c>
      <c r="H1048" s="148">
        <v>45</v>
      </c>
      <c r="I1048" s="149">
        <f t="shared" si="16"/>
        <v>1395</v>
      </c>
      <c r="J1048" s="150" t="s">
        <v>472</v>
      </c>
      <c r="K1048" s="151">
        <v>37.664999999999999</v>
      </c>
      <c r="L1048">
        <f>Table13[[#This Row],[Price]]*Table13[[#This Row],[Units]]</f>
        <v>1395</v>
      </c>
    </row>
    <row r="1049" spans="1:12" x14ac:dyDescent="0.35">
      <c r="A1049" s="145">
        <v>45713</v>
      </c>
      <c r="B1049" s="146" t="s">
        <v>1553</v>
      </c>
      <c r="C1049" s="147" t="s">
        <v>501</v>
      </c>
      <c r="D1049" s="147" t="s">
        <v>519</v>
      </c>
      <c r="E1049" s="147" t="s">
        <v>320</v>
      </c>
      <c r="F1049" s="147" t="s">
        <v>497</v>
      </c>
      <c r="G1049" s="147">
        <v>20</v>
      </c>
      <c r="H1049" s="148">
        <v>38</v>
      </c>
      <c r="I1049" s="149">
        <f t="shared" si="16"/>
        <v>760</v>
      </c>
      <c r="J1049" s="150" t="s">
        <v>472</v>
      </c>
      <c r="K1049" s="151">
        <v>21.28</v>
      </c>
      <c r="L1049">
        <f>Table13[[#This Row],[Price]]*Table13[[#This Row],[Units]]</f>
        <v>760</v>
      </c>
    </row>
    <row r="1050" spans="1:12" x14ac:dyDescent="0.35">
      <c r="A1050" s="145">
        <v>45713</v>
      </c>
      <c r="B1050" s="146" t="s">
        <v>1554</v>
      </c>
      <c r="C1050" s="147" t="s">
        <v>476</v>
      </c>
      <c r="D1050" s="147" t="s">
        <v>486</v>
      </c>
      <c r="E1050" s="147" t="s">
        <v>333</v>
      </c>
      <c r="F1050" s="147" t="s">
        <v>500</v>
      </c>
      <c r="G1050" s="147">
        <v>29</v>
      </c>
      <c r="H1050" s="148">
        <v>55</v>
      </c>
      <c r="I1050" s="149">
        <f t="shared" si="16"/>
        <v>1595</v>
      </c>
      <c r="J1050" s="150" t="s">
        <v>466</v>
      </c>
      <c r="K1050" s="151">
        <v>33.494999999999997</v>
      </c>
      <c r="L1050">
        <f>Table13[[#This Row],[Price]]*Table13[[#This Row],[Units]]</f>
        <v>1595</v>
      </c>
    </row>
    <row r="1051" spans="1:12" x14ac:dyDescent="0.35">
      <c r="A1051" s="145">
        <v>45713</v>
      </c>
      <c r="B1051" s="146" t="s">
        <v>1555</v>
      </c>
      <c r="C1051" s="147" t="s">
        <v>322</v>
      </c>
      <c r="D1051" s="147" t="s">
        <v>512</v>
      </c>
      <c r="E1051" s="147" t="s">
        <v>320</v>
      </c>
      <c r="F1051" s="147" t="s">
        <v>487</v>
      </c>
      <c r="G1051" s="147">
        <v>55</v>
      </c>
      <c r="H1051" s="148">
        <v>31</v>
      </c>
      <c r="I1051" s="149">
        <f t="shared" si="16"/>
        <v>1705</v>
      </c>
      <c r="J1051" s="150" t="s">
        <v>466</v>
      </c>
      <c r="K1051" s="151">
        <v>49.445</v>
      </c>
      <c r="L1051">
        <f>Table13[[#This Row],[Price]]*Table13[[#This Row],[Units]]</f>
        <v>1705</v>
      </c>
    </row>
    <row r="1052" spans="1:12" x14ac:dyDescent="0.35">
      <c r="A1052" s="145">
        <v>45713</v>
      </c>
      <c r="B1052" s="146" t="s">
        <v>1556</v>
      </c>
      <c r="C1052" s="147" t="s">
        <v>484</v>
      </c>
      <c r="D1052" s="147" t="s">
        <v>470</v>
      </c>
      <c r="E1052" s="147" t="s">
        <v>390</v>
      </c>
      <c r="F1052" s="147" t="s">
        <v>523</v>
      </c>
      <c r="G1052" s="147">
        <v>29</v>
      </c>
      <c r="H1052" s="148">
        <v>51</v>
      </c>
      <c r="I1052" s="149">
        <f t="shared" si="16"/>
        <v>1479</v>
      </c>
      <c r="J1052" s="150" t="s">
        <v>466</v>
      </c>
      <c r="K1052" s="151">
        <v>35.496000000000002</v>
      </c>
      <c r="L1052">
        <f>Table13[[#This Row],[Price]]*Table13[[#This Row],[Units]]</f>
        <v>1479</v>
      </c>
    </row>
    <row r="1053" spans="1:12" x14ac:dyDescent="0.35">
      <c r="A1053" s="145">
        <v>45714</v>
      </c>
      <c r="B1053" s="146" t="s">
        <v>1557</v>
      </c>
      <c r="C1053" s="147" t="s">
        <v>492</v>
      </c>
      <c r="D1053" s="147" t="s">
        <v>512</v>
      </c>
      <c r="E1053" s="147" t="s">
        <v>333</v>
      </c>
      <c r="F1053" s="147" t="s">
        <v>500</v>
      </c>
      <c r="G1053" s="147">
        <v>41</v>
      </c>
      <c r="H1053" s="148">
        <v>36</v>
      </c>
      <c r="I1053" s="149">
        <f t="shared" si="16"/>
        <v>1476</v>
      </c>
      <c r="J1053" s="150" t="s">
        <v>466</v>
      </c>
      <c r="K1053" s="151">
        <v>36.9</v>
      </c>
      <c r="L1053">
        <f>Table13[[#This Row],[Price]]*Table13[[#This Row],[Units]]</f>
        <v>1476</v>
      </c>
    </row>
    <row r="1054" spans="1:12" x14ac:dyDescent="0.35">
      <c r="A1054" s="145">
        <v>45714</v>
      </c>
      <c r="B1054" s="146" t="s">
        <v>1558</v>
      </c>
      <c r="C1054" s="147" t="s">
        <v>484</v>
      </c>
      <c r="D1054" s="147" t="s">
        <v>490</v>
      </c>
      <c r="E1054" s="147" t="s">
        <v>315</v>
      </c>
      <c r="F1054" s="147" t="s">
        <v>536</v>
      </c>
      <c r="G1054" s="147">
        <v>59</v>
      </c>
      <c r="H1054" s="148">
        <v>58</v>
      </c>
      <c r="I1054" s="149">
        <f t="shared" si="16"/>
        <v>3422</v>
      </c>
      <c r="J1054" s="150" t="s">
        <v>472</v>
      </c>
      <c r="K1054" s="151">
        <v>95.816000000000003</v>
      </c>
      <c r="L1054">
        <f>Table13[[#This Row],[Price]]*Table13[[#This Row],[Units]]</f>
        <v>3422</v>
      </c>
    </row>
    <row r="1055" spans="1:12" x14ac:dyDescent="0.35">
      <c r="A1055" s="145">
        <v>45714</v>
      </c>
      <c r="B1055" s="146" t="s">
        <v>1559</v>
      </c>
      <c r="C1055" s="147" t="s">
        <v>322</v>
      </c>
      <c r="D1055" s="147" t="s">
        <v>477</v>
      </c>
      <c r="E1055" s="147" t="s">
        <v>390</v>
      </c>
      <c r="F1055" s="147" t="s">
        <v>510</v>
      </c>
      <c r="G1055" s="147">
        <v>21</v>
      </c>
      <c r="H1055" s="148">
        <v>53</v>
      </c>
      <c r="I1055" s="149">
        <f t="shared" si="16"/>
        <v>1113</v>
      </c>
      <c r="J1055" s="150" t="s">
        <v>503</v>
      </c>
      <c r="K1055" s="151">
        <v>31.164000000000001</v>
      </c>
      <c r="L1055">
        <f>Table13[[#This Row],[Price]]*Table13[[#This Row],[Units]]</f>
        <v>1113</v>
      </c>
    </row>
    <row r="1056" spans="1:12" x14ac:dyDescent="0.35">
      <c r="A1056" s="145">
        <v>45714</v>
      </c>
      <c r="B1056" s="146" t="s">
        <v>1560</v>
      </c>
      <c r="C1056" s="147" t="s">
        <v>501</v>
      </c>
      <c r="D1056" s="147" t="s">
        <v>512</v>
      </c>
      <c r="E1056" s="147" t="s">
        <v>390</v>
      </c>
      <c r="F1056" s="147" t="s">
        <v>539</v>
      </c>
      <c r="G1056" s="147">
        <v>46</v>
      </c>
      <c r="H1056" s="148">
        <v>24</v>
      </c>
      <c r="I1056" s="149">
        <f t="shared" si="16"/>
        <v>1104</v>
      </c>
      <c r="J1056" s="150" t="s">
        <v>466</v>
      </c>
      <c r="K1056" s="151">
        <v>27.6</v>
      </c>
      <c r="L1056">
        <f>Table13[[#This Row],[Price]]*Table13[[#This Row],[Units]]</f>
        <v>1104</v>
      </c>
    </row>
    <row r="1057" spans="1:12" x14ac:dyDescent="0.35">
      <c r="A1057" s="145">
        <v>45714</v>
      </c>
      <c r="B1057" s="146" t="s">
        <v>1561</v>
      </c>
      <c r="C1057" s="147" t="s">
        <v>494</v>
      </c>
      <c r="D1057" s="147" t="s">
        <v>519</v>
      </c>
      <c r="E1057" s="147" t="s">
        <v>333</v>
      </c>
      <c r="F1057" s="147" t="s">
        <v>454</v>
      </c>
      <c r="G1057" s="147">
        <v>47</v>
      </c>
      <c r="H1057" s="148">
        <v>29</v>
      </c>
      <c r="I1057" s="149">
        <f t="shared" si="16"/>
        <v>1363</v>
      </c>
      <c r="J1057" s="150" t="s">
        <v>515</v>
      </c>
      <c r="K1057" s="151">
        <v>36.801000000000002</v>
      </c>
      <c r="L1057">
        <f>Table13[[#This Row],[Price]]*Table13[[#This Row],[Units]]</f>
        <v>1363</v>
      </c>
    </row>
    <row r="1058" spans="1:12" x14ac:dyDescent="0.35">
      <c r="A1058" s="145">
        <v>45714</v>
      </c>
      <c r="B1058" s="146" t="s">
        <v>1562</v>
      </c>
      <c r="C1058" s="147" t="s">
        <v>469</v>
      </c>
      <c r="D1058" s="147" t="s">
        <v>477</v>
      </c>
      <c r="E1058" s="147" t="s">
        <v>412</v>
      </c>
      <c r="F1058" s="147" t="s">
        <v>567</v>
      </c>
      <c r="G1058" s="147">
        <v>19</v>
      </c>
      <c r="H1058" s="148">
        <v>20</v>
      </c>
      <c r="I1058" s="149">
        <f t="shared" si="16"/>
        <v>380</v>
      </c>
      <c r="J1058" s="150" t="s">
        <v>503</v>
      </c>
      <c r="K1058" s="151">
        <v>7.98</v>
      </c>
      <c r="L1058">
        <f>Table13[[#This Row],[Price]]*Table13[[#This Row],[Units]]</f>
        <v>380</v>
      </c>
    </row>
    <row r="1059" spans="1:12" x14ac:dyDescent="0.35">
      <c r="A1059" s="145">
        <v>45714</v>
      </c>
      <c r="B1059" s="146" t="s">
        <v>1563</v>
      </c>
      <c r="C1059" s="147" t="s">
        <v>494</v>
      </c>
      <c r="D1059" s="147" t="s">
        <v>512</v>
      </c>
      <c r="E1059" s="147" t="s">
        <v>390</v>
      </c>
      <c r="F1059" s="147" t="s">
        <v>520</v>
      </c>
      <c r="G1059" s="147">
        <v>41</v>
      </c>
      <c r="H1059" s="148">
        <v>56</v>
      </c>
      <c r="I1059" s="149">
        <f t="shared" si="16"/>
        <v>2296</v>
      </c>
      <c r="J1059" s="150" t="s">
        <v>466</v>
      </c>
      <c r="K1059" s="151">
        <v>48.216000000000001</v>
      </c>
      <c r="L1059">
        <f>Table13[[#This Row],[Price]]*Table13[[#This Row],[Units]]</f>
        <v>2296</v>
      </c>
    </row>
    <row r="1060" spans="1:12" x14ac:dyDescent="0.35">
      <c r="A1060" s="145">
        <v>45714</v>
      </c>
      <c r="B1060" s="146" t="s">
        <v>1564</v>
      </c>
      <c r="C1060" s="147" t="s">
        <v>322</v>
      </c>
      <c r="D1060" s="147" t="s">
        <v>486</v>
      </c>
      <c r="E1060" s="147" t="s">
        <v>324</v>
      </c>
      <c r="F1060" s="147" t="s">
        <v>520</v>
      </c>
      <c r="G1060" s="147">
        <v>38</v>
      </c>
      <c r="H1060" s="148">
        <v>26</v>
      </c>
      <c r="I1060" s="149">
        <f t="shared" si="16"/>
        <v>988</v>
      </c>
      <c r="J1060" s="150" t="s">
        <v>472</v>
      </c>
      <c r="K1060" s="151">
        <v>21.736000000000001</v>
      </c>
      <c r="L1060">
        <f>Table13[[#This Row],[Price]]*Table13[[#This Row],[Units]]</f>
        <v>988</v>
      </c>
    </row>
    <row r="1061" spans="1:12" x14ac:dyDescent="0.35">
      <c r="A1061" s="145">
        <v>45715</v>
      </c>
      <c r="B1061" s="146" t="s">
        <v>1565</v>
      </c>
      <c r="C1061" s="147" t="s">
        <v>492</v>
      </c>
      <c r="D1061" s="147" t="s">
        <v>465</v>
      </c>
      <c r="E1061" s="147" t="s">
        <v>315</v>
      </c>
      <c r="F1061" s="147" t="s">
        <v>454</v>
      </c>
      <c r="G1061" s="147">
        <v>38</v>
      </c>
      <c r="H1061" s="148">
        <v>60</v>
      </c>
      <c r="I1061" s="149">
        <f t="shared" si="16"/>
        <v>2280</v>
      </c>
      <c r="J1061" s="150" t="s">
        <v>466</v>
      </c>
      <c r="K1061" s="151">
        <v>50.16</v>
      </c>
      <c r="L1061">
        <f>Table13[[#This Row],[Price]]*Table13[[#This Row],[Units]]</f>
        <v>2280</v>
      </c>
    </row>
    <row r="1062" spans="1:12" x14ac:dyDescent="0.35">
      <c r="A1062" s="145">
        <v>45715</v>
      </c>
      <c r="B1062" s="146" t="s">
        <v>1566</v>
      </c>
      <c r="C1062" s="147" t="s">
        <v>492</v>
      </c>
      <c r="D1062" s="147" t="s">
        <v>519</v>
      </c>
      <c r="E1062" s="147" t="s">
        <v>333</v>
      </c>
      <c r="F1062" s="147" t="s">
        <v>567</v>
      </c>
      <c r="G1062" s="147">
        <v>43</v>
      </c>
      <c r="H1062" s="148">
        <v>55</v>
      </c>
      <c r="I1062" s="149">
        <f t="shared" si="16"/>
        <v>2365</v>
      </c>
      <c r="J1062" s="150" t="s">
        <v>472</v>
      </c>
      <c r="K1062" s="151">
        <v>61.49</v>
      </c>
      <c r="L1062">
        <f>Table13[[#This Row],[Price]]*Table13[[#This Row],[Units]]</f>
        <v>2365</v>
      </c>
    </row>
    <row r="1063" spans="1:12" x14ac:dyDescent="0.35">
      <c r="A1063" s="145">
        <v>45715</v>
      </c>
      <c r="B1063" s="146" t="s">
        <v>1567</v>
      </c>
      <c r="C1063" s="147" t="s">
        <v>322</v>
      </c>
      <c r="D1063" s="147" t="s">
        <v>519</v>
      </c>
      <c r="E1063" s="147" t="s">
        <v>315</v>
      </c>
      <c r="F1063" s="147" t="s">
        <v>471</v>
      </c>
      <c r="G1063" s="147">
        <v>54</v>
      </c>
      <c r="H1063" s="148">
        <v>31</v>
      </c>
      <c r="I1063" s="149">
        <f t="shared" si="16"/>
        <v>1674</v>
      </c>
      <c r="J1063" s="150" t="s">
        <v>515</v>
      </c>
      <c r="K1063" s="151">
        <v>43.524000000000001</v>
      </c>
      <c r="L1063">
        <f>Table13[[#This Row],[Price]]*Table13[[#This Row],[Units]]</f>
        <v>1674</v>
      </c>
    </row>
    <row r="1064" spans="1:12" x14ac:dyDescent="0.35">
      <c r="A1064" s="145">
        <v>45715</v>
      </c>
      <c r="B1064" s="146" t="s">
        <v>1568</v>
      </c>
      <c r="C1064" s="147" t="s">
        <v>494</v>
      </c>
      <c r="D1064" s="147" t="s">
        <v>477</v>
      </c>
      <c r="E1064" s="147" t="s">
        <v>483</v>
      </c>
      <c r="F1064" s="147" t="s">
        <v>505</v>
      </c>
      <c r="G1064" s="147">
        <v>38</v>
      </c>
      <c r="H1064" s="148">
        <v>41</v>
      </c>
      <c r="I1064" s="149">
        <f t="shared" si="16"/>
        <v>1558</v>
      </c>
      <c r="J1064" s="150" t="s">
        <v>472</v>
      </c>
      <c r="K1064" s="151">
        <v>43.624000000000002</v>
      </c>
      <c r="L1064">
        <f>Table13[[#This Row],[Price]]*Table13[[#This Row],[Units]]</f>
        <v>1558</v>
      </c>
    </row>
    <row r="1065" spans="1:12" x14ac:dyDescent="0.35">
      <c r="A1065" s="145">
        <v>45715</v>
      </c>
      <c r="B1065" s="146" t="s">
        <v>1569</v>
      </c>
      <c r="C1065" s="147" t="s">
        <v>494</v>
      </c>
      <c r="D1065" s="147" t="s">
        <v>470</v>
      </c>
      <c r="E1065" s="147" t="s">
        <v>324</v>
      </c>
      <c r="F1065" s="147" t="s">
        <v>513</v>
      </c>
      <c r="G1065" s="147">
        <v>36</v>
      </c>
      <c r="H1065" s="148">
        <v>44</v>
      </c>
      <c r="I1065" s="149">
        <f t="shared" si="16"/>
        <v>1584</v>
      </c>
      <c r="J1065" s="150" t="s">
        <v>466</v>
      </c>
      <c r="K1065" s="151">
        <v>39.6</v>
      </c>
      <c r="L1065">
        <f>Table13[[#This Row],[Price]]*Table13[[#This Row],[Units]]</f>
        <v>1584</v>
      </c>
    </row>
    <row r="1066" spans="1:12" x14ac:dyDescent="0.35">
      <c r="A1066" s="145">
        <v>45715</v>
      </c>
      <c r="B1066" s="146" t="s">
        <v>1570</v>
      </c>
      <c r="C1066" s="147" t="s">
        <v>322</v>
      </c>
      <c r="D1066" s="147" t="s">
        <v>470</v>
      </c>
      <c r="E1066" s="147" t="s">
        <v>390</v>
      </c>
      <c r="F1066" s="147" t="s">
        <v>536</v>
      </c>
      <c r="G1066" s="147">
        <v>28</v>
      </c>
      <c r="H1066" s="148">
        <v>28</v>
      </c>
      <c r="I1066" s="149">
        <f t="shared" si="16"/>
        <v>784</v>
      </c>
      <c r="J1066" s="150" t="s">
        <v>466</v>
      </c>
      <c r="K1066" s="151">
        <v>18.815999999999999</v>
      </c>
      <c r="L1066">
        <f>Table13[[#This Row],[Price]]*Table13[[#This Row],[Units]]</f>
        <v>784</v>
      </c>
    </row>
    <row r="1067" spans="1:12" x14ac:dyDescent="0.35">
      <c r="A1067" s="145">
        <v>45715</v>
      </c>
      <c r="B1067" s="146" t="s">
        <v>1571</v>
      </c>
      <c r="C1067" s="147" t="s">
        <v>322</v>
      </c>
      <c r="D1067" s="147" t="s">
        <v>465</v>
      </c>
      <c r="E1067" s="147" t="s">
        <v>333</v>
      </c>
      <c r="F1067" s="147" t="s">
        <v>478</v>
      </c>
      <c r="G1067" s="147">
        <v>11</v>
      </c>
      <c r="H1067" s="148">
        <v>53</v>
      </c>
      <c r="I1067" s="149">
        <f t="shared" si="16"/>
        <v>583</v>
      </c>
      <c r="J1067" s="150" t="s">
        <v>472</v>
      </c>
      <c r="K1067" s="151">
        <v>15.741</v>
      </c>
      <c r="L1067">
        <f>Table13[[#This Row],[Price]]*Table13[[#This Row],[Units]]</f>
        <v>583</v>
      </c>
    </row>
    <row r="1068" spans="1:12" x14ac:dyDescent="0.35">
      <c r="A1068" s="145">
        <v>45715</v>
      </c>
      <c r="B1068" s="146" t="s">
        <v>1572</v>
      </c>
      <c r="C1068" s="147" t="s">
        <v>489</v>
      </c>
      <c r="D1068" s="147" t="s">
        <v>512</v>
      </c>
      <c r="E1068" s="147" t="s">
        <v>324</v>
      </c>
      <c r="F1068" s="147" t="s">
        <v>454</v>
      </c>
      <c r="G1068" s="147">
        <v>39</v>
      </c>
      <c r="H1068" s="148">
        <v>45</v>
      </c>
      <c r="I1068" s="149">
        <f t="shared" si="16"/>
        <v>1755</v>
      </c>
      <c r="J1068" s="150" t="s">
        <v>466</v>
      </c>
      <c r="K1068" s="151">
        <v>35.1</v>
      </c>
      <c r="L1068">
        <f>Table13[[#This Row],[Price]]*Table13[[#This Row],[Units]]</f>
        <v>1755</v>
      </c>
    </row>
    <row r="1069" spans="1:12" x14ac:dyDescent="0.35">
      <c r="A1069" s="145">
        <v>45715</v>
      </c>
      <c r="B1069" s="146" t="s">
        <v>1573</v>
      </c>
      <c r="C1069" s="147" t="s">
        <v>494</v>
      </c>
      <c r="D1069" s="147" t="s">
        <v>465</v>
      </c>
      <c r="E1069" s="147" t="s">
        <v>483</v>
      </c>
      <c r="F1069" s="147" t="s">
        <v>513</v>
      </c>
      <c r="G1069" s="147">
        <v>59</v>
      </c>
      <c r="H1069" s="148">
        <v>41</v>
      </c>
      <c r="I1069" s="149">
        <f t="shared" si="16"/>
        <v>2419</v>
      </c>
      <c r="J1069" s="150" t="s">
        <v>472</v>
      </c>
      <c r="K1069" s="151">
        <v>55.637</v>
      </c>
      <c r="L1069">
        <f>Table13[[#This Row],[Price]]*Table13[[#This Row],[Units]]</f>
        <v>2419</v>
      </c>
    </row>
    <row r="1070" spans="1:12" x14ac:dyDescent="0.35">
      <c r="A1070" s="145">
        <v>45715</v>
      </c>
      <c r="B1070" s="146" t="s">
        <v>1574</v>
      </c>
      <c r="C1070" s="147" t="s">
        <v>501</v>
      </c>
      <c r="D1070" s="147" t="s">
        <v>512</v>
      </c>
      <c r="E1070" s="147" t="s">
        <v>320</v>
      </c>
      <c r="F1070" s="147" t="s">
        <v>539</v>
      </c>
      <c r="G1070" s="147">
        <v>57</v>
      </c>
      <c r="H1070" s="148">
        <v>39</v>
      </c>
      <c r="I1070" s="149">
        <f t="shared" si="16"/>
        <v>2223</v>
      </c>
      <c r="J1070" s="150" t="s">
        <v>515</v>
      </c>
      <c r="K1070" s="151">
        <v>62.244</v>
      </c>
      <c r="L1070">
        <f>Table13[[#This Row],[Price]]*Table13[[#This Row],[Units]]</f>
        <v>2223</v>
      </c>
    </row>
    <row r="1071" spans="1:12" x14ac:dyDescent="0.35">
      <c r="A1071" s="145">
        <v>45715</v>
      </c>
      <c r="B1071" s="146" t="s">
        <v>1575</v>
      </c>
      <c r="C1071" s="147" t="s">
        <v>492</v>
      </c>
      <c r="D1071" s="147" t="s">
        <v>519</v>
      </c>
      <c r="E1071" s="147" t="s">
        <v>324</v>
      </c>
      <c r="F1071" s="147" t="s">
        <v>505</v>
      </c>
      <c r="G1071" s="147">
        <v>42</v>
      </c>
      <c r="H1071" s="148">
        <v>50</v>
      </c>
      <c r="I1071" s="149">
        <f t="shared" si="16"/>
        <v>2100</v>
      </c>
      <c r="J1071" s="150" t="s">
        <v>515</v>
      </c>
      <c r="K1071" s="151">
        <v>58.8</v>
      </c>
      <c r="L1071">
        <f>Table13[[#This Row],[Price]]*Table13[[#This Row],[Units]]</f>
        <v>2100</v>
      </c>
    </row>
    <row r="1072" spans="1:12" x14ac:dyDescent="0.35">
      <c r="A1072" s="145">
        <v>45715</v>
      </c>
      <c r="B1072" s="146" t="s">
        <v>1576</v>
      </c>
      <c r="C1072" s="147" t="s">
        <v>492</v>
      </c>
      <c r="D1072" s="147" t="s">
        <v>470</v>
      </c>
      <c r="E1072" s="147" t="s">
        <v>483</v>
      </c>
      <c r="F1072" s="147" t="s">
        <v>471</v>
      </c>
      <c r="G1072" s="147">
        <v>52</v>
      </c>
      <c r="H1072" s="148">
        <v>22</v>
      </c>
      <c r="I1072" s="149">
        <f t="shared" si="16"/>
        <v>1144</v>
      </c>
      <c r="J1072" s="150" t="s">
        <v>466</v>
      </c>
      <c r="K1072" s="151">
        <v>29.744</v>
      </c>
      <c r="L1072">
        <f>Table13[[#This Row],[Price]]*Table13[[#This Row],[Units]]</f>
        <v>1144</v>
      </c>
    </row>
    <row r="1073" spans="1:12" x14ac:dyDescent="0.35">
      <c r="A1073" s="145">
        <v>45715</v>
      </c>
      <c r="B1073" s="146" t="s">
        <v>1577</v>
      </c>
      <c r="C1073" s="147" t="s">
        <v>476</v>
      </c>
      <c r="D1073" s="147" t="s">
        <v>477</v>
      </c>
      <c r="E1073" s="147" t="s">
        <v>315</v>
      </c>
      <c r="F1073" s="147" t="s">
        <v>517</v>
      </c>
      <c r="G1073" s="147">
        <v>22</v>
      </c>
      <c r="H1073" s="148">
        <v>29</v>
      </c>
      <c r="I1073" s="149">
        <f t="shared" si="16"/>
        <v>638</v>
      </c>
      <c r="J1073" s="150" t="s">
        <v>472</v>
      </c>
      <c r="K1073" s="151">
        <v>19.14</v>
      </c>
      <c r="L1073">
        <f>Table13[[#This Row],[Price]]*Table13[[#This Row],[Units]]</f>
        <v>638</v>
      </c>
    </row>
    <row r="1074" spans="1:12" x14ac:dyDescent="0.35">
      <c r="A1074" s="145">
        <v>45715</v>
      </c>
      <c r="B1074" s="146" t="s">
        <v>1578</v>
      </c>
      <c r="C1074" s="147" t="s">
        <v>494</v>
      </c>
      <c r="D1074" s="147" t="s">
        <v>512</v>
      </c>
      <c r="E1074" s="147" t="s">
        <v>390</v>
      </c>
      <c r="F1074" s="147" t="s">
        <v>536</v>
      </c>
      <c r="G1074" s="147">
        <v>40</v>
      </c>
      <c r="H1074" s="148">
        <v>44</v>
      </c>
      <c r="I1074" s="149">
        <f t="shared" si="16"/>
        <v>1760</v>
      </c>
      <c r="J1074" s="150" t="s">
        <v>466</v>
      </c>
      <c r="K1074" s="151">
        <v>42.24</v>
      </c>
      <c r="L1074">
        <f>Table13[[#This Row],[Price]]*Table13[[#This Row],[Units]]</f>
        <v>1760</v>
      </c>
    </row>
    <row r="1075" spans="1:12" x14ac:dyDescent="0.35">
      <c r="A1075" s="145">
        <v>45715</v>
      </c>
      <c r="B1075" s="146" t="s">
        <v>1579</v>
      </c>
      <c r="C1075" s="147" t="s">
        <v>476</v>
      </c>
      <c r="D1075" s="147" t="s">
        <v>512</v>
      </c>
      <c r="E1075" s="147" t="s">
        <v>320</v>
      </c>
      <c r="F1075" s="147" t="s">
        <v>520</v>
      </c>
      <c r="G1075" s="147">
        <v>41</v>
      </c>
      <c r="H1075" s="148">
        <v>27</v>
      </c>
      <c r="I1075" s="149">
        <f t="shared" si="16"/>
        <v>1107</v>
      </c>
      <c r="J1075" s="150" t="s">
        <v>515</v>
      </c>
      <c r="K1075" s="151">
        <v>23.247</v>
      </c>
      <c r="L1075">
        <f>Table13[[#This Row],[Price]]*Table13[[#This Row],[Units]]</f>
        <v>1107</v>
      </c>
    </row>
    <row r="1076" spans="1:12" x14ac:dyDescent="0.35">
      <c r="A1076" s="145">
        <v>45715</v>
      </c>
      <c r="B1076" s="146" t="s">
        <v>1580</v>
      </c>
      <c r="C1076" s="147" t="s">
        <v>494</v>
      </c>
      <c r="D1076" s="147" t="s">
        <v>490</v>
      </c>
      <c r="E1076" s="147" t="s">
        <v>412</v>
      </c>
      <c r="F1076" s="147" t="s">
        <v>567</v>
      </c>
      <c r="G1076" s="147">
        <v>16</v>
      </c>
      <c r="H1076" s="148">
        <v>42</v>
      </c>
      <c r="I1076" s="149">
        <f t="shared" si="16"/>
        <v>672</v>
      </c>
      <c r="J1076" s="150" t="s">
        <v>466</v>
      </c>
      <c r="K1076" s="151">
        <v>20.16</v>
      </c>
      <c r="L1076">
        <f>Table13[[#This Row],[Price]]*Table13[[#This Row],[Units]]</f>
        <v>672</v>
      </c>
    </row>
    <row r="1077" spans="1:12" x14ac:dyDescent="0.35">
      <c r="A1077" s="145">
        <v>45715</v>
      </c>
      <c r="B1077" s="146" t="s">
        <v>1581</v>
      </c>
      <c r="C1077" s="147" t="s">
        <v>501</v>
      </c>
      <c r="D1077" s="147" t="s">
        <v>486</v>
      </c>
      <c r="E1077" s="147" t="s">
        <v>483</v>
      </c>
      <c r="F1077" s="147" t="s">
        <v>523</v>
      </c>
      <c r="G1077" s="147">
        <v>37</v>
      </c>
      <c r="H1077" s="148">
        <v>38</v>
      </c>
      <c r="I1077" s="149">
        <f t="shared" si="16"/>
        <v>1406</v>
      </c>
      <c r="J1077" s="150" t="s">
        <v>515</v>
      </c>
      <c r="K1077" s="151">
        <v>39.368000000000002</v>
      </c>
      <c r="L1077">
        <f>Table13[[#This Row],[Price]]*Table13[[#This Row],[Units]]</f>
        <v>1406</v>
      </c>
    </row>
    <row r="1078" spans="1:12" x14ac:dyDescent="0.35">
      <c r="A1078" s="145">
        <v>45715</v>
      </c>
      <c r="B1078" s="146" t="s">
        <v>1582</v>
      </c>
      <c r="C1078" s="147" t="s">
        <v>464</v>
      </c>
      <c r="D1078" s="147" t="s">
        <v>490</v>
      </c>
      <c r="E1078" s="147" t="s">
        <v>324</v>
      </c>
      <c r="F1078" s="147" t="s">
        <v>528</v>
      </c>
      <c r="G1078" s="147">
        <v>29</v>
      </c>
      <c r="H1078" s="148">
        <v>37</v>
      </c>
      <c r="I1078" s="149">
        <f t="shared" si="16"/>
        <v>1073</v>
      </c>
      <c r="J1078" s="150" t="s">
        <v>515</v>
      </c>
      <c r="K1078" s="151">
        <v>28.971</v>
      </c>
      <c r="L1078">
        <f>Table13[[#This Row],[Price]]*Table13[[#This Row],[Units]]</f>
        <v>1073</v>
      </c>
    </row>
    <row r="1079" spans="1:12" x14ac:dyDescent="0.35">
      <c r="A1079" s="145">
        <v>45715</v>
      </c>
      <c r="B1079" s="146" t="s">
        <v>1583</v>
      </c>
      <c r="C1079" s="147" t="s">
        <v>476</v>
      </c>
      <c r="D1079" s="147" t="s">
        <v>465</v>
      </c>
      <c r="E1079" s="147" t="s">
        <v>333</v>
      </c>
      <c r="F1079" s="147" t="s">
        <v>478</v>
      </c>
      <c r="G1079" s="147">
        <v>53</v>
      </c>
      <c r="H1079" s="148">
        <v>29</v>
      </c>
      <c r="I1079" s="149">
        <f t="shared" si="16"/>
        <v>1537</v>
      </c>
      <c r="J1079" s="150" t="s">
        <v>466</v>
      </c>
      <c r="K1079" s="151">
        <v>38.424999999999997</v>
      </c>
      <c r="L1079">
        <f>Table13[[#This Row],[Price]]*Table13[[#This Row],[Units]]</f>
        <v>1537</v>
      </c>
    </row>
    <row r="1080" spans="1:12" x14ac:dyDescent="0.35">
      <c r="A1080" s="145">
        <v>45715</v>
      </c>
      <c r="B1080" s="146" t="s">
        <v>1584</v>
      </c>
      <c r="C1080" s="147" t="s">
        <v>484</v>
      </c>
      <c r="D1080" s="147" t="s">
        <v>470</v>
      </c>
      <c r="E1080" s="147" t="s">
        <v>412</v>
      </c>
      <c r="F1080" s="147" t="s">
        <v>520</v>
      </c>
      <c r="G1080" s="147">
        <v>48</v>
      </c>
      <c r="H1080" s="148">
        <v>59</v>
      </c>
      <c r="I1080" s="149">
        <f t="shared" si="16"/>
        <v>2832</v>
      </c>
      <c r="J1080" s="150" t="s">
        <v>472</v>
      </c>
      <c r="K1080" s="151">
        <v>79.296000000000006</v>
      </c>
      <c r="L1080">
        <f>Table13[[#This Row],[Price]]*Table13[[#This Row],[Units]]</f>
        <v>2832</v>
      </c>
    </row>
    <row r="1081" spans="1:12" x14ac:dyDescent="0.35">
      <c r="A1081" s="145">
        <v>45715</v>
      </c>
      <c r="B1081" s="146" t="s">
        <v>1585</v>
      </c>
      <c r="C1081" s="147" t="s">
        <v>464</v>
      </c>
      <c r="D1081" s="147" t="s">
        <v>477</v>
      </c>
      <c r="E1081" s="147" t="s">
        <v>390</v>
      </c>
      <c r="F1081" s="147" t="s">
        <v>528</v>
      </c>
      <c r="G1081" s="147">
        <v>43</v>
      </c>
      <c r="H1081" s="148">
        <v>56</v>
      </c>
      <c r="I1081" s="149">
        <f t="shared" si="16"/>
        <v>2408</v>
      </c>
      <c r="J1081" s="150" t="s">
        <v>472</v>
      </c>
      <c r="K1081" s="151">
        <v>50.567999999999998</v>
      </c>
      <c r="L1081">
        <f>Table13[[#This Row],[Price]]*Table13[[#This Row],[Units]]</f>
        <v>2408</v>
      </c>
    </row>
    <row r="1082" spans="1:12" x14ac:dyDescent="0.35">
      <c r="A1082" s="145">
        <v>45715</v>
      </c>
      <c r="B1082" s="146" t="s">
        <v>1586</v>
      </c>
      <c r="C1082" s="147" t="s">
        <v>489</v>
      </c>
      <c r="D1082" s="147" t="s">
        <v>490</v>
      </c>
      <c r="E1082" s="147" t="s">
        <v>324</v>
      </c>
      <c r="F1082" s="147" t="s">
        <v>528</v>
      </c>
      <c r="G1082" s="147">
        <v>13</v>
      </c>
      <c r="H1082" s="148">
        <v>36</v>
      </c>
      <c r="I1082" s="149">
        <f t="shared" si="16"/>
        <v>468</v>
      </c>
      <c r="J1082" s="150" t="s">
        <v>466</v>
      </c>
      <c r="K1082" s="151">
        <v>13.571999999999999</v>
      </c>
      <c r="L1082">
        <f>Table13[[#This Row],[Price]]*Table13[[#This Row],[Units]]</f>
        <v>468</v>
      </c>
    </row>
    <row r="1083" spans="1:12" x14ac:dyDescent="0.35">
      <c r="A1083" s="145">
        <v>45715</v>
      </c>
      <c r="B1083" s="146" t="s">
        <v>1587</v>
      </c>
      <c r="C1083" s="147" t="s">
        <v>494</v>
      </c>
      <c r="D1083" s="147" t="s">
        <v>512</v>
      </c>
      <c r="E1083" s="147" t="s">
        <v>483</v>
      </c>
      <c r="F1083" s="147" t="s">
        <v>510</v>
      </c>
      <c r="G1083" s="147">
        <v>21</v>
      </c>
      <c r="H1083" s="148">
        <v>47</v>
      </c>
      <c r="I1083" s="149">
        <f t="shared" si="16"/>
        <v>987</v>
      </c>
      <c r="J1083" s="150" t="s">
        <v>472</v>
      </c>
      <c r="K1083" s="151">
        <v>20.727</v>
      </c>
      <c r="L1083">
        <f>Table13[[#This Row],[Price]]*Table13[[#This Row],[Units]]</f>
        <v>987</v>
      </c>
    </row>
    <row r="1084" spans="1:12" x14ac:dyDescent="0.35">
      <c r="A1084" s="145">
        <v>45715</v>
      </c>
      <c r="B1084" s="146" t="s">
        <v>1588</v>
      </c>
      <c r="C1084" s="147" t="s">
        <v>492</v>
      </c>
      <c r="D1084" s="147" t="s">
        <v>470</v>
      </c>
      <c r="E1084" s="147" t="s">
        <v>333</v>
      </c>
      <c r="F1084" s="147" t="s">
        <v>520</v>
      </c>
      <c r="G1084" s="147">
        <v>30</v>
      </c>
      <c r="H1084" s="148">
        <v>30</v>
      </c>
      <c r="I1084" s="149">
        <f t="shared" si="16"/>
        <v>900</v>
      </c>
      <c r="J1084" s="150" t="s">
        <v>472</v>
      </c>
      <c r="K1084" s="151">
        <v>18</v>
      </c>
      <c r="L1084">
        <f>Table13[[#This Row],[Price]]*Table13[[#This Row],[Units]]</f>
        <v>900</v>
      </c>
    </row>
    <row r="1085" spans="1:12" x14ac:dyDescent="0.35">
      <c r="A1085" s="145">
        <v>45715</v>
      </c>
      <c r="B1085" s="146" t="s">
        <v>1589</v>
      </c>
      <c r="C1085" s="147" t="s">
        <v>484</v>
      </c>
      <c r="D1085" s="147" t="s">
        <v>512</v>
      </c>
      <c r="E1085" s="147" t="s">
        <v>333</v>
      </c>
      <c r="F1085" s="147" t="s">
        <v>497</v>
      </c>
      <c r="G1085" s="147">
        <v>35</v>
      </c>
      <c r="H1085" s="148">
        <v>56</v>
      </c>
      <c r="I1085" s="149">
        <f t="shared" si="16"/>
        <v>1960</v>
      </c>
      <c r="J1085" s="150" t="s">
        <v>466</v>
      </c>
      <c r="K1085" s="151">
        <v>43.12</v>
      </c>
      <c r="L1085">
        <f>Table13[[#This Row],[Price]]*Table13[[#This Row],[Units]]</f>
        <v>1960</v>
      </c>
    </row>
    <row r="1086" spans="1:12" x14ac:dyDescent="0.35">
      <c r="A1086" s="145">
        <v>45715</v>
      </c>
      <c r="B1086" s="146" t="s">
        <v>1590</v>
      </c>
      <c r="C1086" s="147" t="s">
        <v>494</v>
      </c>
      <c r="D1086" s="147" t="s">
        <v>470</v>
      </c>
      <c r="E1086" s="147" t="s">
        <v>483</v>
      </c>
      <c r="F1086" s="147" t="s">
        <v>487</v>
      </c>
      <c r="G1086" s="147">
        <v>34</v>
      </c>
      <c r="H1086" s="148">
        <v>51</v>
      </c>
      <c r="I1086" s="149">
        <f t="shared" si="16"/>
        <v>1734</v>
      </c>
      <c r="J1086" s="150" t="s">
        <v>472</v>
      </c>
      <c r="K1086" s="151">
        <v>50.286000000000001</v>
      </c>
      <c r="L1086">
        <f>Table13[[#This Row],[Price]]*Table13[[#This Row],[Units]]</f>
        <v>1734</v>
      </c>
    </row>
    <row r="1087" spans="1:12" x14ac:dyDescent="0.35">
      <c r="A1087" s="145">
        <v>45715</v>
      </c>
      <c r="B1087" s="146" t="s">
        <v>1591</v>
      </c>
      <c r="C1087" s="147" t="s">
        <v>322</v>
      </c>
      <c r="D1087" s="147" t="s">
        <v>490</v>
      </c>
      <c r="E1087" s="147" t="s">
        <v>390</v>
      </c>
      <c r="F1087" s="147" t="s">
        <v>491</v>
      </c>
      <c r="G1087" s="147">
        <v>38</v>
      </c>
      <c r="H1087" s="148">
        <v>26</v>
      </c>
      <c r="I1087" s="149">
        <f t="shared" si="16"/>
        <v>988</v>
      </c>
      <c r="J1087" s="150" t="s">
        <v>472</v>
      </c>
      <c r="K1087" s="151">
        <v>21.736000000000001</v>
      </c>
      <c r="L1087">
        <f>Table13[[#This Row],[Price]]*Table13[[#This Row],[Units]]</f>
        <v>988</v>
      </c>
    </row>
    <row r="1088" spans="1:12" x14ac:dyDescent="0.35">
      <c r="A1088" s="145">
        <v>45715</v>
      </c>
      <c r="B1088" s="146" t="s">
        <v>1592</v>
      </c>
      <c r="C1088" s="147" t="s">
        <v>476</v>
      </c>
      <c r="D1088" s="147" t="s">
        <v>512</v>
      </c>
      <c r="E1088" s="147" t="s">
        <v>324</v>
      </c>
      <c r="F1088" s="147" t="s">
        <v>505</v>
      </c>
      <c r="G1088" s="147">
        <v>32</v>
      </c>
      <c r="H1088" s="148">
        <v>29</v>
      </c>
      <c r="I1088" s="149">
        <f t="shared" si="16"/>
        <v>928</v>
      </c>
      <c r="J1088" s="150" t="s">
        <v>466</v>
      </c>
      <c r="K1088" s="151">
        <v>22.271999999999998</v>
      </c>
      <c r="L1088">
        <f>Table13[[#This Row],[Price]]*Table13[[#This Row],[Units]]</f>
        <v>928</v>
      </c>
    </row>
    <row r="1089" spans="1:12" x14ac:dyDescent="0.35">
      <c r="A1089" s="145">
        <v>45716</v>
      </c>
      <c r="B1089" s="146" t="s">
        <v>1593</v>
      </c>
      <c r="C1089" s="147" t="s">
        <v>494</v>
      </c>
      <c r="D1089" s="147" t="s">
        <v>477</v>
      </c>
      <c r="E1089" s="147" t="s">
        <v>320</v>
      </c>
      <c r="F1089" s="147" t="s">
        <v>539</v>
      </c>
      <c r="G1089" s="147">
        <v>55</v>
      </c>
      <c r="H1089" s="148">
        <v>46</v>
      </c>
      <c r="I1089" s="149">
        <f t="shared" si="16"/>
        <v>2530</v>
      </c>
      <c r="J1089" s="150" t="s">
        <v>472</v>
      </c>
      <c r="K1089" s="151">
        <v>58.19</v>
      </c>
      <c r="L1089">
        <f>Table13[[#This Row],[Price]]*Table13[[#This Row],[Units]]</f>
        <v>2530</v>
      </c>
    </row>
    <row r="1090" spans="1:12" x14ac:dyDescent="0.35">
      <c r="A1090" s="145">
        <v>45716</v>
      </c>
      <c r="B1090" s="146" t="s">
        <v>1594</v>
      </c>
      <c r="C1090" s="147" t="s">
        <v>464</v>
      </c>
      <c r="D1090" s="147" t="s">
        <v>477</v>
      </c>
      <c r="E1090" s="147" t="s">
        <v>483</v>
      </c>
      <c r="F1090" s="147" t="s">
        <v>471</v>
      </c>
      <c r="G1090" s="147">
        <v>48</v>
      </c>
      <c r="H1090" s="148">
        <v>38</v>
      </c>
      <c r="I1090" s="149">
        <f t="shared" si="16"/>
        <v>1824</v>
      </c>
      <c r="J1090" s="150" t="s">
        <v>466</v>
      </c>
      <c r="K1090" s="151">
        <v>51.072000000000003</v>
      </c>
      <c r="L1090">
        <f>Table13[[#This Row],[Price]]*Table13[[#This Row],[Units]]</f>
        <v>1824</v>
      </c>
    </row>
    <row r="1091" spans="1:12" x14ac:dyDescent="0.35">
      <c r="A1091" s="145">
        <v>45716</v>
      </c>
      <c r="B1091" s="146" t="s">
        <v>1595</v>
      </c>
      <c r="C1091" s="147" t="s">
        <v>484</v>
      </c>
      <c r="D1091" s="147" t="s">
        <v>470</v>
      </c>
      <c r="E1091" s="147" t="s">
        <v>320</v>
      </c>
      <c r="F1091" s="147" t="s">
        <v>454</v>
      </c>
      <c r="G1091" s="147">
        <v>21</v>
      </c>
      <c r="H1091" s="148">
        <v>54</v>
      </c>
      <c r="I1091" s="149">
        <f t="shared" ref="I1091:I1154" si="17">G1091*H1091</f>
        <v>1134</v>
      </c>
      <c r="J1091" s="150" t="s">
        <v>466</v>
      </c>
      <c r="K1091" s="151">
        <v>23.814</v>
      </c>
      <c r="L1091">
        <f>Table13[[#This Row],[Price]]*Table13[[#This Row],[Units]]</f>
        <v>1134</v>
      </c>
    </row>
    <row r="1092" spans="1:12" x14ac:dyDescent="0.35">
      <c r="A1092" s="145">
        <v>45716</v>
      </c>
      <c r="B1092" s="146" t="s">
        <v>1596</v>
      </c>
      <c r="C1092" s="147" t="s">
        <v>469</v>
      </c>
      <c r="D1092" s="147" t="s">
        <v>477</v>
      </c>
      <c r="E1092" s="147" t="s">
        <v>324</v>
      </c>
      <c r="F1092" s="147" t="s">
        <v>497</v>
      </c>
      <c r="G1092" s="147">
        <v>22</v>
      </c>
      <c r="H1092" s="148">
        <v>25</v>
      </c>
      <c r="I1092" s="149">
        <f t="shared" si="17"/>
        <v>550</v>
      </c>
      <c r="J1092" s="150" t="s">
        <v>466</v>
      </c>
      <c r="K1092" s="151">
        <v>12.1</v>
      </c>
      <c r="L1092">
        <f>Table13[[#This Row],[Price]]*Table13[[#This Row],[Units]]</f>
        <v>550</v>
      </c>
    </row>
    <row r="1093" spans="1:12" x14ac:dyDescent="0.35">
      <c r="A1093" s="145">
        <v>45716</v>
      </c>
      <c r="B1093" s="146" t="s">
        <v>1597</v>
      </c>
      <c r="C1093" s="147" t="s">
        <v>501</v>
      </c>
      <c r="D1093" s="147" t="s">
        <v>477</v>
      </c>
      <c r="E1093" s="147" t="s">
        <v>315</v>
      </c>
      <c r="F1093" s="147" t="s">
        <v>539</v>
      </c>
      <c r="G1093" s="147">
        <v>24</v>
      </c>
      <c r="H1093" s="148">
        <v>42</v>
      </c>
      <c r="I1093" s="149">
        <f t="shared" si="17"/>
        <v>1008</v>
      </c>
      <c r="J1093" s="150" t="s">
        <v>466</v>
      </c>
      <c r="K1093" s="151">
        <v>23.184000000000001</v>
      </c>
      <c r="L1093">
        <f>Table13[[#This Row],[Price]]*Table13[[#This Row],[Units]]</f>
        <v>1008</v>
      </c>
    </row>
    <row r="1094" spans="1:12" x14ac:dyDescent="0.35">
      <c r="A1094" s="145">
        <v>45716</v>
      </c>
      <c r="B1094" s="146" t="s">
        <v>1598</v>
      </c>
      <c r="C1094" s="147" t="s">
        <v>464</v>
      </c>
      <c r="D1094" s="147" t="s">
        <v>470</v>
      </c>
      <c r="E1094" s="147" t="s">
        <v>315</v>
      </c>
      <c r="F1094" s="147" t="s">
        <v>517</v>
      </c>
      <c r="G1094" s="147">
        <v>48</v>
      </c>
      <c r="H1094" s="148">
        <v>56</v>
      </c>
      <c r="I1094" s="149">
        <f t="shared" si="17"/>
        <v>2688</v>
      </c>
      <c r="J1094" s="150" t="s">
        <v>503</v>
      </c>
      <c r="K1094" s="151">
        <v>72.575999999999993</v>
      </c>
      <c r="L1094">
        <f>Table13[[#This Row],[Price]]*Table13[[#This Row],[Units]]</f>
        <v>2688</v>
      </c>
    </row>
    <row r="1095" spans="1:12" x14ac:dyDescent="0.35">
      <c r="A1095" s="145">
        <v>45716</v>
      </c>
      <c r="B1095" s="146" t="s">
        <v>1599</v>
      </c>
      <c r="C1095" s="147" t="s">
        <v>494</v>
      </c>
      <c r="D1095" s="147" t="s">
        <v>477</v>
      </c>
      <c r="E1095" s="147" t="s">
        <v>412</v>
      </c>
      <c r="F1095" s="147" t="s">
        <v>487</v>
      </c>
      <c r="G1095" s="147">
        <v>19</v>
      </c>
      <c r="H1095" s="148">
        <v>32</v>
      </c>
      <c r="I1095" s="149">
        <f t="shared" si="17"/>
        <v>608</v>
      </c>
      <c r="J1095" s="150" t="s">
        <v>466</v>
      </c>
      <c r="K1095" s="151">
        <v>15.2</v>
      </c>
      <c r="L1095">
        <f>Table13[[#This Row],[Price]]*Table13[[#This Row],[Units]]</f>
        <v>608</v>
      </c>
    </row>
    <row r="1096" spans="1:12" x14ac:dyDescent="0.35">
      <c r="A1096" s="145">
        <v>45716</v>
      </c>
      <c r="B1096" s="146" t="s">
        <v>1600</v>
      </c>
      <c r="C1096" s="147" t="s">
        <v>469</v>
      </c>
      <c r="D1096" s="147" t="s">
        <v>486</v>
      </c>
      <c r="E1096" s="147" t="s">
        <v>320</v>
      </c>
      <c r="F1096" s="147" t="s">
        <v>523</v>
      </c>
      <c r="G1096" s="147">
        <v>36</v>
      </c>
      <c r="H1096" s="148">
        <v>21</v>
      </c>
      <c r="I1096" s="149">
        <f t="shared" si="17"/>
        <v>756</v>
      </c>
      <c r="J1096" s="150" t="s">
        <v>503</v>
      </c>
      <c r="K1096" s="151">
        <v>21.167999999999999</v>
      </c>
      <c r="L1096">
        <f>Table13[[#This Row],[Price]]*Table13[[#This Row],[Units]]</f>
        <v>756</v>
      </c>
    </row>
    <row r="1097" spans="1:12" x14ac:dyDescent="0.35">
      <c r="A1097" s="145">
        <v>45716</v>
      </c>
      <c r="B1097" s="146" t="s">
        <v>1601</v>
      </c>
      <c r="C1097" s="147" t="s">
        <v>494</v>
      </c>
      <c r="D1097" s="147" t="s">
        <v>465</v>
      </c>
      <c r="E1097" s="147" t="s">
        <v>412</v>
      </c>
      <c r="F1097" s="147" t="s">
        <v>517</v>
      </c>
      <c r="G1097" s="147">
        <v>29</v>
      </c>
      <c r="H1097" s="148">
        <v>55</v>
      </c>
      <c r="I1097" s="149">
        <f t="shared" si="17"/>
        <v>1595</v>
      </c>
      <c r="J1097" s="150" t="s">
        <v>503</v>
      </c>
      <c r="K1097" s="151">
        <v>44.66</v>
      </c>
      <c r="L1097">
        <f>Table13[[#This Row],[Price]]*Table13[[#This Row],[Units]]</f>
        <v>1595</v>
      </c>
    </row>
    <row r="1098" spans="1:12" x14ac:dyDescent="0.35">
      <c r="A1098" s="145">
        <v>45717</v>
      </c>
      <c r="B1098" s="146" t="s">
        <v>1602</v>
      </c>
      <c r="C1098" s="147" t="s">
        <v>322</v>
      </c>
      <c r="D1098" s="147" t="s">
        <v>465</v>
      </c>
      <c r="E1098" s="147" t="s">
        <v>324</v>
      </c>
      <c r="F1098" s="147" t="s">
        <v>471</v>
      </c>
      <c r="G1098" s="147">
        <v>32</v>
      </c>
      <c r="H1098" s="148">
        <v>46</v>
      </c>
      <c r="I1098" s="149">
        <f t="shared" si="17"/>
        <v>1472</v>
      </c>
      <c r="J1098" s="150" t="s">
        <v>466</v>
      </c>
      <c r="K1098" s="151">
        <v>29.44</v>
      </c>
      <c r="L1098">
        <f>Table13[[#This Row],[Price]]*Table13[[#This Row],[Units]]</f>
        <v>1472</v>
      </c>
    </row>
    <row r="1099" spans="1:12" x14ac:dyDescent="0.35">
      <c r="A1099" s="145">
        <v>45717</v>
      </c>
      <c r="B1099" s="146" t="s">
        <v>1603</v>
      </c>
      <c r="C1099" s="147" t="s">
        <v>489</v>
      </c>
      <c r="D1099" s="147" t="s">
        <v>486</v>
      </c>
      <c r="E1099" s="147" t="s">
        <v>483</v>
      </c>
      <c r="F1099" s="147" t="s">
        <v>523</v>
      </c>
      <c r="G1099" s="147">
        <v>54</v>
      </c>
      <c r="H1099" s="148">
        <v>28</v>
      </c>
      <c r="I1099" s="149">
        <f t="shared" si="17"/>
        <v>1512</v>
      </c>
      <c r="J1099" s="150" t="s">
        <v>472</v>
      </c>
      <c r="K1099" s="151">
        <v>42.335999999999999</v>
      </c>
      <c r="L1099">
        <f>Table13[[#This Row],[Price]]*Table13[[#This Row],[Units]]</f>
        <v>1512</v>
      </c>
    </row>
    <row r="1100" spans="1:12" x14ac:dyDescent="0.35">
      <c r="A1100" s="145">
        <v>45717</v>
      </c>
      <c r="B1100" s="146" t="s">
        <v>1604</v>
      </c>
      <c r="C1100" s="147" t="s">
        <v>469</v>
      </c>
      <c r="D1100" s="147" t="s">
        <v>490</v>
      </c>
      <c r="E1100" s="147" t="s">
        <v>320</v>
      </c>
      <c r="F1100" s="147" t="s">
        <v>478</v>
      </c>
      <c r="G1100" s="147">
        <v>41</v>
      </c>
      <c r="H1100" s="148">
        <v>20</v>
      </c>
      <c r="I1100" s="149">
        <f t="shared" si="17"/>
        <v>820</v>
      </c>
      <c r="J1100" s="150" t="s">
        <v>515</v>
      </c>
      <c r="K1100" s="151">
        <v>17.22</v>
      </c>
      <c r="L1100">
        <f>Table13[[#This Row],[Price]]*Table13[[#This Row],[Units]]</f>
        <v>820</v>
      </c>
    </row>
    <row r="1101" spans="1:12" x14ac:dyDescent="0.35">
      <c r="A1101" s="145">
        <v>45717</v>
      </c>
      <c r="B1101" s="146" t="s">
        <v>1605</v>
      </c>
      <c r="C1101" s="147" t="s">
        <v>322</v>
      </c>
      <c r="D1101" s="147" t="s">
        <v>512</v>
      </c>
      <c r="E1101" s="147" t="s">
        <v>324</v>
      </c>
      <c r="F1101" s="147" t="s">
        <v>513</v>
      </c>
      <c r="G1101" s="147">
        <v>23</v>
      </c>
      <c r="H1101" s="148">
        <v>24</v>
      </c>
      <c r="I1101" s="149">
        <f t="shared" si="17"/>
        <v>552</v>
      </c>
      <c r="J1101" s="150" t="s">
        <v>466</v>
      </c>
      <c r="K1101" s="151">
        <v>13.247999999999999</v>
      </c>
      <c r="L1101">
        <f>Table13[[#This Row],[Price]]*Table13[[#This Row],[Units]]</f>
        <v>552</v>
      </c>
    </row>
    <row r="1102" spans="1:12" x14ac:dyDescent="0.35">
      <c r="A1102" s="145">
        <v>45717</v>
      </c>
      <c r="B1102" s="146" t="s">
        <v>1606</v>
      </c>
      <c r="C1102" s="147" t="s">
        <v>494</v>
      </c>
      <c r="D1102" s="147" t="s">
        <v>477</v>
      </c>
      <c r="E1102" s="147" t="s">
        <v>320</v>
      </c>
      <c r="F1102" s="147" t="s">
        <v>505</v>
      </c>
      <c r="G1102" s="147">
        <v>36</v>
      </c>
      <c r="H1102" s="148">
        <v>42</v>
      </c>
      <c r="I1102" s="149">
        <f t="shared" si="17"/>
        <v>1512</v>
      </c>
      <c r="J1102" s="150" t="s">
        <v>466</v>
      </c>
      <c r="K1102" s="151">
        <v>30.24</v>
      </c>
      <c r="L1102">
        <f>Table13[[#This Row],[Price]]*Table13[[#This Row],[Units]]</f>
        <v>1512</v>
      </c>
    </row>
    <row r="1103" spans="1:12" x14ac:dyDescent="0.35">
      <c r="A1103" s="145">
        <v>45717</v>
      </c>
      <c r="B1103" s="146" t="s">
        <v>1607</v>
      </c>
      <c r="C1103" s="147" t="s">
        <v>464</v>
      </c>
      <c r="D1103" s="147" t="s">
        <v>470</v>
      </c>
      <c r="E1103" s="147" t="s">
        <v>333</v>
      </c>
      <c r="F1103" s="147" t="s">
        <v>539</v>
      </c>
      <c r="G1103" s="147">
        <v>55</v>
      </c>
      <c r="H1103" s="148">
        <v>26</v>
      </c>
      <c r="I1103" s="149">
        <f t="shared" si="17"/>
        <v>1430</v>
      </c>
      <c r="J1103" s="150" t="s">
        <v>472</v>
      </c>
      <c r="K1103" s="151">
        <v>32.89</v>
      </c>
      <c r="L1103">
        <f>Table13[[#This Row],[Price]]*Table13[[#This Row],[Units]]</f>
        <v>1430</v>
      </c>
    </row>
    <row r="1104" spans="1:12" x14ac:dyDescent="0.35">
      <c r="A1104" s="145">
        <v>45717</v>
      </c>
      <c r="B1104" s="146" t="s">
        <v>1608</v>
      </c>
      <c r="C1104" s="147" t="s">
        <v>484</v>
      </c>
      <c r="D1104" s="147" t="s">
        <v>519</v>
      </c>
      <c r="E1104" s="147" t="s">
        <v>483</v>
      </c>
      <c r="F1104" s="147" t="s">
        <v>510</v>
      </c>
      <c r="G1104" s="147">
        <v>12</v>
      </c>
      <c r="H1104" s="148">
        <v>54</v>
      </c>
      <c r="I1104" s="149">
        <f t="shared" si="17"/>
        <v>648</v>
      </c>
      <c r="J1104" s="150" t="s">
        <v>466</v>
      </c>
      <c r="K1104" s="151">
        <v>12.96</v>
      </c>
      <c r="L1104">
        <f>Table13[[#This Row],[Price]]*Table13[[#This Row],[Units]]</f>
        <v>648</v>
      </c>
    </row>
    <row r="1105" spans="1:12" x14ac:dyDescent="0.35">
      <c r="A1105" s="145">
        <v>45717</v>
      </c>
      <c r="B1105" s="146" t="s">
        <v>1609</v>
      </c>
      <c r="C1105" s="147" t="s">
        <v>322</v>
      </c>
      <c r="D1105" s="147" t="s">
        <v>519</v>
      </c>
      <c r="E1105" s="147" t="s">
        <v>320</v>
      </c>
      <c r="F1105" s="147" t="s">
        <v>491</v>
      </c>
      <c r="G1105" s="147">
        <v>23</v>
      </c>
      <c r="H1105" s="148">
        <v>23</v>
      </c>
      <c r="I1105" s="149">
        <f t="shared" si="17"/>
        <v>529</v>
      </c>
      <c r="J1105" s="150" t="s">
        <v>515</v>
      </c>
      <c r="K1105" s="151">
        <v>11.638</v>
      </c>
      <c r="L1105">
        <f>Table13[[#This Row],[Price]]*Table13[[#This Row],[Units]]</f>
        <v>529</v>
      </c>
    </row>
    <row r="1106" spans="1:12" x14ac:dyDescent="0.35">
      <c r="A1106" s="145">
        <v>45717</v>
      </c>
      <c r="B1106" s="146" t="s">
        <v>1610</v>
      </c>
      <c r="C1106" s="147" t="s">
        <v>489</v>
      </c>
      <c r="D1106" s="147" t="s">
        <v>465</v>
      </c>
      <c r="E1106" s="147" t="s">
        <v>390</v>
      </c>
      <c r="F1106" s="147" t="s">
        <v>513</v>
      </c>
      <c r="G1106" s="147">
        <v>10</v>
      </c>
      <c r="H1106" s="148">
        <v>36</v>
      </c>
      <c r="I1106" s="149">
        <f t="shared" si="17"/>
        <v>360</v>
      </c>
      <c r="J1106" s="150" t="s">
        <v>515</v>
      </c>
      <c r="K1106" s="151">
        <v>9</v>
      </c>
      <c r="L1106">
        <f>Table13[[#This Row],[Price]]*Table13[[#This Row],[Units]]</f>
        <v>360</v>
      </c>
    </row>
    <row r="1107" spans="1:12" x14ac:dyDescent="0.35">
      <c r="A1107" s="145">
        <v>45717</v>
      </c>
      <c r="B1107" s="146" t="s">
        <v>1611</v>
      </c>
      <c r="C1107" s="147" t="s">
        <v>484</v>
      </c>
      <c r="D1107" s="147" t="s">
        <v>486</v>
      </c>
      <c r="E1107" s="147" t="s">
        <v>333</v>
      </c>
      <c r="F1107" s="147" t="s">
        <v>500</v>
      </c>
      <c r="G1107" s="147">
        <v>15</v>
      </c>
      <c r="H1107" s="148">
        <v>34</v>
      </c>
      <c r="I1107" s="149">
        <f t="shared" si="17"/>
        <v>510</v>
      </c>
      <c r="J1107" s="150" t="s">
        <v>515</v>
      </c>
      <c r="K1107" s="151">
        <v>15.3</v>
      </c>
      <c r="L1107">
        <f>Table13[[#This Row],[Price]]*Table13[[#This Row],[Units]]</f>
        <v>510</v>
      </c>
    </row>
    <row r="1108" spans="1:12" x14ac:dyDescent="0.35">
      <c r="A1108" s="145">
        <v>45717</v>
      </c>
      <c r="B1108" s="146" t="s">
        <v>1612</v>
      </c>
      <c r="C1108" s="147" t="s">
        <v>469</v>
      </c>
      <c r="D1108" s="147" t="s">
        <v>477</v>
      </c>
      <c r="E1108" s="147" t="s">
        <v>320</v>
      </c>
      <c r="F1108" s="147" t="s">
        <v>517</v>
      </c>
      <c r="G1108" s="147">
        <v>30</v>
      </c>
      <c r="H1108" s="148">
        <v>30</v>
      </c>
      <c r="I1108" s="149">
        <f t="shared" si="17"/>
        <v>900</v>
      </c>
      <c r="J1108" s="150" t="s">
        <v>466</v>
      </c>
      <c r="K1108" s="151">
        <v>19.8</v>
      </c>
      <c r="L1108">
        <f>Table13[[#This Row],[Price]]*Table13[[#This Row],[Units]]</f>
        <v>900</v>
      </c>
    </row>
    <row r="1109" spans="1:12" x14ac:dyDescent="0.35">
      <c r="A1109" s="145">
        <v>45717</v>
      </c>
      <c r="B1109" s="146" t="s">
        <v>1613</v>
      </c>
      <c r="C1109" s="147" t="s">
        <v>322</v>
      </c>
      <c r="D1109" s="147" t="s">
        <v>465</v>
      </c>
      <c r="E1109" s="147" t="s">
        <v>483</v>
      </c>
      <c r="F1109" s="147" t="s">
        <v>454</v>
      </c>
      <c r="G1109" s="147">
        <v>14</v>
      </c>
      <c r="H1109" s="148">
        <v>54</v>
      </c>
      <c r="I1109" s="149">
        <f t="shared" si="17"/>
        <v>756</v>
      </c>
      <c r="J1109" s="150" t="s">
        <v>472</v>
      </c>
      <c r="K1109" s="151">
        <v>15.875999999999999</v>
      </c>
      <c r="L1109">
        <f>Table13[[#This Row],[Price]]*Table13[[#This Row],[Units]]</f>
        <v>756</v>
      </c>
    </row>
    <row r="1110" spans="1:12" x14ac:dyDescent="0.35">
      <c r="A1110" s="145">
        <v>45717</v>
      </c>
      <c r="B1110" s="146" t="s">
        <v>1614</v>
      </c>
      <c r="C1110" s="147" t="s">
        <v>464</v>
      </c>
      <c r="D1110" s="147" t="s">
        <v>486</v>
      </c>
      <c r="E1110" s="147" t="s">
        <v>315</v>
      </c>
      <c r="F1110" s="147" t="s">
        <v>491</v>
      </c>
      <c r="G1110" s="147">
        <v>45</v>
      </c>
      <c r="H1110" s="148">
        <v>25</v>
      </c>
      <c r="I1110" s="149">
        <f t="shared" si="17"/>
        <v>1125</v>
      </c>
      <c r="J1110" s="150" t="s">
        <v>515</v>
      </c>
      <c r="K1110" s="151">
        <v>32.625</v>
      </c>
      <c r="L1110">
        <f>Table13[[#This Row],[Price]]*Table13[[#This Row],[Units]]</f>
        <v>1125</v>
      </c>
    </row>
    <row r="1111" spans="1:12" x14ac:dyDescent="0.35">
      <c r="A1111" s="145">
        <v>45718</v>
      </c>
      <c r="B1111" s="146" t="s">
        <v>1615</v>
      </c>
      <c r="C1111" s="147" t="s">
        <v>501</v>
      </c>
      <c r="D1111" s="147" t="s">
        <v>477</v>
      </c>
      <c r="E1111" s="147" t="s">
        <v>315</v>
      </c>
      <c r="F1111" s="147" t="s">
        <v>510</v>
      </c>
      <c r="G1111" s="147">
        <v>47</v>
      </c>
      <c r="H1111" s="148">
        <v>58</v>
      </c>
      <c r="I1111" s="149">
        <f t="shared" si="17"/>
        <v>2726</v>
      </c>
      <c r="J1111" s="150" t="s">
        <v>466</v>
      </c>
      <c r="K1111" s="151">
        <v>59.972000000000001</v>
      </c>
      <c r="L1111">
        <f>Table13[[#This Row],[Price]]*Table13[[#This Row],[Units]]</f>
        <v>2726</v>
      </c>
    </row>
    <row r="1112" spans="1:12" x14ac:dyDescent="0.35">
      <c r="A1112" s="145">
        <v>45718</v>
      </c>
      <c r="B1112" s="146" t="s">
        <v>1616</v>
      </c>
      <c r="C1112" s="147" t="s">
        <v>489</v>
      </c>
      <c r="D1112" s="147" t="s">
        <v>477</v>
      </c>
      <c r="E1112" s="147" t="s">
        <v>324</v>
      </c>
      <c r="F1112" s="147" t="s">
        <v>528</v>
      </c>
      <c r="G1112" s="147">
        <v>43</v>
      </c>
      <c r="H1112" s="148">
        <v>50</v>
      </c>
      <c r="I1112" s="149">
        <f t="shared" si="17"/>
        <v>2150</v>
      </c>
      <c r="J1112" s="150" t="s">
        <v>472</v>
      </c>
      <c r="K1112" s="151">
        <v>62.35</v>
      </c>
      <c r="L1112">
        <f>Table13[[#This Row],[Price]]*Table13[[#This Row],[Units]]</f>
        <v>2150</v>
      </c>
    </row>
    <row r="1113" spans="1:12" x14ac:dyDescent="0.35">
      <c r="A1113" s="145">
        <v>45718</v>
      </c>
      <c r="B1113" s="146" t="s">
        <v>1617</v>
      </c>
      <c r="C1113" s="147" t="s">
        <v>494</v>
      </c>
      <c r="D1113" s="147" t="s">
        <v>486</v>
      </c>
      <c r="E1113" s="147" t="s">
        <v>320</v>
      </c>
      <c r="F1113" s="147" t="s">
        <v>520</v>
      </c>
      <c r="G1113" s="147">
        <v>17</v>
      </c>
      <c r="H1113" s="148">
        <v>43</v>
      </c>
      <c r="I1113" s="149">
        <f t="shared" si="17"/>
        <v>731</v>
      </c>
      <c r="J1113" s="150" t="s">
        <v>472</v>
      </c>
      <c r="K1113" s="151">
        <v>16.812999999999999</v>
      </c>
      <c r="L1113">
        <f>Table13[[#This Row],[Price]]*Table13[[#This Row],[Units]]</f>
        <v>731</v>
      </c>
    </row>
    <row r="1114" spans="1:12" x14ac:dyDescent="0.35">
      <c r="A1114" s="145">
        <v>45718</v>
      </c>
      <c r="B1114" s="146" t="s">
        <v>1618</v>
      </c>
      <c r="C1114" s="147" t="s">
        <v>492</v>
      </c>
      <c r="D1114" s="147" t="s">
        <v>477</v>
      </c>
      <c r="E1114" s="147" t="s">
        <v>315</v>
      </c>
      <c r="F1114" s="147" t="s">
        <v>528</v>
      </c>
      <c r="G1114" s="147">
        <v>53</v>
      </c>
      <c r="H1114" s="148">
        <v>25</v>
      </c>
      <c r="I1114" s="149">
        <f t="shared" si="17"/>
        <v>1325</v>
      </c>
      <c r="J1114" s="150" t="s">
        <v>472</v>
      </c>
      <c r="K1114" s="151">
        <v>31.8</v>
      </c>
      <c r="L1114">
        <f>Table13[[#This Row],[Price]]*Table13[[#This Row],[Units]]</f>
        <v>1325</v>
      </c>
    </row>
    <row r="1115" spans="1:12" x14ac:dyDescent="0.35">
      <c r="A1115" s="145">
        <v>45718</v>
      </c>
      <c r="B1115" s="146" t="s">
        <v>1619</v>
      </c>
      <c r="C1115" s="147" t="s">
        <v>492</v>
      </c>
      <c r="D1115" s="147" t="s">
        <v>512</v>
      </c>
      <c r="E1115" s="147" t="s">
        <v>324</v>
      </c>
      <c r="F1115" s="147" t="s">
        <v>478</v>
      </c>
      <c r="G1115" s="147">
        <v>27</v>
      </c>
      <c r="H1115" s="148">
        <v>43</v>
      </c>
      <c r="I1115" s="149">
        <f t="shared" si="17"/>
        <v>1161</v>
      </c>
      <c r="J1115" s="150" t="s">
        <v>466</v>
      </c>
      <c r="K1115" s="151">
        <v>27.864000000000001</v>
      </c>
      <c r="L1115">
        <f>Table13[[#This Row],[Price]]*Table13[[#This Row],[Units]]</f>
        <v>1161</v>
      </c>
    </row>
    <row r="1116" spans="1:12" x14ac:dyDescent="0.35">
      <c r="A1116" s="145">
        <v>45718</v>
      </c>
      <c r="B1116" s="146" t="s">
        <v>1620</v>
      </c>
      <c r="C1116" s="147" t="s">
        <v>464</v>
      </c>
      <c r="D1116" s="147" t="s">
        <v>470</v>
      </c>
      <c r="E1116" s="147" t="s">
        <v>483</v>
      </c>
      <c r="F1116" s="147" t="s">
        <v>454</v>
      </c>
      <c r="G1116" s="147">
        <v>26</v>
      </c>
      <c r="H1116" s="148">
        <v>34</v>
      </c>
      <c r="I1116" s="149">
        <f t="shared" si="17"/>
        <v>884</v>
      </c>
      <c r="J1116" s="150" t="s">
        <v>472</v>
      </c>
      <c r="K1116" s="151">
        <v>22.1</v>
      </c>
      <c r="L1116">
        <f>Table13[[#This Row],[Price]]*Table13[[#This Row],[Units]]</f>
        <v>884</v>
      </c>
    </row>
    <row r="1117" spans="1:12" x14ac:dyDescent="0.35">
      <c r="A1117" s="145">
        <v>45718</v>
      </c>
      <c r="B1117" s="146" t="s">
        <v>1621</v>
      </c>
      <c r="C1117" s="147" t="s">
        <v>492</v>
      </c>
      <c r="D1117" s="147" t="s">
        <v>512</v>
      </c>
      <c r="E1117" s="147" t="s">
        <v>320</v>
      </c>
      <c r="F1117" s="147" t="s">
        <v>523</v>
      </c>
      <c r="G1117" s="147">
        <v>30</v>
      </c>
      <c r="H1117" s="148">
        <v>50</v>
      </c>
      <c r="I1117" s="149">
        <f t="shared" si="17"/>
        <v>1500</v>
      </c>
      <c r="J1117" s="150" t="s">
        <v>472</v>
      </c>
      <c r="K1117" s="151">
        <v>33</v>
      </c>
      <c r="L1117">
        <f>Table13[[#This Row],[Price]]*Table13[[#This Row],[Units]]</f>
        <v>1500</v>
      </c>
    </row>
    <row r="1118" spans="1:12" x14ac:dyDescent="0.35">
      <c r="A1118" s="145">
        <v>45719</v>
      </c>
      <c r="B1118" s="146" t="s">
        <v>1622</v>
      </c>
      <c r="C1118" s="147" t="s">
        <v>484</v>
      </c>
      <c r="D1118" s="147" t="s">
        <v>486</v>
      </c>
      <c r="E1118" s="147" t="s">
        <v>333</v>
      </c>
      <c r="F1118" s="147" t="s">
        <v>517</v>
      </c>
      <c r="G1118" s="147">
        <v>11</v>
      </c>
      <c r="H1118" s="148">
        <v>53</v>
      </c>
      <c r="I1118" s="149">
        <f t="shared" si="17"/>
        <v>583</v>
      </c>
      <c r="J1118" s="150" t="s">
        <v>466</v>
      </c>
      <c r="K1118" s="151">
        <v>14.574999999999999</v>
      </c>
      <c r="L1118">
        <f>Table13[[#This Row],[Price]]*Table13[[#This Row],[Units]]</f>
        <v>583</v>
      </c>
    </row>
    <row r="1119" spans="1:12" x14ac:dyDescent="0.35">
      <c r="A1119" s="145">
        <v>45719</v>
      </c>
      <c r="B1119" s="146" t="s">
        <v>1623</v>
      </c>
      <c r="C1119" s="147" t="s">
        <v>492</v>
      </c>
      <c r="D1119" s="147" t="s">
        <v>512</v>
      </c>
      <c r="E1119" s="147" t="s">
        <v>324</v>
      </c>
      <c r="F1119" s="147" t="s">
        <v>505</v>
      </c>
      <c r="G1119" s="147">
        <v>40</v>
      </c>
      <c r="H1119" s="148">
        <v>55</v>
      </c>
      <c r="I1119" s="149">
        <f t="shared" si="17"/>
        <v>2200</v>
      </c>
      <c r="J1119" s="150" t="s">
        <v>466</v>
      </c>
      <c r="K1119" s="151">
        <v>63.8</v>
      </c>
      <c r="L1119">
        <f>Table13[[#This Row],[Price]]*Table13[[#This Row],[Units]]</f>
        <v>2200</v>
      </c>
    </row>
    <row r="1120" spans="1:12" x14ac:dyDescent="0.35">
      <c r="A1120" s="145">
        <v>45719</v>
      </c>
      <c r="B1120" s="146" t="s">
        <v>1624</v>
      </c>
      <c r="C1120" s="147" t="s">
        <v>464</v>
      </c>
      <c r="D1120" s="147" t="s">
        <v>470</v>
      </c>
      <c r="E1120" s="147" t="s">
        <v>324</v>
      </c>
      <c r="F1120" s="147" t="s">
        <v>528</v>
      </c>
      <c r="G1120" s="147">
        <v>14</v>
      </c>
      <c r="H1120" s="148">
        <v>58</v>
      </c>
      <c r="I1120" s="149">
        <f t="shared" si="17"/>
        <v>812</v>
      </c>
      <c r="J1120" s="150" t="s">
        <v>472</v>
      </c>
      <c r="K1120" s="151">
        <v>22.736000000000001</v>
      </c>
      <c r="L1120">
        <f>Table13[[#This Row],[Price]]*Table13[[#This Row],[Units]]</f>
        <v>812</v>
      </c>
    </row>
    <row r="1121" spans="1:12" x14ac:dyDescent="0.35">
      <c r="A1121" s="145">
        <v>45719</v>
      </c>
      <c r="B1121" s="146" t="s">
        <v>1625</v>
      </c>
      <c r="C1121" s="147" t="s">
        <v>489</v>
      </c>
      <c r="D1121" s="147" t="s">
        <v>470</v>
      </c>
      <c r="E1121" s="147" t="s">
        <v>483</v>
      </c>
      <c r="F1121" s="147" t="s">
        <v>478</v>
      </c>
      <c r="G1121" s="147">
        <v>58</v>
      </c>
      <c r="H1121" s="148">
        <v>35</v>
      </c>
      <c r="I1121" s="149">
        <f t="shared" si="17"/>
        <v>2030</v>
      </c>
      <c r="J1121" s="150" t="s">
        <v>503</v>
      </c>
      <c r="K1121" s="151">
        <v>58.87</v>
      </c>
      <c r="L1121">
        <f>Table13[[#This Row],[Price]]*Table13[[#This Row],[Units]]</f>
        <v>2030</v>
      </c>
    </row>
    <row r="1122" spans="1:12" x14ac:dyDescent="0.35">
      <c r="A1122" s="145">
        <v>45719</v>
      </c>
      <c r="B1122" s="146" t="s">
        <v>1626</v>
      </c>
      <c r="C1122" s="147" t="s">
        <v>464</v>
      </c>
      <c r="D1122" s="147" t="s">
        <v>470</v>
      </c>
      <c r="E1122" s="147" t="s">
        <v>315</v>
      </c>
      <c r="F1122" s="147" t="s">
        <v>567</v>
      </c>
      <c r="G1122" s="147">
        <v>59</v>
      </c>
      <c r="H1122" s="148">
        <v>55</v>
      </c>
      <c r="I1122" s="149">
        <f t="shared" si="17"/>
        <v>3245</v>
      </c>
      <c r="J1122" s="150" t="s">
        <v>503</v>
      </c>
      <c r="K1122" s="151">
        <v>64.900000000000006</v>
      </c>
      <c r="L1122">
        <f>Table13[[#This Row],[Price]]*Table13[[#This Row],[Units]]</f>
        <v>3245</v>
      </c>
    </row>
    <row r="1123" spans="1:12" x14ac:dyDescent="0.35">
      <c r="A1123" s="145">
        <v>45719</v>
      </c>
      <c r="B1123" s="146" t="s">
        <v>1627</v>
      </c>
      <c r="C1123" s="147" t="s">
        <v>484</v>
      </c>
      <c r="D1123" s="147" t="s">
        <v>470</v>
      </c>
      <c r="E1123" s="147" t="s">
        <v>315</v>
      </c>
      <c r="F1123" s="147" t="s">
        <v>505</v>
      </c>
      <c r="G1123" s="147">
        <v>21</v>
      </c>
      <c r="H1123" s="148">
        <v>34</v>
      </c>
      <c r="I1123" s="149">
        <f t="shared" si="17"/>
        <v>714</v>
      </c>
      <c r="J1123" s="150" t="s">
        <v>466</v>
      </c>
      <c r="K1123" s="151">
        <v>14.994</v>
      </c>
      <c r="L1123">
        <f>Table13[[#This Row],[Price]]*Table13[[#This Row],[Units]]</f>
        <v>714</v>
      </c>
    </row>
    <row r="1124" spans="1:12" x14ac:dyDescent="0.35">
      <c r="A1124" s="145">
        <v>45719</v>
      </c>
      <c r="B1124" s="146" t="s">
        <v>1628</v>
      </c>
      <c r="C1124" s="147" t="s">
        <v>464</v>
      </c>
      <c r="D1124" s="147" t="s">
        <v>490</v>
      </c>
      <c r="E1124" s="147" t="s">
        <v>324</v>
      </c>
      <c r="F1124" s="147" t="s">
        <v>454</v>
      </c>
      <c r="G1124" s="147">
        <v>33</v>
      </c>
      <c r="H1124" s="148">
        <v>56</v>
      </c>
      <c r="I1124" s="149">
        <f t="shared" si="17"/>
        <v>1848</v>
      </c>
      <c r="J1124" s="150" t="s">
        <v>466</v>
      </c>
      <c r="K1124" s="151">
        <v>49.896000000000001</v>
      </c>
      <c r="L1124">
        <f>Table13[[#This Row],[Price]]*Table13[[#This Row],[Units]]</f>
        <v>1848</v>
      </c>
    </row>
    <row r="1125" spans="1:12" x14ac:dyDescent="0.35">
      <c r="A1125" s="145">
        <v>45719</v>
      </c>
      <c r="B1125" s="146" t="s">
        <v>1629</v>
      </c>
      <c r="C1125" s="147" t="s">
        <v>469</v>
      </c>
      <c r="D1125" s="147" t="s">
        <v>486</v>
      </c>
      <c r="E1125" s="147" t="s">
        <v>324</v>
      </c>
      <c r="F1125" s="147" t="s">
        <v>517</v>
      </c>
      <c r="G1125" s="147">
        <v>17</v>
      </c>
      <c r="H1125" s="148">
        <v>59</v>
      </c>
      <c r="I1125" s="149">
        <f t="shared" si="17"/>
        <v>1003</v>
      </c>
      <c r="J1125" s="150" t="s">
        <v>472</v>
      </c>
      <c r="K1125" s="151">
        <v>30.09</v>
      </c>
      <c r="L1125">
        <f>Table13[[#This Row],[Price]]*Table13[[#This Row],[Units]]</f>
        <v>1003</v>
      </c>
    </row>
    <row r="1126" spans="1:12" x14ac:dyDescent="0.35">
      <c r="A1126" s="145">
        <v>45719</v>
      </c>
      <c r="B1126" s="146" t="s">
        <v>1630</v>
      </c>
      <c r="C1126" s="147" t="s">
        <v>322</v>
      </c>
      <c r="D1126" s="147" t="s">
        <v>465</v>
      </c>
      <c r="E1126" s="147" t="s">
        <v>483</v>
      </c>
      <c r="F1126" s="147" t="s">
        <v>523</v>
      </c>
      <c r="G1126" s="147">
        <v>36</v>
      </c>
      <c r="H1126" s="148">
        <v>53</v>
      </c>
      <c r="I1126" s="149">
        <f t="shared" si="17"/>
        <v>1908</v>
      </c>
      <c r="J1126" s="150" t="s">
        <v>466</v>
      </c>
      <c r="K1126" s="151">
        <v>55.332000000000001</v>
      </c>
      <c r="L1126">
        <f>Table13[[#This Row],[Price]]*Table13[[#This Row],[Units]]</f>
        <v>1908</v>
      </c>
    </row>
    <row r="1127" spans="1:12" x14ac:dyDescent="0.35">
      <c r="A1127" s="145">
        <v>45719</v>
      </c>
      <c r="B1127" s="146" t="s">
        <v>1631</v>
      </c>
      <c r="C1127" s="147" t="s">
        <v>501</v>
      </c>
      <c r="D1127" s="147" t="s">
        <v>477</v>
      </c>
      <c r="E1127" s="147" t="s">
        <v>333</v>
      </c>
      <c r="F1127" s="147" t="s">
        <v>505</v>
      </c>
      <c r="G1127" s="147">
        <v>18</v>
      </c>
      <c r="H1127" s="148">
        <v>43</v>
      </c>
      <c r="I1127" s="149">
        <f t="shared" si="17"/>
        <v>774</v>
      </c>
      <c r="J1127" s="150" t="s">
        <v>472</v>
      </c>
      <c r="K1127" s="151">
        <v>17.027999999999999</v>
      </c>
      <c r="L1127">
        <f>Table13[[#This Row],[Price]]*Table13[[#This Row],[Units]]</f>
        <v>774</v>
      </c>
    </row>
    <row r="1128" spans="1:12" x14ac:dyDescent="0.35">
      <c r="A1128" s="145">
        <v>45719</v>
      </c>
      <c r="B1128" s="146" t="s">
        <v>1632</v>
      </c>
      <c r="C1128" s="147" t="s">
        <v>469</v>
      </c>
      <c r="D1128" s="147" t="s">
        <v>490</v>
      </c>
      <c r="E1128" s="147" t="s">
        <v>333</v>
      </c>
      <c r="F1128" s="147" t="s">
        <v>454</v>
      </c>
      <c r="G1128" s="147">
        <v>10</v>
      </c>
      <c r="H1128" s="148">
        <v>39</v>
      </c>
      <c r="I1128" s="149">
        <f t="shared" si="17"/>
        <v>390</v>
      </c>
      <c r="J1128" s="150" t="s">
        <v>472</v>
      </c>
      <c r="K1128" s="151">
        <v>10.53</v>
      </c>
      <c r="L1128">
        <f>Table13[[#This Row],[Price]]*Table13[[#This Row],[Units]]</f>
        <v>390</v>
      </c>
    </row>
    <row r="1129" spans="1:12" x14ac:dyDescent="0.35">
      <c r="A1129" s="145">
        <v>45719</v>
      </c>
      <c r="B1129" s="146" t="s">
        <v>1633</v>
      </c>
      <c r="C1129" s="147" t="s">
        <v>492</v>
      </c>
      <c r="D1129" s="147" t="s">
        <v>477</v>
      </c>
      <c r="E1129" s="147" t="s">
        <v>333</v>
      </c>
      <c r="F1129" s="147" t="s">
        <v>454</v>
      </c>
      <c r="G1129" s="147">
        <v>29</v>
      </c>
      <c r="H1129" s="148">
        <v>44</v>
      </c>
      <c r="I1129" s="149">
        <f t="shared" si="17"/>
        <v>1276</v>
      </c>
      <c r="J1129" s="150" t="s">
        <v>466</v>
      </c>
      <c r="K1129" s="151">
        <v>35.728000000000002</v>
      </c>
      <c r="L1129">
        <f>Table13[[#This Row],[Price]]*Table13[[#This Row],[Units]]</f>
        <v>1276</v>
      </c>
    </row>
    <row r="1130" spans="1:12" x14ac:dyDescent="0.35">
      <c r="A1130" s="145">
        <v>45719</v>
      </c>
      <c r="B1130" s="146" t="s">
        <v>1634</v>
      </c>
      <c r="C1130" s="147" t="s">
        <v>489</v>
      </c>
      <c r="D1130" s="147" t="s">
        <v>477</v>
      </c>
      <c r="E1130" s="147" t="s">
        <v>483</v>
      </c>
      <c r="F1130" s="147" t="s">
        <v>487</v>
      </c>
      <c r="G1130" s="147">
        <v>55</v>
      </c>
      <c r="H1130" s="148">
        <v>46</v>
      </c>
      <c r="I1130" s="149">
        <f t="shared" si="17"/>
        <v>2530</v>
      </c>
      <c r="J1130" s="150" t="s">
        <v>466</v>
      </c>
      <c r="K1130" s="151">
        <v>68.31</v>
      </c>
      <c r="L1130">
        <f>Table13[[#This Row],[Price]]*Table13[[#This Row],[Units]]</f>
        <v>2530</v>
      </c>
    </row>
    <row r="1131" spans="1:12" x14ac:dyDescent="0.35">
      <c r="A1131" s="145">
        <v>45719</v>
      </c>
      <c r="B1131" s="146" t="s">
        <v>1635</v>
      </c>
      <c r="C1131" s="147" t="s">
        <v>469</v>
      </c>
      <c r="D1131" s="147" t="s">
        <v>470</v>
      </c>
      <c r="E1131" s="147" t="s">
        <v>483</v>
      </c>
      <c r="F1131" s="147" t="s">
        <v>567</v>
      </c>
      <c r="G1131" s="147">
        <v>12</v>
      </c>
      <c r="H1131" s="148">
        <v>53</v>
      </c>
      <c r="I1131" s="149">
        <f t="shared" si="17"/>
        <v>636</v>
      </c>
      <c r="J1131" s="150" t="s">
        <v>472</v>
      </c>
      <c r="K1131" s="151">
        <v>13.356</v>
      </c>
      <c r="L1131">
        <f>Table13[[#This Row],[Price]]*Table13[[#This Row],[Units]]</f>
        <v>636</v>
      </c>
    </row>
    <row r="1132" spans="1:12" x14ac:dyDescent="0.35">
      <c r="A1132" s="145">
        <v>45719</v>
      </c>
      <c r="B1132" s="146" t="s">
        <v>1636</v>
      </c>
      <c r="C1132" s="147" t="s">
        <v>469</v>
      </c>
      <c r="D1132" s="147" t="s">
        <v>470</v>
      </c>
      <c r="E1132" s="147" t="s">
        <v>315</v>
      </c>
      <c r="F1132" s="147" t="s">
        <v>539</v>
      </c>
      <c r="G1132" s="147">
        <v>28</v>
      </c>
      <c r="H1132" s="148">
        <v>42</v>
      </c>
      <c r="I1132" s="149">
        <f t="shared" si="17"/>
        <v>1176</v>
      </c>
      <c r="J1132" s="150" t="s">
        <v>515</v>
      </c>
      <c r="K1132" s="151">
        <v>30.576000000000001</v>
      </c>
      <c r="L1132">
        <f>Table13[[#This Row],[Price]]*Table13[[#This Row],[Units]]</f>
        <v>1176</v>
      </c>
    </row>
    <row r="1133" spans="1:12" x14ac:dyDescent="0.35">
      <c r="A1133" s="145">
        <v>45719</v>
      </c>
      <c r="B1133" s="146" t="s">
        <v>1637</v>
      </c>
      <c r="C1133" s="147" t="s">
        <v>484</v>
      </c>
      <c r="D1133" s="147" t="s">
        <v>490</v>
      </c>
      <c r="E1133" s="147" t="s">
        <v>483</v>
      </c>
      <c r="F1133" s="147" t="s">
        <v>536</v>
      </c>
      <c r="G1133" s="147">
        <v>32</v>
      </c>
      <c r="H1133" s="148">
        <v>39</v>
      </c>
      <c r="I1133" s="149">
        <f t="shared" si="17"/>
        <v>1248</v>
      </c>
      <c r="J1133" s="150" t="s">
        <v>466</v>
      </c>
      <c r="K1133" s="151">
        <v>36.192</v>
      </c>
      <c r="L1133">
        <f>Table13[[#This Row],[Price]]*Table13[[#This Row],[Units]]</f>
        <v>1248</v>
      </c>
    </row>
    <row r="1134" spans="1:12" x14ac:dyDescent="0.35">
      <c r="A1134" s="145">
        <v>45719</v>
      </c>
      <c r="B1134" s="146" t="s">
        <v>1638</v>
      </c>
      <c r="C1134" s="147" t="s">
        <v>494</v>
      </c>
      <c r="D1134" s="147" t="s">
        <v>477</v>
      </c>
      <c r="E1134" s="147" t="s">
        <v>315</v>
      </c>
      <c r="F1134" s="147" t="s">
        <v>497</v>
      </c>
      <c r="G1134" s="147">
        <v>53</v>
      </c>
      <c r="H1134" s="148">
        <v>23</v>
      </c>
      <c r="I1134" s="149">
        <f t="shared" si="17"/>
        <v>1219</v>
      </c>
      <c r="J1134" s="150" t="s">
        <v>466</v>
      </c>
      <c r="K1134" s="151">
        <v>34.131999999999998</v>
      </c>
      <c r="L1134">
        <f>Table13[[#This Row],[Price]]*Table13[[#This Row],[Units]]</f>
        <v>1219</v>
      </c>
    </row>
    <row r="1135" spans="1:12" x14ac:dyDescent="0.35">
      <c r="A1135" s="145">
        <v>45719</v>
      </c>
      <c r="B1135" s="146" t="s">
        <v>1639</v>
      </c>
      <c r="C1135" s="147" t="s">
        <v>484</v>
      </c>
      <c r="D1135" s="147" t="s">
        <v>470</v>
      </c>
      <c r="E1135" s="147" t="s">
        <v>320</v>
      </c>
      <c r="F1135" s="147" t="s">
        <v>497</v>
      </c>
      <c r="G1135" s="147">
        <v>17</v>
      </c>
      <c r="H1135" s="148">
        <v>44</v>
      </c>
      <c r="I1135" s="149">
        <f t="shared" si="17"/>
        <v>748</v>
      </c>
      <c r="J1135" s="150" t="s">
        <v>466</v>
      </c>
      <c r="K1135" s="151">
        <v>14.96</v>
      </c>
      <c r="L1135">
        <f>Table13[[#This Row],[Price]]*Table13[[#This Row],[Units]]</f>
        <v>748</v>
      </c>
    </row>
    <row r="1136" spans="1:12" x14ac:dyDescent="0.35">
      <c r="A1136" s="145">
        <v>45720</v>
      </c>
      <c r="B1136" s="146" t="s">
        <v>1640</v>
      </c>
      <c r="C1136" s="147" t="s">
        <v>501</v>
      </c>
      <c r="D1136" s="147" t="s">
        <v>465</v>
      </c>
      <c r="E1136" s="147" t="s">
        <v>315</v>
      </c>
      <c r="F1136" s="147" t="s">
        <v>454</v>
      </c>
      <c r="G1136" s="147">
        <v>10</v>
      </c>
      <c r="H1136" s="148">
        <v>25</v>
      </c>
      <c r="I1136" s="149">
        <f t="shared" si="17"/>
        <v>250</v>
      </c>
      <c r="J1136" s="150" t="s">
        <v>466</v>
      </c>
      <c r="K1136" s="151">
        <v>7.5</v>
      </c>
      <c r="L1136">
        <f>Table13[[#This Row],[Price]]*Table13[[#This Row],[Units]]</f>
        <v>250</v>
      </c>
    </row>
    <row r="1137" spans="1:12" x14ac:dyDescent="0.35">
      <c r="A1137" s="145">
        <v>45720</v>
      </c>
      <c r="B1137" s="146" t="s">
        <v>1641</v>
      </c>
      <c r="C1137" s="147" t="s">
        <v>492</v>
      </c>
      <c r="D1137" s="147" t="s">
        <v>512</v>
      </c>
      <c r="E1137" s="147" t="s">
        <v>483</v>
      </c>
      <c r="F1137" s="147" t="s">
        <v>454</v>
      </c>
      <c r="G1137" s="147">
        <v>21</v>
      </c>
      <c r="H1137" s="148">
        <v>48</v>
      </c>
      <c r="I1137" s="149">
        <f t="shared" si="17"/>
        <v>1008</v>
      </c>
      <c r="J1137" s="150" t="s">
        <v>472</v>
      </c>
      <c r="K1137" s="151">
        <v>20.16</v>
      </c>
      <c r="L1137">
        <f>Table13[[#This Row],[Price]]*Table13[[#This Row],[Units]]</f>
        <v>1008</v>
      </c>
    </row>
    <row r="1138" spans="1:12" x14ac:dyDescent="0.35">
      <c r="A1138" s="145">
        <v>45721</v>
      </c>
      <c r="B1138" s="146" t="s">
        <v>1642</v>
      </c>
      <c r="C1138" s="147" t="s">
        <v>322</v>
      </c>
      <c r="D1138" s="147" t="s">
        <v>477</v>
      </c>
      <c r="E1138" s="147" t="s">
        <v>333</v>
      </c>
      <c r="F1138" s="147" t="s">
        <v>539</v>
      </c>
      <c r="G1138" s="147">
        <v>27</v>
      </c>
      <c r="H1138" s="148">
        <v>36</v>
      </c>
      <c r="I1138" s="149">
        <f t="shared" si="17"/>
        <v>972</v>
      </c>
      <c r="J1138" s="150" t="s">
        <v>515</v>
      </c>
      <c r="K1138" s="151">
        <v>19.440000000000001</v>
      </c>
      <c r="L1138">
        <f>Table13[[#This Row],[Price]]*Table13[[#This Row],[Units]]</f>
        <v>972</v>
      </c>
    </row>
    <row r="1139" spans="1:12" x14ac:dyDescent="0.35">
      <c r="A1139" s="145">
        <v>45721</v>
      </c>
      <c r="B1139" s="146" t="s">
        <v>1643</v>
      </c>
      <c r="C1139" s="147" t="s">
        <v>492</v>
      </c>
      <c r="D1139" s="147" t="s">
        <v>470</v>
      </c>
      <c r="E1139" s="147" t="s">
        <v>412</v>
      </c>
      <c r="F1139" s="147" t="s">
        <v>478</v>
      </c>
      <c r="G1139" s="147">
        <v>56</v>
      </c>
      <c r="H1139" s="148">
        <v>57</v>
      </c>
      <c r="I1139" s="149">
        <f t="shared" si="17"/>
        <v>3192</v>
      </c>
      <c r="J1139" s="150" t="s">
        <v>466</v>
      </c>
      <c r="K1139" s="151">
        <v>89.376000000000005</v>
      </c>
      <c r="L1139">
        <f>Table13[[#This Row],[Price]]*Table13[[#This Row],[Units]]</f>
        <v>3192</v>
      </c>
    </row>
    <row r="1140" spans="1:12" x14ac:dyDescent="0.35">
      <c r="A1140" s="145">
        <v>45721</v>
      </c>
      <c r="B1140" s="146" t="s">
        <v>1644</v>
      </c>
      <c r="C1140" s="147" t="s">
        <v>322</v>
      </c>
      <c r="D1140" s="147" t="s">
        <v>486</v>
      </c>
      <c r="E1140" s="147" t="s">
        <v>324</v>
      </c>
      <c r="F1140" s="147" t="s">
        <v>497</v>
      </c>
      <c r="G1140" s="147">
        <v>20</v>
      </c>
      <c r="H1140" s="148">
        <v>59</v>
      </c>
      <c r="I1140" s="149">
        <f t="shared" si="17"/>
        <v>1180</v>
      </c>
      <c r="J1140" s="150" t="s">
        <v>466</v>
      </c>
      <c r="K1140" s="151">
        <v>35.4</v>
      </c>
      <c r="L1140">
        <f>Table13[[#This Row],[Price]]*Table13[[#This Row],[Units]]</f>
        <v>1180</v>
      </c>
    </row>
    <row r="1141" spans="1:12" x14ac:dyDescent="0.35">
      <c r="A1141" s="145">
        <v>45721</v>
      </c>
      <c r="B1141" s="146" t="s">
        <v>1645</v>
      </c>
      <c r="C1141" s="147" t="s">
        <v>484</v>
      </c>
      <c r="D1141" s="147" t="s">
        <v>465</v>
      </c>
      <c r="E1141" s="147" t="s">
        <v>412</v>
      </c>
      <c r="F1141" s="147" t="s">
        <v>513</v>
      </c>
      <c r="G1141" s="147">
        <v>13</v>
      </c>
      <c r="H1141" s="148">
        <v>36</v>
      </c>
      <c r="I1141" s="149">
        <f t="shared" si="17"/>
        <v>468</v>
      </c>
      <c r="J1141" s="150" t="s">
        <v>466</v>
      </c>
      <c r="K1141" s="151">
        <v>11.231999999999999</v>
      </c>
      <c r="L1141">
        <f>Table13[[#This Row],[Price]]*Table13[[#This Row],[Units]]</f>
        <v>468</v>
      </c>
    </row>
    <row r="1142" spans="1:12" x14ac:dyDescent="0.35">
      <c r="A1142" s="145">
        <v>45721</v>
      </c>
      <c r="B1142" s="146" t="s">
        <v>1646</v>
      </c>
      <c r="C1142" s="147" t="s">
        <v>501</v>
      </c>
      <c r="D1142" s="147" t="s">
        <v>477</v>
      </c>
      <c r="E1142" s="147" t="s">
        <v>324</v>
      </c>
      <c r="F1142" s="147" t="s">
        <v>478</v>
      </c>
      <c r="G1142" s="147">
        <v>31</v>
      </c>
      <c r="H1142" s="148">
        <v>51</v>
      </c>
      <c r="I1142" s="149">
        <f t="shared" si="17"/>
        <v>1581</v>
      </c>
      <c r="J1142" s="150" t="s">
        <v>466</v>
      </c>
      <c r="K1142" s="151">
        <v>45.848999999999997</v>
      </c>
      <c r="L1142">
        <f>Table13[[#This Row],[Price]]*Table13[[#This Row],[Units]]</f>
        <v>1581</v>
      </c>
    </row>
    <row r="1143" spans="1:12" x14ac:dyDescent="0.35">
      <c r="A1143" s="145">
        <v>45721</v>
      </c>
      <c r="B1143" s="146" t="s">
        <v>1647</v>
      </c>
      <c r="C1143" s="147" t="s">
        <v>501</v>
      </c>
      <c r="D1143" s="147" t="s">
        <v>465</v>
      </c>
      <c r="E1143" s="147" t="s">
        <v>483</v>
      </c>
      <c r="F1143" s="147" t="s">
        <v>454</v>
      </c>
      <c r="G1143" s="147">
        <v>30</v>
      </c>
      <c r="H1143" s="148">
        <v>55</v>
      </c>
      <c r="I1143" s="149">
        <f t="shared" si="17"/>
        <v>1650</v>
      </c>
      <c r="J1143" s="150" t="s">
        <v>466</v>
      </c>
      <c r="K1143" s="151">
        <v>42.9</v>
      </c>
      <c r="L1143">
        <f>Table13[[#This Row],[Price]]*Table13[[#This Row],[Units]]</f>
        <v>1650</v>
      </c>
    </row>
    <row r="1144" spans="1:12" x14ac:dyDescent="0.35">
      <c r="A1144" s="145">
        <v>45721</v>
      </c>
      <c r="B1144" s="146" t="s">
        <v>1648</v>
      </c>
      <c r="C1144" s="147" t="s">
        <v>501</v>
      </c>
      <c r="D1144" s="147" t="s">
        <v>470</v>
      </c>
      <c r="E1144" s="147" t="s">
        <v>333</v>
      </c>
      <c r="F1144" s="147" t="s">
        <v>497</v>
      </c>
      <c r="G1144" s="147">
        <v>17</v>
      </c>
      <c r="H1144" s="148">
        <v>32</v>
      </c>
      <c r="I1144" s="149">
        <f t="shared" si="17"/>
        <v>544</v>
      </c>
      <c r="J1144" s="150" t="s">
        <v>503</v>
      </c>
      <c r="K1144" s="151">
        <v>11.968</v>
      </c>
      <c r="L1144">
        <f>Table13[[#This Row],[Price]]*Table13[[#This Row],[Units]]</f>
        <v>544</v>
      </c>
    </row>
    <row r="1145" spans="1:12" x14ac:dyDescent="0.35">
      <c r="A1145" s="145">
        <v>45721</v>
      </c>
      <c r="B1145" s="146" t="s">
        <v>1649</v>
      </c>
      <c r="C1145" s="147" t="s">
        <v>469</v>
      </c>
      <c r="D1145" s="147" t="s">
        <v>470</v>
      </c>
      <c r="E1145" s="147" t="s">
        <v>483</v>
      </c>
      <c r="F1145" s="147" t="s">
        <v>478</v>
      </c>
      <c r="G1145" s="147">
        <v>60</v>
      </c>
      <c r="H1145" s="148">
        <v>52</v>
      </c>
      <c r="I1145" s="149">
        <f t="shared" si="17"/>
        <v>3120</v>
      </c>
      <c r="J1145" s="150" t="s">
        <v>472</v>
      </c>
      <c r="K1145" s="151">
        <v>90.48</v>
      </c>
      <c r="L1145">
        <f>Table13[[#This Row],[Price]]*Table13[[#This Row],[Units]]</f>
        <v>3120</v>
      </c>
    </row>
    <row r="1146" spans="1:12" x14ac:dyDescent="0.35">
      <c r="A1146" s="145">
        <v>45721</v>
      </c>
      <c r="B1146" s="146" t="s">
        <v>1650</v>
      </c>
      <c r="C1146" s="147" t="s">
        <v>476</v>
      </c>
      <c r="D1146" s="147" t="s">
        <v>490</v>
      </c>
      <c r="E1146" s="147" t="s">
        <v>315</v>
      </c>
      <c r="F1146" s="147" t="s">
        <v>520</v>
      </c>
      <c r="G1146" s="147">
        <v>38</v>
      </c>
      <c r="H1146" s="148">
        <v>54</v>
      </c>
      <c r="I1146" s="149">
        <f t="shared" si="17"/>
        <v>2052</v>
      </c>
      <c r="J1146" s="150" t="s">
        <v>472</v>
      </c>
      <c r="K1146" s="151">
        <v>51.3</v>
      </c>
      <c r="L1146">
        <f>Table13[[#This Row],[Price]]*Table13[[#This Row],[Units]]</f>
        <v>2052</v>
      </c>
    </row>
    <row r="1147" spans="1:12" x14ac:dyDescent="0.35">
      <c r="A1147" s="145">
        <v>45722</v>
      </c>
      <c r="B1147" s="146" t="s">
        <v>1651</v>
      </c>
      <c r="C1147" s="147" t="s">
        <v>494</v>
      </c>
      <c r="D1147" s="147" t="s">
        <v>477</v>
      </c>
      <c r="E1147" s="147" t="s">
        <v>320</v>
      </c>
      <c r="F1147" s="147" t="s">
        <v>454</v>
      </c>
      <c r="G1147" s="147">
        <v>25</v>
      </c>
      <c r="H1147" s="148">
        <v>40</v>
      </c>
      <c r="I1147" s="149">
        <f t="shared" si="17"/>
        <v>1000</v>
      </c>
      <c r="J1147" s="150" t="s">
        <v>466</v>
      </c>
      <c r="K1147" s="151">
        <v>30</v>
      </c>
      <c r="L1147">
        <f>Table13[[#This Row],[Price]]*Table13[[#This Row],[Units]]</f>
        <v>1000</v>
      </c>
    </row>
    <row r="1148" spans="1:12" x14ac:dyDescent="0.35">
      <c r="A1148" s="145">
        <v>45722</v>
      </c>
      <c r="B1148" s="146" t="s">
        <v>1652</v>
      </c>
      <c r="C1148" s="147" t="s">
        <v>322</v>
      </c>
      <c r="D1148" s="147" t="s">
        <v>477</v>
      </c>
      <c r="E1148" s="147" t="s">
        <v>483</v>
      </c>
      <c r="F1148" s="147" t="s">
        <v>520</v>
      </c>
      <c r="G1148" s="147">
        <v>24</v>
      </c>
      <c r="H1148" s="148">
        <v>33</v>
      </c>
      <c r="I1148" s="149">
        <f t="shared" si="17"/>
        <v>792</v>
      </c>
      <c r="J1148" s="150" t="s">
        <v>472</v>
      </c>
      <c r="K1148" s="151">
        <v>19.007999999999999</v>
      </c>
      <c r="L1148">
        <f>Table13[[#This Row],[Price]]*Table13[[#This Row],[Units]]</f>
        <v>792</v>
      </c>
    </row>
    <row r="1149" spans="1:12" x14ac:dyDescent="0.35">
      <c r="A1149" s="145">
        <v>45722</v>
      </c>
      <c r="B1149" s="146" t="s">
        <v>1653</v>
      </c>
      <c r="C1149" s="147" t="s">
        <v>492</v>
      </c>
      <c r="D1149" s="147" t="s">
        <v>486</v>
      </c>
      <c r="E1149" s="147" t="s">
        <v>320</v>
      </c>
      <c r="F1149" s="147" t="s">
        <v>454</v>
      </c>
      <c r="G1149" s="147">
        <v>56</v>
      </c>
      <c r="H1149" s="148">
        <v>23</v>
      </c>
      <c r="I1149" s="149">
        <f t="shared" si="17"/>
        <v>1288</v>
      </c>
      <c r="J1149" s="150" t="s">
        <v>503</v>
      </c>
      <c r="K1149" s="151">
        <v>34.776000000000003</v>
      </c>
      <c r="L1149">
        <f>Table13[[#This Row],[Price]]*Table13[[#This Row],[Units]]</f>
        <v>1288</v>
      </c>
    </row>
    <row r="1150" spans="1:12" x14ac:dyDescent="0.35">
      <c r="A1150" s="145">
        <v>45722</v>
      </c>
      <c r="B1150" s="146" t="s">
        <v>1654</v>
      </c>
      <c r="C1150" s="147" t="s">
        <v>484</v>
      </c>
      <c r="D1150" s="147" t="s">
        <v>465</v>
      </c>
      <c r="E1150" s="147" t="s">
        <v>333</v>
      </c>
      <c r="F1150" s="147" t="s">
        <v>536</v>
      </c>
      <c r="G1150" s="147">
        <v>20</v>
      </c>
      <c r="H1150" s="148">
        <v>25</v>
      </c>
      <c r="I1150" s="149">
        <f t="shared" si="17"/>
        <v>500</v>
      </c>
      <c r="J1150" s="150" t="s">
        <v>466</v>
      </c>
      <c r="K1150" s="151">
        <v>13.5</v>
      </c>
      <c r="L1150">
        <f>Table13[[#This Row],[Price]]*Table13[[#This Row],[Units]]</f>
        <v>500</v>
      </c>
    </row>
    <row r="1151" spans="1:12" x14ac:dyDescent="0.35">
      <c r="A1151" s="145">
        <v>45723</v>
      </c>
      <c r="B1151" s="146" t="s">
        <v>1655</v>
      </c>
      <c r="C1151" s="147" t="s">
        <v>484</v>
      </c>
      <c r="D1151" s="147" t="s">
        <v>512</v>
      </c>
      <c r="E1151" s="147" t="s">
        <v>483</v>
      </c>
      <c r="F1151" s="147" t="s">
        <v>539</v>
      </c>
      <c r="G1151" s="147">
        <v>48</v>
      </c>
      <c r="H1151" s="148">
        <v>33</v>
      </c>
      <c r="I1151" s="149">
        <f t="shared" si="17"/>
        <v>1584</v>
      </c>
      <c r="J1151" s="150" t="s">
        <v>472</v>
      </c>
      <c r="K1151" s="151">
        <v>47.52</v>
      </c>
      <c r="L1151">
        <f>Table13[[#This Row],[Price]]*Table13[[#This Row],[Units]]</f>
        <v>1584</v>
      </c>
    </row>
    <row r="1152" spans="1:12" x14ac:dyDescent="0.35">
      <c r="A1152" s="145">
        <v>45723</v>
      </c>
      <c r="B1152" s="146" t="s">
        <v>1656</v>
      </c>
      <c r="C1152" s="147" t="s">
        <v>492</v>
      </c>
      <c r="D1152" s="147" t="s">
        <v>486</v>
      </c>
      <c r="E1152" s="147" t="s">
        <v>483</v>
      </c>
      <c r="F1152" s="147" t="s">
        <v>520</v>
      </c>
      <c r="G1152" s="147">
        <v>57</v>
      </c>
      <c r="H1152" s="148">
        <v>48</v>
      </c>
      <c r="I1152" s="149">
        <f t="shared" si="17"/>
        <v>2736</v>
      </c>
      <c r="J1152" s="150" t="s">
        <v>466</v>
      </c>
      <c r="K1152" s="151">
        <v>54.72</v>
      </c>
      <c r="L1152">
        <f>Table13[[#This Row],[Price]]*Table13[[#This Row],[Units]]</f>
        <v>2736</v>
      </c>
    </row>
    <row r="1153" spans="1:12" x14ac:dyDescent="0.35">
      <c r="A1153" s="145">
        <v>45724</v>
      </c>
      <c r="B1153" s="146" t="s">
        <v>1657</v>
      </c>
      <c r="C1153" s="147" t="s">
        <v>464</v>
      </c>
      <c r="D1153" s="147" t="s">
        <v>470</v>
      </c>
      <c r="E1153" s="147" t="s">
        <v>483</v>
      </c>
      <c r="F1153" s="147" t="s">
        <v>523</v>
      </c>
      <c r="G1153" s="147">
        <v>41</v>
      </c>
      <c r="H1153" s="148">
        <v>56</v>
      </c>
      <c r="I1153" s="149">
        <f t="shared" si="17"/>
        <v>2296</v>
      </c>
      <c r="J1153" s="150" t="s">
        <v>515</v>
      </c>
      <c r="K1153" s="151">
        <v>64.287999999999997</v>
      </c>
      <c r="L1153">
        <f>Table13[[#This Row],[Price]]*Table13[[#This Row],[Units]]</f>
        <v>2296</v>
      </c>
    </row>
    <row r="1154" spans="1:12" x14ac:dyDescent="0.35">
      <c r="A1154" s="145">
        <v>45724</v>
      </c>
      <c r="B1154" s="146" t="s">
        <v>1658</v>
      </c>
      <c r="C1154" s="147" t="s">
        <v>494</v>
      </c>
      <c r="D1154" s="147" t="s">
        <v>477</v>
      </c>
      <c r="E1154" s="147" t="s">
        <v>320</v>
      </c>
      <c r="F1154" s="147" t="s">
        <v>500</v>
      </c>
      <c r="G1154" s="147">
        <v>56</v>
      </c>
      <c r="H1154" s="148">
        <v>57</v>
      </c>
      <c r="I1154" s="149">
        <f t="shared" si="17"/>
        <v>3192</v>
      </c>
      <c r="J1154" s="150" t="s">
        <v>466</v>
      </c>
      <c r="K1154" s="151">
        <v>92.567999999999998</v>
      </c>
      <c r="L1154">
        <f>Table13[[#This Row],[Price]]*Table13[[#This Row],[Units]]</f>
        <v>3192</v>
      </c>
    </row>
    <row r="1155" spans="1:12" x14ac:dyDescent="0.35">
      <c r="A1155" s="145">
        <v>45724</v>
      </c>
      <c r="B1155" s="146" t="s">
        <v>1659</v>
      </c>
      <c r="C1155" s="147" t="s">
        <v>494</v>
      </c>
      <c r="D1155" s="147" t="s">
        <v>490</v>
      </c>
      <c r="E1155" s="147" t="s">
        <v>315</v>
      </c>
      <c r="F1155" s="147" t="s">
        <v>523</v>
      </c>
      <c r="G1155" s="147">
        <v>41</v>
      </c>
      <c r="H1155" s="148">
        <v>41</v>
      </c>
      <c r="I1155" s="149">
        <f t="shared" ref="I1155:I1218" si="18">G1155*H1155</f>
        <v>1681</v>
      </c>
      <c r="J1155" s="150" t="s">
        <v>515</v>
      </c>
      <c r="K1155" s="151">
        <v>42.024999999999999</v>
      </c>
      <c r="L1155">
        <f>Table13[[#This Row],[Price]]*Table13[[#This Row],[Units]]</f>
        <v>1681</v>
      </c>
    </row>
    <row r="1156" spans="1:12" x14ac:dyDescent="0.35">
      <c r="A1156" s="145">
        <v>45725</v>
      </c>
      <c r="B1156" s="146" t="s">
        <v>1660</v>
      </c>
      <c r="C1156" s="147" t="s">
        <v>322</v>
      </c>
      <c r="D1156" s="147" t="s">
        <v>519</v>
      </c>
      <c r="E1156" s="147" t="s">
        <v>483</v>
      </c>
      <c r="F1156" s="147" t="s">
        <v>505</v>
      </c>
      <c r="G1156" s="147">
        <v>33</v>
      </c>
      <c r="H1156" s="148">
        <v>43</v>
      </c>
      <c r="I1156" s="149">
        <f t="shared" si="18"/>
        <v>1419</v>
      </c>
      <c r="J1156" s="150" t="s">
        <v>515</v>
      </c>
      <c r="K1156" s="151">
        <v>34.055999999999997</v>
      </c>
      <c r="L1156">
        <f>Table13[[#This Row],[Price]]*Table13[[#This Row],[Units]]</f>
        <v>1419</v>
      </c>
    </row>
    <row r="1157" spans="1:12" x14ac:dyDescent="0.35">
      <c r="A1157" s="145">
        <v>45725</v>
      </c>
      <c r="B1157" s="146" t="s">
        <v>1661</v>
      </c>
      <c r="C1157" s="147" t="s">
        <v>469</v>
      </c>
      <c r="D1157" s="147" t="s">
        <v>465</v>
      </c>
      <c r="E1157" s="147" t="s">
        <v>483</v>
      </c>
      <c r="F1157" s="147" t="s">
        <v>517</v>
      </c>
      <c r="G1157" s="147">
        <v>17</v>
      </c>
      <c r="H1157" s="148">
        <v>21</v>
      </c>
      <c r="I1157" s="149">
        <f t="shared" si="18"/>
        <v>357</v>
      </c>
      <c r="J1157" s="150" t="s">
        <v>503</v>
      </c>
      <c r="K1157" s="151">
        <v>8.9250000000000007</v>
      </c>
      <c r="L1157">
        <f>Table13[[#This Row],[Price]]*Table13[[#This Row],[Units]]</f>
        <v>357</v>
      </c>
    </row>
    <row r="1158" spans="1:12" x14ac:dyDescent="0.35">
      <c r="A1158" s="145">
        <v>45725</v>
      </c>
      <c r="B1158" s="146" t="s">
        <v>1662</v>
      </c>
      <c r="C1158" s="147" t="s">
        <v>464</v>
      </c>
      <c r="D1158" s="147" t="s">
        <v>490</v>
      </c>
      <c r="E1158" s="147" t="s">
        <v>315</v>
      </c>
      <c r="F1158" s="147" t="s">
        <v>567</v>
      </c>
      <c r="G1158" s="147">
        <v>14</v>
      </c>
      <c r="H1158" s="148">
        <v>30</v>
      </c>
      <c r="I1158" s="149">
        <f t="shared" si="18"/>
        <v>420</v>
      </c>
      <c r="J1158" s="150" t="s">
        <v>466</v>
      </c>
      <c r="K1158" s="151">
        <v>8.82</v>
      </c>
      <c r="L1158">
        <f>Table13[[#This Row],[Price]]*Table13[[#This Row],[Units]]</f>
        <v>420</v>
      </c>
    </row>
    <row r="1159" spans="1:12" x14ac:dyDescent="0.35">
      <c r="A1159" s="145">
        <v>45725</v>
      </c>
      <c r="B1159" s="146" t="s">
        <v>1663</v>
      </c>
      <c r="C1159" s="147" t="s">
        <v>476</v>
      </c>
      <c r="D1159" s="147" t="s">
        <v>490</v>
      </c>
      <c r="E1159" s="147" t="s">
        <v>333</v>
      </c>
      <c r="F1159" s="147" t="s">
        <v>505</v>
      </c>
      <c r="G1159" s="147">
        <v>33</v>
      </c>
      <c r="H1159" s="148">
        <v>21</v>
      </c>
      <c r="I1159" s="149">
        <f t="shared" si="18"/>
        <v>693</v>
      </c>
      <c r="J1159" s="150" t="s">
        <v>515</v>
      </c>
      <c r="K1159" s="151">
        <v>20.79</v>
      </c>
      <c r="L1159">
        <f>Table13[[#This Row],[Price]]*Table13[[#This Row],[Units]]</f>
        <v>693</v>
      </c>
    </row>
    <row r="1160" spans="1:12" x14ac:dyDescent="0.35">
      <c r="A1160" s="145">
        <v>45725</v>
      </c>
      <c r="B1160" s="146" t="s">
        <v>1664</v>
      </c>
      <c r="C1160" s="147" t="s">
        <v>476</v>
      </c>
      <c r="D1160" s="147" t="s">
        <v>470</v>
      </c>
      <c r="E1160" s="147" t="s">
        <v>483</v>
      </c>
      <c r="F1160" s="147" t="s">
        <v>454</v>
      </c>
      <c r="G1160" s="147">
        <v>45</v>
      </c>
      <c r="H1160" s="148">
        <v>20</v>
      </c>
      <c r="I1160" s="149">
        <f t="shared" si="18"/>
        <v>900</v>
      </c>
      <c r="J1160" s="150" t="s">
        <v>503</v>
      </c>
      <c r="K1160" s="151">
        <v>21.6</v>
      </c>
      <c r="L1160">
        <f>Table13[[#This Row],[Price]]*Table13[[#This Row],[Units]]</f>
        <v>900</v>
      </c>
    </row>
    <row r="1161" spans="1:12" x14ac:dyDescent="0.35">
      <c r="A1161" s="145">
        <v>45725</v>
      </c>
      <c r="B1161" s="146" t="s">
        <v>1665</v>
      </c>
      <c r="C1161" s="147" t="s">
        <v>322</v>
      </c>
      <c r="D1161" s="147" t="s">
        <v>470</v>
      </c>
      <c r="E1161" s="147" t="s">
        <v>333</v>
      </c>
      <c r="F1161" s="147" t="s">
        <v>454</v>
      </c>
      <c r="G1161" s="147">
        <v>46</v>
      </c>
      <c r="H1161" s="148">
        <v>52</v>
      </c>
      <c r="I1161" s="149">
        <f t="shared" si="18"/>
        <v>2392</v>
      </c>
      <c r="J1161" s="150" t="s">
        <v>472</v>
      </c>
      <c r="K1161" s="151">
        <v>52.624000000000002</v>
      </c>
      <c r="L1161">
        <f>Table13[[#This Row],[Price]]*Table13[[#This Row],[Units]]</f>
        <v>2392</v>
      </c>
    </row>
    <row r="1162" spans="1:12" x14ac:dyDescent="0.35">
      <c r="A1162" s="145">
        <v>45725</v>
      </c>
      <c r="B1162" s="146" t="s">
        <v>1666</v>
      </c>
      <c r="C1162" s="147" t="s">
        <v>469</v>
      </c>
      <c r="D1162" s="147" t="s">
        <v>470</v>
      </c>
      <c r="E1162" s="147" t="s">
        <v>390</v>
      </c>
      <c r="F1162" s="147" t="s">
        <v>517</v>
      </c>
      <c r="G1162" s="147">
        <v>51</v>
      </c>
      <c r="H1162" s="148">
        <v>43</v>
      </c>
      <c r="I1162" s="149">
        <f t="shared" si="18"/>
        <v>2193</v>
      </c>
      <c r="J1162" s="150" t="s">
        <v>515</v>
      </c>
      <c r="K1162" s="151">
        <v>61.404000000000003</v>
      </c>
      <c r="L1162">
        <f>Table13[[#This Row],[Price]]*Table13[[#This Row],[Units]]</f>
        <v>2193</v>
      </c>
    </row>
    <row r="1163" spans="1:12" x14ac:dyDescent="0.35">
      <c r="A1163" s="145">
        <v>45725</v>
      </c>
      <c r="B1163" s="146" t="s">
        <v>1667</v>
      </c>
      <c r="C1163" s="147" t="s">
        <v>469</v>
      </c>
      <c r="D1163" s="147" t="s">
        <v>519</v>
      </c>
      <c r="E1163" s="147" t="s">
        <v>333</v>
      </c>
      <c r="F1163" s="147" t="s">
        <v>471</v>
      </c>
      <c r="G1163" s="147">
        <v>23</v>
      </c>
      <c r="H1163" s="148">
        <v>30</v>
      </c>
      <c r="I1163" s="149">
        <f t="shared" si="18"/>
        <v>690</v>
      </c>
      <c r="J1163" s="150" t="s">
        <v>515</v>
      </c>
      <c r="K1163" s="151">
        <v>20.010000000000002</v>
      </c>
      <c r="L1163">
        <f>Table13[[#This Row],[Price]]*Table13[[#This Row],[Units]]</f>
        <v>690</v>
      </c>
    </row>
    <row r="1164" spans="1:12" x14ac:dyDescent="0.35">
      <c r="A1164" s="145">
        <v>45726</v>
      </c>
      <c r="B1164" s="146" t="s">
        <v>1668</v>
      </c>
      <c r="C1164" s="147" t="s">
        <v>489</v>
      </c>
      <c r="D1164" s="147" t="s">
        <v>486</v>
      </c>
      <c r="E1164" s="147" t="s">
        <v>315</v>
      </c>
      <c r="F1164" s="147" t="s">
        <v>520</v>
      </c>
      <c r="G1164" s="147">
        <v>28</v>
      </c>
      <c r="H1164" s="148">
        <v>41</v>
      </c>
      <c r="I1164" s="149">
        <f t="shared" si="18"/>
        <v>1148</v>
      </c>
      <c r="J1164" s="150" t="s">
        <v>466</v>
      </c>
      <c r="K1164" s="151">
        <v>29.847999999999999</v>
      </c>
      <c r="L1164">
        <f>Table13[[#This Row],[Price]]*Table13[[#This Row],[Units]]</f>
        <v>1148</v>
      </c>
    </row>
    <row r="1165" spans="1:12" x14ac:dyDescent="0.35">
      <c r="A1165" s="145">
        <v>45726</v>
      </c>
      <c r="B1165" s="146" t="s">
        <v>1669</v>
      </c>
      <c r="C1165" s="147" t="s">
        <v>494</v>
      </c>
      <c r="D1165" s="147" t="s">
        <v>470</v>
      </c>
      <c r="E1165" s="147" t="s">
        <v>333</v>
      </c>
      <c r="F1165" s="147" t="s">
        <v>536</v>
      </c>
      <c r="G1165" s="147">
        <v>18</v>
      </c>
      <c r="H1165" s="148">
        <v>38</v>
      </c>
      <c r="I1165" s="149">
        <f t="shared" si="18"/>
        <v>684</v>
      </c>
      <c r="J1165" s="150" t="s">
        <v>515</v>
      </c>
      <c r="K1165" s="151">
        <v>20.52</v>
      </c>
      <c r="L1165">
        <f>Table13[[#This Row],[Price]]*Table13[[#This Row],[Units]]</f>
        <v>684</v>
      </c>
    </row>
    <row r="1166" spans="1:12" x14ac:dyDescent="0.35">
      <c r="A1166" s="145">
        <v>45726</v>
      </c>
      <c r="B1166" s="146" t="s">
        <v>1670</v>
      </c>
      <c r="C1166" s="147" t="s">
        <v>494</v>
      </c>
      <c r="D1166" s="147" t="s">
        <v>470</v>
      </c>
      <c r="E1166" s="147" t="s">
        <v>483</v>
      </c>
      <c r="F1166" s="147" t="s">
        <v>523</v>
      </c>
      <c r="G1166" s="147">
        <v>55</v>
      </c>
      <c r="H1166" s="148">
        <v>44</v>
      </c>
      <c r="I1166" s="149">
        <f t="shared" si="18"/>
        <v>2420</v>
      </c>
      <c r="J1166" s="150" t="s">
        <v>466</v>
      </c>
      <c r="K1166" s="151">
        <v>58.08</v>
      </c>
      <c r="L1166">
        <f>Table13[[#This Row],[Price]]*Table13[[#This Row],[Units]]</f>
        <v>2420</v>
      </c>
    </row>
    <row r="1167" spans="1:12" x14ac:dyDescent="0.35">
      <c r="A1167" s="145">
        <v>45726</v>
      </c>
      <c r="B1167" s="146" t="s">
        <v>1671</v>
      </c>
      <c r="C1167" s="147" t="s">
        <v>322</v>
      </c>
      <c r="D1167" s="147" t="s">
        <v>486</v>
      </c>
      <c r="E1167" s="147" t="s">
        <v>315</v>
      </c>
      <c r="F1167" s="147" t="s">
        <v>510</v>
      </c>
      <c r="G1167" s="147">
        <v>27</v>
      </c>
      <c r="H1167" s="148">
        <v>42</v>
      </c>
      <c r="I1167" s="149">
        <f t="shared" si="18"/>
        <v>1134</v>
      </c>
      <c r="J1167" s="150" t="s">
        <v>466</v>
      </c>
      <c r="K1167" s="151">
        <v>23.814</v>
      </c>
      <c r="L1167">
        <f>Table13[[#This Row],[Price]]*Table13[[#This Row],[Units]]</f>
        <v>1134</v>
      </c>
    </row>
    <row r="1168" spans="1:12" x14ac:dyDescent="0.35">
      <c r="A1168" s="145">
        <v>45726</v>
      </c>
      <c r="B1168" s="146" t="s">
        <v>1672</v>
      </c>
      <c r="C1168" s="147" t="s">
        <v>494</v>
      </c>
      <c r="D1168" s="147" t="s">
        <v>477</v>
      </c>
      <c r="E1168" s="147" t="s">
        <v>315</v>
      </c>
      <c r="F1168" s="147" t="s">
        <v>478</v>
      </c>
      <c r="G1168" s="147">
        <v>35</v>
      </c>
      <c r="H1168" s="148">
        <v>45</v>
      </c>
      <c r="I1168" s="149">
        <f t="shared" si="18"/>
        <v>1575</v>
      </c>
      <c r="J1168" s="150" t="s">
        <v>466</v>
      </c>
      <c r="K1168" s="151">
        <v>42.524999999999999</v>
      </c>
      <c r="L1168">
        <f>Table13[[#This Row],[Price]]*Table13[[#This Row],[Units]]</f>
        <v>1575</v>
      </c>
    </row>
    <row r="1169" spans="1:12" x14ac:dyDescent="0.35">
      <c r="A1169" s="145">
        <v>45726</v>
      </c>
      <c r="B1169" s="146" t="s">
        <v>1673</v>
      </c>
      <c r="C1169" s="147" t="s">
        <v>494</v>
      </c>
      <c r="D1169" s="147" t="s">
        <v>512</v>
      </c>
      <c r="E1169" s="147" t="s">
        <v>483</v>
      </c>
      <c r="F1169" s="147" t="s">
        <v>520</v>
      </c>
      <c r="G1169" s="147">
        <v>30</v>
      </c>
      <c r="H1169" s="148">
        <v>47</v>
      </c>
      <c r="I1169" s="149">
        <f t="shared" si="18"/>
        <v>1410</v>
      </c>
      <c r="J1169" s="150" t="s">
        <v>472</v>
      </c>
      <c r="K1169" s="151">
        <v>40.89</v>
      </c>
      <c r="L1169">
        <f>Table13[[#This Row],[Price]]*Table13[[#This Row],[Units]]</f>
        <v>1410</v>
      </c>
    </row>
    <row r="1170" spans="1:12" x14ac:dyDescent="0.35">
      <c r="A1170" s="145">
        <v>45727</v>
      </c>
      <c r="B1170" s="146" t="s">
        <v>1674</v>
      </c>
      <c r="C1170" s="147" t="s">
        <v>501</v>
      </c>
      <c r="D1170" s="147" t="s">
        <v>477</v>
      </c>
      <c r="E1170" s="147" t="s">
        <v>390</v>
      </c>
      <c r="F1170" s="147" t="s">
        <v>517</v>
      </c>
      <c r="G1170" s="147">
        <v>42</v>
      </c>
      <c r="H1170" s="148">
        <v>44</v>
      </c>
      <c r="I1170" s="149">
        <f t="shared" si="18"/>
        <v>1848</v>
      </c>
      <c r="J1170" s="150" t="s">
        <v>472</v>
      </c>
      <c r="K1170" s="151">
        <v>42.503999999999998</v>
      </c>
      <c r="L1170">
        <f>Table13[[#This Row],[Price]]*Table13[[#This Row],[Units]]</f>
        <v>1848</v>
      </c>
    </row>
    <row r="1171" spans="1:12" x14ac:dyDescent="0.35">
      <c r="A1171" s="145">
        <v>45727</v>
      </c>
      <c r="B1171" s="146" t="s">
        <v>1675</v>
      </c>
      <c r="C1171" s="147" t="s">
        <v>464</v>
      </c>
      <c r="D1171" s="147" t="s">
        <v>512</v>
      </c>
      <c r="E1171" s="147" t="s">
        <v>320</v>
      </c>
      <c r="F1171" s="147" t="s">
        <v>510</v>
      </c>
      <c r="G1171" s="147">
        <v>31</v>
      </c>
      <c r="H1171" s="148">
        <v>41</v>
      </c>
      <c r="I1171" s="149">
        <f t="shared" si="18"/>
        <v>1271</v>
      </c>
      <c r="J1171" s="150" t="s">
        <v>472</v>
      </c>
      <c r="K1171" s="151">
        <v>30.504000000000001</v>
      </c>
      <c r="L1171">
        <f>Table13[[#This Row],[Price]]*Table13[[#This Row],[Units]]</f>
        <v>1271</v>
      </c>
    </row>
    <row r="1172" spans="1:12" x14ac:dyDescent="0.35">
      <c r="A1172" s="145">
        <v>45727</v>
      </c>
      <c r="B1172" s="146" t="s">
        <v>1676</v>
      </c>
      <c r="C1172" s="147" t="s">
        <v>501</v>
      </c>
      <c r="D1172" s="147" t="s">
        <v>470</v>
      </c>
      <c r="E1172" s="147" t="s">
        <v>333</v>
      </c>
      <c r="F1172" s="147" t="s">
        <v>478</v>
      </c>
      <c r="G1172" s="147">
        <v>15</v>
      </c>
      <c r="H1172" s="148">
        <v>35</v>
      </c>
      <c r="I1172" s="149">
        <f t="shared" si="18"/>
        <v>525</v>
      </c>
      <c r="J1172" s="150" t="s">
        <v>472</v>
      </c>
      <c r="K1172" s="151">
        <v>13.65</v>
      </c>
      <c r="L1172">
        <f>Table13[[#This Row],[Price]]*Table13[[#This Row],[Units]]</f>
        <v>525</v>
      </c>
    </row>
    <row r="1173" spans="1:12" x14ac:dyDescent="0.35">
      <c r="A1173" s="145">
        <v>45727</v>
      </c>
      <c r="B1173" s="146" t="s">
        <v>1677</v>
      </c>
      <c r="C1173" s="147" t="s">
        <v>484</v>
      </c>
      <c r="D1173" s="147" t="s">
        <v>519</v>
      </c>
      <c r="E1173" s="147" t="s">
        <v>390</v>
      </c>
      <c r="F1173" s="147" t="s">
        <v>478</v>
      </c>
      <c r="G1173" s="147">
        <v>11</v>
      </c>
      <c r="H1173" s="148">
        <v>46</v>
      </c>
      <c r="I1173" s="149">
        <f t="shared" si="18"/>
        <v>506</v>
      </c>
      <c r="J1173" s="150" t="s">
        <v>503</v>
      </c>
      <c r="K1173" s="151">
        <v>12.144</v>
      </c>
      <c r="L1173">
        <f>Table13[[#This Row],[Price]]*Table13[[#This Row],[Units]]</f>
        <v>506</v>
      </c>
    </row>
    <row r="1174" spans="1:12" x14ac:dyDescent="0.35">
      <c r="A1174" s="145">
        <v>45727</v>
      </c>
      <c r="B1174" s="146" t="s">
        <v>1678</v>
      </c>
      <c r="C1174" s="147" t="s">
        <v>464</v>
      </c>
      <c r="D1174" s="147" t="s">
        <v>477</v>
      </c>
      <c r="E1174" s="147" t="s">
        <v>315</v>
      </c>
      <c r="F1174" s="147" t="s">
        <v>517</v>
      </c>
      <c r="G1174" s="147">
        <v>25</v>
      </c>
      <c r="H1174" s="148">
        <v>21</v>
      </c>
      <c r="I1174" s="149">
        <f t="shared" si="18"/>
        <v>525</v>
      </c>
      <c r="J1174" s="150" t="s">
        <v>466</v>
      </c>
      <c r="K1174" s="151">
        <v>12.6</v>
      </c>
      <c r="L1174">
        <f>Table13[[#This Row],[Price]]*Table13[[#This Row],[Units]]</f>
        <v>525</v>
      </c>
    </row>
    <row r="1175" spans="1:12" x14ac:dyDescent="0.35">
      <c r="A1175" s="145">
        <v>45727</v>
      </c>
      <c r="B1175" s="146" t="s">
        <v>1679</v>
      </c>
      <c r="C1175" s="147" t="s">
        <v>492</v>
      </c>
      <c r="D1175" s="147" t="s">
        <v>490</v>
      </c>
      <c r="E1175" s="147" t="s">
        <v>324</v>
      </c>
      <c r="F1175" s="147" t="s">
        <v>491</v>
      </c>
      <c r="G1175" s="147">
        <v>44</v>
      </c>
      <c r="H1175" s="148">
        <v>42</v>
      </c>
      <c r="I1175" s="149">
        <f t="shared" si="18"/>
        <v>1848</v>
      </c>
      <c r="J1175" s="150" t="s">
        <v>472</v>
      </c>
      <c r="K1175" s="151">
        <v>48.048000000000002</v>
      </c>
      <c r="L1175">
        <f>Table13[[#This Row],[Price]]*Table13[[#This Row],[Units]]</f>
        <v>1848</v>
      </c>
    </row>
    <row r="1176" spans="1:12" x14ac:dyDescent="0.35">
      <c r="A1176" s="145">
        <v>45727</v>
      </c>
      <c r="B1176" s="146" t="s">
        <v>1680</v>
      </c>
      <c r="C1176" s="147" t="s">
        <v>492</v>
      </c>
      <c r="D1176" s="147" t="s">
        <v>486</v>
      </c>
      <c r="E1176" s="147" t="s">
        <v>320</v>
      </c>
      <c r="F1176" s="147" t="s">
        <v>528</v>
      </c>
      <c r="G1176" s="147">
        <v>53</v>
      </c>
      <c r="H1176" s="148">
        <v>30</v>
      </c>
      <c r="I1176" s="149">
        <f t="shared" si="18"/>
        <v>1590</v>
      </c>
      <c r="J1176" s="150" t="s">
        <v>466</v>
      </c>
      <c r="K1176" s="151">
        <v>36.57</v>
      </c>
      <c r="L1176">
        <f>Table13[[#This Row],[Price]]*Table13[[#This Row],[Units]]</f>
        <v>1590</v>
      </c>
    </row>
    <row r="1177" spans="1:12" x14ac:dyDescent="0.35">
      <c r="A1177" s="145">
        <v>45727</v>
      </c>
      <c r="B1177" s="146" t="s">
        <v>1681</v>
      </c>
      <c r="C1177" s="147" t="s">
        <v>469</v>
      </c>
      <c r="D1177" s="147" t="s">
        <v>519</v>
      </c>
      <c r="E1177" s="147" t="s">
        <v>333</v>
      </c>
      <c r="F1177" s="147" t="s">
        <v>487</v>
      </c>
      <c r="G1177" s="147">
        <v>53</v>
      </c>
      <c r="H1177" s="148">
        <v>36</v>
      </c>
      <c r="I1177" s="149">
        <f t="shared" si="18"/>
        <v>1908</v>
      </c>
      <c r="J1177" s="150" t="s">
        <v>515</v>
      </c>
      <c r="K1177" s="151">
        <v>40.067999999999998</v>
      </c>
      <c r="L1177">
        <f>Table13[[#This Row],[Price]]*Table13[[#This Row],[Units]]</f>
        <v>1908</v>
      </c>
    </row>
    <row r="1178" spans="1:12" x14ac:dyDescent="0.35">
      <c r="A1178" s="145">
        <v>45727</v>
      </c>
      <c r="B1178" s="146" t="s">
        <v>1682</v>
      </c>
      <c r="C1178" s="147" t="s">
        <v>464</v>
      </c>
      <c r="D1178" s="147" t="s">
        <v>490</v>
      </c>
      <c r="E1178" s="147" t="s">
        <v>315</v>
      </c>
      <c r="F1178" s="147" t="s">
        <v>528</v>
      </c>
      <c r="G1178" s="147">
        <v>41</v>
      </c>
      <c r="H1178" s="148">
        <v>30</v>
      </c>
      <c r="I1178" s="149">
        <f t="shared" si="18"/>
        <v>1230</v>
      </c>
      <c r="J1178" s="150" t="s">
        <v>472</v>
      </c>
      <c r="K1178" s="151">
        <v>35.67</v>
      </c>
      <c r="L1178">
        <f>Table13[[#This Row],[Price]]*Table13[[#This Row],[Units]]</f>
        <v>1230</v>
      </c>
    </row>
    <row r="1179" spans="1:12" x14ac:dyDescent="0.35">
      <c r="A1179" s="145">
        <v>45727</v>
      </c>
      <c r="B1179" s="146" t="s">
        <v>1683</v>
      </c>
      <c r="C1179" s="147" t="s">
        <v>464</v>
      </c>
      <c r="D1179" s="147" t="s">
        <v>512</v>
      </c>
      <c r="E1179" s="147" t="s">
        <v>315</v>
      </c>
      <c r="F1179" s="147" t="s">
        <v>454</v>
      </c>
      <c r="G1179" s="147">
        <v>51</v>
      </c>
      <c r="H1179" s="148">
        <v>21</v>
      </c>
      <c r="I1179" s="149">
        <f t="shared" si="18"/>
        <v>1071</v>
      </c>
      <c r="J1179" s="150" t="s">
        <v>515</v>
      </c>
      <c r="K1179" s="151">
        <v>25.704000000000001</v>
      </c>
      <c r="L1179">
        <f>Table13[[#This Row],[Price]]*Table13[[#This Row],[Units]]</f>
        <v>1071</v>
      </c>
    </row>
    <row r="1180" spans="1:12" x14ac:dyDescent="0.35">
      <c r="A1180" s="145">
        <v>45727</v>
      </c>
      <c r="B1180" s="146" t="s">
        <v>1684</v>
      </c>
      <c r="C1180" s="147" t="s">
        <v>469</v>
      </c>
      <c r="D1180" s="147" t="s">
        <v>470</v>
      </c>
      <c r="E1180" s="147" t="s">
        <v>483</v>
      </c>
      <c r="F1180" s="147" t="s">
        <v>471</v>
      </c>
      <c r="G1180" s="147">
        <v>52</v>
      </c>
      <c r="H1180" s="148">
        <v>45</v>
      </c>
      <c r="I1180" s="149">
        <f t="shared" si="18"/>
        <v>2340</v>
      </c>
      <c r="J1180" s="150" t="s">
        <v>466</v>
      </c>
      <c r="K1180" s="151">
        <v>46.8</v>
      </c>
      <c r="L1180">
        <f>Table13[[#This Row],[Price]]*Table13[[#This Row],[Units]]</f>
        <v>2340</v>
      </c>
    </row>
    <row r="1181" spans="1:12" x14ac:dyDescent="0.35">
      <c r="A1181" s="145">
        <v>45727</v>
      </c>
      <c r="B1181" s="146" t="s">
        <v>1685</v>
      </c>
      <c r="C1181" s="147" t="s">
        <v>322</v>
      </c>
      <c r="D1181" s="147" t="s">
        <v>470</v>
      </c>
      <c r="E1181" s="147" t="s">
        <v>483</v>
      </c>
      <c r="F1181" s="147" t="s">
        <v>528</v>
      </c>
      <c r="G1181" s="147">
        <v>19</v>
      </c>
      <c r="H1181" s="148">
        <v>60</v>
      </c>
      <c r="I1181" s="149">
        <f t="shared" si="18"/>
        <v>1140</v>
      </c>
      <c r="J1181" s="150" t="s">
        <v>515</v>
      </c>
      <c r="K1181" s="151">
        <v>28.5</v>
      </c>
      <c r="L1181">
        <f>Table13[[#This Row],[Price]]*Table13[[#This Row],[Units]]</f>
        <v>1140</v>
      </c>
    </row>
    <row r="1182" spans="1:12" x14ac:dyDescent="0.35">
      <c r="A1182" s="145">
        <v>45727</v>
      </c>
      <c r="B1182" s="146" t="s">
        <v>1686</v>
      </c>
      <c r="C1182" s="147" t="s">
        <v>476</v>
      </c>
      <c r="D1182" s="147" t="s">
        <v>486</v>
      </c>
      <c r="E1182" s="147" t="s">
        <v>320</v>
      </c>
      <c r="F1182" s="147" t="s">
        <v>528</v>
      </c>
      <c r="G1182" s="147">
        <v>14</v>
      </c>
      <c r="H1182" s="148">
        <v>32</v>
      </c>
      <c r="I1182" s="149">
        <f t="shared" si="18"/>
        <v>448</v>
      </c>
      <c r="J1182" s="150" t="s">
        <v>515</v>
      </c>
      <c r="K1182" s="151">
        <v>9.4079999999999995</v>
      </c>
      <c r="L1182">
        <f>Table13[[#This Row],[Price]]*Table13[[#This Row],[Units]]</f>
        <v>448</v>
      </c>
    </row>
    <row r="1183" spans="1:12" x14ac:dyDescent="0.35">
      <c r="A1183" s="145">
        <v>45727</v>
      </c>
      <c r="B1183" s="146" t="s">
        <v>1687</v>
      </c>
      <c r="C1183" s="147" t="s">
        <v>469</v>
      </c>
      <c r="D1183" s="147" t="s">
        <v>477</v>
      </c>
      <c r="E1183" s="147" t="s">
        <v>315</v>
      </c>
      <c r="F1183" s="147" t="s">
        <v>523</v>
      </c>
      <c r="G1183" s="147">
        <v>51</v>
      </c>
      <c r="H1183" s="148">
        <v>42</v>
      </c>
      <c r="I1183" s="149">
        <f t="shared" si="18"/>
        <v>2142</v>
      </c>
      <c r="J1183" s="150" t="s">
        <v>472</v>
      </c>
      <c r="K1183" s="151">
        <v>55.692</v>
      </c>
      <c r="L1183">
        <f>Table13[[#This Row],[Price]]*Table13[[#This Row],[Units]]</f>
        <v>2142</v>
      </c>
    </row>
    <row r="1184" spans="1:12" x14ac:dyDescent="0.35">
      <c r="A1184" s="145">
        <v>45727</v>
      </c>
      <c r="B1184" s="146" t="s">
        <v>1688</v>
      </c>
      <c r="C1184" s="147" t="s">
        <v>322</v>
      </c>
      <c r="D1184" s="147" t="s">
        <v>519</v>
      </c>
      <c r="E1184" s="147" t="s">
        <v>315</v>
      </c>
      <c r="F1184" s="147" t="s">
        <v>487</v>
      </c>
      <c r="G1184" s="147">
        <v>50</v>
      </c>
      <c r="H1184" s="148">
        <v>37</v>
      </c>
      <c r="I1184" s="149">
        <f t="shared" si="18"/>
        <v>1850</v>
      </c>
      <c r="J1184" s="150" t="s">
        <v>472</v>
      </c>
      <c r="K1184" s="151">
        <v>48.1</v>
      </c>
      <c r="L1184">
        <f>Table13[[#This Row],[Price]]*Table13[[#This Row],[Units]]</f>
        <v>1850</v>
      </c>
    </row>
    <row r="1185" spans="1:12" x14ac:dyDescent="0.35">
      <c r="A1185" s="145">
        <v>45727</v>
      </c>
      <c r="B1185" s="146" t="s">
        <v>1689</v>
      </c>
      <c r="C1185" s="147" t="s">
        <v>492</v>
      </c>
      <c r="D1185" s="147" t="s">
        <v>470</v>
      </c>
      <c r="E1185" s="147" t="s">
        <v>333</v>
      </c>
      <c r="F1185" s="147" t="s">
        <v>567</v>
      </c>
      <c r="G1185" s="147">
        <v>34</v>
      </c>
      <c r="H1185" s="148">
        <v>54</v>
      </c>
      <c r="I1185" s="149">
        <f t="shared" si="18"/>
        <v>1836</v>
      </c>
      <c r="J1185" s="150" t="s">
        <v>466</v>
      </c>
      <c r="K1185" s="151">
        <v>36.72</v>
      </c>
      <c r="L1185">
        <f>Table13[[#This Row],[Price]]*Table13[[#This Row],[Units]]</f>
        <v>1836</v>
      </c>
    </row>
    <row r="1186" spans="1:12" x14ac:dyDescent="0.35">
      <c r="A1186" s="145">
        <v>45727</v>
      </c>
      <c r="B1186" s="146" t="s">
        <v>1690</v>
      </c>
      <c r="C1186" s="147" t="s">
        <v>484</v>
      </c>
      <c r="D1186" s="147" t="s">
        <v>477</v>
      </c>
      <c r="E1186" s="147" t="s">
        <v>483</v>
      </c>
      <c r="F1186" s="147" t="s">
        <v>528</v>
      </c>
      <c r="G1186" s="147">
        <v>40</v>
      </c>
      <c r="H1186" s="148">
        <v>47</v>
      </c>
      <c r="I1186" s="149">
        <f t="shared" si="18"/>
        <v>1880</v>
      </c>
      <c r="J1186" s="150" t="s">
        <v>466</v>
      </c>
      <c r="K1186" s="151">
        <v>47</v>
      </c>
      <c r="L1186">
        <f>Table13[[#This Row],[Price]]*Table13[[#This Row],[Units]]</f>
        <v>1880</v>
      </c>
    </row>
    <row r="1187" spans="1:12" x14ac:dyDescent="0.35">
      <c r="A1187" s="145">
        <v>45727</v>
      </c>
      <c r="B1187" s="146" t="s">
        <v>1691</v>
      </c>
      <c r="C1187" s="147" t="s">
        <v>484</v>
      </c>
      <c r="D1187" s="147" t="s">
        <v>470</v>
      </c>
      <c r="E1187" s="147" t="s">
        <v>390</v>
      </c>
      <c r="F1187" s="147" t="s">
        <v>505</v>
      </c>
      <c r="G1187" s="147">
        <v>47</v>
      </c>
      <c r="H1187" s="148">
        <v>39</v>
      </c>
      <c r="I1187" s="149">
        <f t="shared" si="18"/>
        <v>1833</v>
      </c>
      <c r="J1187" s="150" t="s">
        <v>466</v>
      </c>
      <c r="K1187" s="151">
        <v>38.493000000000002</v>
      </c>
      <c r="L1187">
        <f>Table13[[#This Row],[Price]]*Table13[[#This Row],[Units]]</f>
        <v>1833</v>
      </c>
    </row>
    <row r="1188" spans="1:12" x14ac:dyDescent="0.35">
      <c r="A1188" s="145">
        <v>45727</v>
      </c>
      <c r="B1188" s="146" t="s">
        <v>1692</v>
      </c>
      <c r="C1188" s="147" t="s">
        <v>469</v>
      </c>
      <c r="D1188" s="147" t="s">
        <v>470</v>
      </c>
      <c r="E1188" s="147" t="s">
        <v>333</v>
      </c>
      <c r="F1188" s="147" t="s">
        <v>491</v>
      </c>
      <c r="G1188" s="147">
        <v>28</v>
      </c>
      <c r="H1188" s="148">
        <v>28</v>
      </c>
      <c r="I1188" s="149">
        <f t="shared" si="18"/>
        <v>784</v>
      </c>
      <c r="J1188" s="150" t="s">
        <v>466</v>
      </c>
      <c r="K1188" s="151">
        <v>16.463999999999999</v>
      </c>
      <c r="L1188">
        <f>Table13[[#This Row],[Price]]*Table13[[#This Row],[Units]]</f>
        <v>784</v>
      </c>
    </row>
    <row r="1189" spans="1:12" x14ac:dyDescent="0.35">
      <c r="A1189" s="145">
        <v>45727</v>
      </c>
      <c r="B1189" s="146" t="s">
        <v>1693</v>
      </c>
      <c r="C1189" s="147" t="s">
        <v>476</v>
      </c>
      <c r="D1189" s="147" t="s">
        <v>477</v>
      </c>
      <c r="E1189" s="147" t="s">
        <v>324</v>
      </c>
      <c r="F1189" s="147" t="s">
        <v>491</v>
      </c>
      <c r="G1189" s="147">
        <v>25</v>
      </c>
      <c r="H1189" s="148">
        <v>50</v>
      </c>
      <c r="I1189" s="149">
        <f t="shared" si="18"/>
        <v>1250</v>
      </c>
      <c r="J1189" s="150" t="s">
        <v>472</v>
      </c>
      <c r="K1189" s="151">
        <v>26.25</v>
      </c>
      <c r="L1189">
        <f>Table13[[#This Row],[Price]]*Table13[[#This Row],[Units]]</f>
        <v>1250</v>
      </c>
    </row>
    <row r="1190" spans="1:12" x14ac:dyDescent="0.35">
      <c r="A1190" s="145">
        <v>45727</v>
      </c>
      <c r="B1190" s="146" t="s">
        <v>1694</v>
      </c>
      <c r="C1190" s="147" t="s">
        <v>494</v>
      </c>
      <c r="D1190" s="147" t="s">
        <v>470</v>
      </c>
      <c r="E1190" s="147" t="s">
        <v>320</v>
      </c>
      <c r="F1190" s="147" t="s">
        <v>510</v>
      </c>
      <c r="G1190" s="147">
        <v>40</v>
      </c>
      <c r="H1190" s="148">
        <v>48</v>
      </c>
      <c r="I1190" s="149">
        <f t="shared" si="18"/>
        <v>1920</v>
      </c>
      <c r="J1190" s="150" t="s">
        <v>472</v>
      </c>
      <c r="K1190" s="151">
        <v>38.4</v>
      </c>
      <c r="L1190">
        <f>Table13[[#This Row],[Price]]*Table13[[#This Row],[Units]]</f>
        <v>1920</v>
      </c>
    </row>
    <row r="1191" spans="1:12" x14ac:dyDescent="0.35">
      <c r="A1191" s="145">
        <v>45727</v>
      </c>
      <c r="B1191" s="146" t="s">
        <v>1695</v>
      </c>
      <c r="C1191" s="147" t="s">
        <v>492</v>
      </c>
      <c r="D1191" s="147" t="s">
        <v>490</v>
      </c>
      <c r="E1191" s="147" t="s">
        <v>333</v>
      </c>
      <c r="F1191" s="147" t="s">
        <v>497</v>
      </c>
      <c r="G1191" s="147">
        <v>41</v>
      </c>
      <c r="H1191" s="148">
        <v>57</v>
      </c>
      <c r="I1191" s="149">
        <f t="shared" si="18"/>
        <v>2337</v>
      </c>
      <c r="J1191" s="150" t="s">
        <v>466</v>
      </c>
      <c r="K1191" s="151">
        <v>58.424999999999997</v>
      </c>
      <c r="L1191">
        <f>Table13[[#This Row],[Price]]*Table13[[#This Row],[Units]]</f>
        <v>2337</v>
      </c>
    </row>
    <row r="1192" spans="1:12" x14ac:dyDescent="0.35">
      <c r="A1192" s="145">
        <v>45727</v>
      </c>
      <c r="B1192" s="146" t="s">
        <v>1696</v>
      </c>
      <c r="C1192" s="147" t="s">
        <v>464</v>
      </c>
      <c r="D1192" s="147" t="s">
        <v>477</v>
      </c>
      <c r="E1192" s="147" t="s">
        <v>483</v>
      </c>
      <c r="F1192" s="147" t="s">
        <v>520</v>
      </c>
      <c r="G1192" s="147">
        <v>41</v>
      </c>
      <c r="H1192" s="148">
        <v>53</v>
      </c>
      <c r="I1192" s="149">
        <f t="shared" si="18"/>
        <v>2173</v>
      </c>
      <c r="J1192" s="150" t="s">
        <v>503</v>
      </c>
      <c r="K1192" s="151">
        <v>58.670999999999999</v>
      </c>
      <c r="L1192">
        <f>Table13[[#This Row],[Price]]*Table13[[#This Row],[Units]]</f>
        <v>2173</v>
      </c>
    </row>
    <row r="1193" spans="1:12" x14ac:dyDescent="0.35">
      <c r="A1193" s="145">
        <v>45728</v>
      </c>
      <c r="B1193" s="146" t="s">
        <v>1697</v>
      </c>
      <c r="C1193" s="147" t="s">
        <v>494</v>
      </c>
      <c r="D1193" s="147" t="s">
        <v>477</v>
      </c>
      <c r="E1193" s="147" t="s">
        <v>333</v>
      </c>
      <c r="F1193" s="147" t="s">
        <v>505</v>
      </c>
      <c r="G1193" s="147">
        <v>41</v>
      </c>
      <c r="H1193" s="148">
        <v>24</v>
      </c>
      <c r="I1193" s="149">
        <f t="shared" si="18"/>
        <v>984</v>
      </c>
      <c r="J1193" s="150" t="s">
        <v>515</v>
      </c>
      <c r="K1193" s="151">
        <v>22.632000000000001</v>
      </c>
      <c r="L1193">
        <f>Table13[[#This Row],[Price]]*Table13[[#This Row],[Units]]</f>
        <v>984</v>
      </c>
    </row>
    <row r="1194" spans="1:12" x14ac:dyDescent="0.35">
      <c r="A1194" s="145">
        <v>45729</v>
      </c>
      <c r="B1194" s="146" t="s">
        <v>1698</v>
      </c>
      <c r="C1194" s="147" t="s">
        <v>464</v>
      </c>
      <c r="D1194" s="147" t="s">
        <v>470</v>
      </c>
      <c r="E1194" s="147" t="s">
        <v>320</v>
      </c>
      <c r="F1194" s="147" t="s">
        <v>523</v>
      </c>
      <c r="G1194" s="147">
        <v>16</v>
      </c>
      <c r="H1194" s="148">
        <v>22</v>
      </c>
      <c r="I1194" s="149">
        <f t="shared" si="18"/>
        <v>352</v>
      </c>
      <c r="J1194" s="150" t="s">
        <v>466</v>
      </c>
      <c r="K1194" s="151">
        <v>9.5039999999999996</v>
      </c>
      <c r="L1194">
        <f>Table13[[#This Row],[Price]]*Table13[[#This Row],[Units]]</f>
        <v>352</v>
      </c>
    </row>
    <row r="1195" spans="1:12" x14ac:dyDescent="0.35">
      <c r="A1195" s="145">
        <v>45729</v>
      </c>
      <c r="B1195" s="146" t="s">
        <v>1699</v>
      </c>
      <c r="C1195" s="147" t="s">
        <v>492</v>
      </c>
      <c r="D1195" s="147" t="s">
        <v>477</v>
      </c>
      <c r="E1195" s="147" t="s">
        <v>320</v>
      </c>
      <c r="F1195" s="147" t="s">
        <v>510</v>
      </c>
      <c r="G1195" s="147">
        <v>35</v>
      </c>
      <c r="H1195" s="148">
        <v>22</v>
      </c>
      <c r="I1195" s="149">
        <f t="shared" si="18"/>
        <v>770</v>
      </c>
      <c r="J1195" s="150" t="s">
        <v>466</v>
      </c>
      <c r="K1195" s="151">
        <v>21.56</v>
      </c>
      <c r="L1195">
        <f>Table13[[#This Row],[Price]]*Table13[[#This Row],[Units]]</f>
        <v>770</v>
      </c>
    </row>
    <row r="1196" spans="1:12" x14ac:dyDescent="0.35">
      <c r="A1196" s="145">
        <v>45729</v>
      </c>
      <c r="B1196" s="146" t="s">
        <v>1700</v>
      </c>
      <c r="C1196" s="147" t="s">
        <v>494</v>
      </c>
      <c r="D1196" s="147" t="s">
        <v>512</v>
      </c>
      <c r="E1196" s="147" t="s">
        <v>483</v>
      </c>
      <c r="F1196" s="147" t="s">
        <v>517</v>
      </c>
      <c r="G1196" s="147">
        <v>28</v>
      </c>
      <c r="H1196" s="148">
        <v>46</v>
      </c>
      <c r="I1196" s="149">
        <f t="shared" si="18"/>
        <v>1288</v>
      </c>
      <c r="J1196" s="150" t="s">
        <v>466</v>
      </c>
      <c r="K1196" s="151">
        <v>37.351999999999997</v>
      </c>
      <c r="L1196">
        <f>Table13[[#This Row],[Price]]*Table13[[#This Row],[Units]]</f>
        <v>1288</v>
      </c>
    </row>
    <row r="1197" spans="1:12" x14ac:dyDescent="0.35">
      <c r="A1197" s="145">
        <v>45729</v>
      </c>
      <c r="B1197" s="146" t="s">
        <v>1701</v>
      </c>
      <c r="C1197" s="147" t="s">
        <v>484</v>
      </c>
      <c r="D1197" s="147" t="s">
        <v>465</v>
      </c>
      <c r="E1197" s="147" t="s">
        <v>324</v>
      </c>
      <c r="F1197" s="147" t="s">
        <v>528</v>
      </c>
      <c r="G1197" s="147">
        <v>25</v>
      </c>
      <c r="H1197" s="148">
        <v>31</v>
      </c>
      <c r="I1197" s="149">
        <f t="shared" si="18"/>
        <v>775</v>
      </c>
      <c r="J1197" s="150" t="s">
        <v>466</v>
      </c>
      <c r="K1197" s="151">
        <v>18.600000000000001</v>
      </c>
      <c r="L1197">
        <f>Table13[[#This Row],[Price]]*Table13[[#This Row],[Units]]</f>
        <v>775</v>
      </c>
    </row>
    <row r="1198" spans="1:12" x14ac:dyDescent="0.35">
      <c r="A1198" s="145">
        <v>45729</v>
      </c>
      <c r="B1198" s="146" t="s">
        <v>1702</v>
      </c>
      <c r="C1198" s="147" t="s">
        <v>494</v>
      </c>
      <c r="D1198" s="147" t="s">
        <v>470</v>
      </c>
      <c r="E1198" s="147" t="s">
        <v>320</v>
      </c>
      <c r="F1198" s="147" t="s">
        <v>528</v>
      </c>
      <c r="G1198" s="147">
        <v>25</v>
      </c>
      <c r="H1198" s="148">
        <v>29</v>
      </c>
      <c r="I1198" s="149">
        <f t="shared" si="18"/>
        <v>725</v>
      </c>
      <c r="J1198" s="150" t="s">
        <v>466</v>
      </c>
      <c r="K1198" s="151">
        <v>20.3</v>
      </c>
      <c r="L1198">
        <f>Table13[[#This Row],[Price]]*Table13[[#This Row],[Units]]</f>
        <v>725</v>
      </c>
    </row>
    <row r="1199" spans="1:12" x14ac:dyDescent="0.35">
      <c r="A1199" s="145">
        <v>45729</v>
      </c>
      <c r="B1199" s="146" t="s">
        <v>1703</v>
      </c>
      <c r="C1199" s="147" t="s">
        <v>494</v>
      </c>
      <c r="D1199" s="147" t="s">
        <v>470</v>
      </c>
      <c r="E1199" s="147" t="s">
        <v>315</v>
      </c>
      <c r="F1199" s="147" t="s">
        <v>505</v>
      </c>
      <c r="G1199" s="147">
        <v>38</v>
      </c>
      <c r="H1199" s="148">
        <v>58</v>
      </c>
      <c r="I1199" s="149">
        <f t="shared" si="18"/>
        <v>2204</v>
      </c>
      <c r="J1199" s="150" t="s">
        <v>466</v>
      </c>
      <c r="K1199" s="151">
        <v>44.08</v>
      </c>
      <c r="L1199">
        <f>Table13[[#This Row],[Price]]*Table13[[#This Row],[Units]]</f>
        <v>2204</v>
      </c>
    </row>
    <row r="1200" spans="1:12" x14ac:dyDescent="0.35">
      <c r="A1200" s="145">
        <v>45729</v>
      </c>
      <c r="B1200" s="146" t="s">
        <v>1704</v>
      </c>
      <c r="C1200" s="147" t="s">
        <v>469</v>
      </c>
      <c r="D1200" s="147" t="s">
        <v>465</v>
      </c>
      <c r="E1200" s="147" t="s">
        <v>320</v>
      </c>
      <c r="F1200" s="147" t="s">
        <v>510</v>
      </c>
      <c r="G1200" s="147">
        <v>47</v>
      </c>
      <c r="H1200" s="148">
        <v>25</v>
      </c>
      <c r="I1200" s="149">
        <f t="shared" si="18"/>
        <v>1175</v>
      </c>
      <c r="J1200" s="150" t="s">
        <v>472</v>
      </c>
      <c r="K1200" s="151">
        <v>23.5</v>
      </c>
      <c r="L1200">
        <f>Table13[[#This Row],[Price]]*Table13[[#This Row],[Units]]</f>
        <v>1175</v>
      </c>
    </row>
    <row r="1201" spans="1:12" x14ac:dyDescent="0.35">
      <c r="A1201" s="145">
        <v>45729</v>
      </c>
      <c r="B1201" s="146" t="s">
        <v>1705</v>
      </c>
      <c r="C1201" s="147" t="s">
        <v>501</v>
      </c>
      <c r="D1201" s="147" t="s">
        <v>490</v>
      </c>
      <c r="E1201" s="147" t="s">
        <v>390</v>
      </c>
      <c r="F1201" s="147" t="s">
        <v>539</v>
      </c>
      <c r="G1201" s="147">
        <v>19</v>
      </c>
      <c r="H1201" s="148">
        <v>37</v>
      </c>
      <c r="I1201" s="149">
        <f t="shared" si="18"/>
        <v>703</v>
      </c>
      <c r="J1201" s="150" t="s">
        <v>515</v>
      </c>
      <c r="K1201" s="151">
        <v>21.09</v>
      </c>
      <c r="L1201">
        <f>Table13[[#This Row],[Price]]*Table13[[#This Row],[Units]]</f>
        <v>703</v>
      </c>
    </row>
    <row r="1202" spans="1:12" x14ac:dyDescent="0.35">
      <c r="A1202" s="145">
        <v>45729</v>
      </c>
      <c r="B1202" s="146" t="s">
        <v>1706</v>
      </c>
      <c r="C1202" s="147" t="s">
        <v>489</v>
      </c>
      <c r="D1202" s="147" t="s">
        <v>490</v>
      </c>
      <c r="E1202" s="147" t="s">
        <v>315</v>
      </c>
      <c r="F1202" s="147" t="s">
        <v>487</v>
      </c>
      <c r="G1202" s="147">
        <v>27</v>
      </c>
      <c r="H1202" s="148">
        <v>34</v>
      </c>
      <c r="I1202" s="149">
        <f t="shared" si="18"/>
        <v>918</v>
      </c>
      <c r="J1202" s="150" t="s">
        <v>503</v>
      </c>
      <c r="K1202" s="151">
        <v>18.36</v>
      </c>
      <c r="L1202">
        <f>Table13[[#This Row],[Price]]*Table13[[#This Row],[Units]]</f>
        <v>918</v>
      </c>
    </row>
    <row r="1203" spans="1:12" x14ac:dyDescent="0.35">
      <c r="A1203" s="145">
        <v>45729</v>
      </c>
      <c r="B1203" s="146" t="s">
        <v>1707</v>
      </c>
      <c r="C1203" s="147" t="s">
        <v>484</v>
      </c>
      <c r="D1203" s="147" t="s">
        <v>519</v>
      </c>
      <c r="E1203" s="147" t="s">
        <v>324</v>
      </c>
      <c r="F1203" s="147" t="s">
        <v>510</v>
      </c>
      <c r="G1203" s="147">
        <v>35</v>
      </c>
      <c r="H1203" s="148">
        <v>59</v>
      </c>
      <c r="I1203" s="149">
        <f t="shared" si="18"/>
        <v>2065</v>
      </c>
      <c r="J1203" s="150" t="s">
        <v>472</v>
      </c>
      <c r="K1203" s="151">
        <v>43.365000000000002</v>
      </c>
      <c r="L1203">
        <f>Table13[[#This Row],[Price]]*Table13[[#This Row],[Units]]</f>
        <v>2065</v>
      </c>
    </row>
    <row r="1204" spans="1:12" x14ac:dyDescent="0.35">
      <c r="A1204" s="145">
        <v>45729</v>
      </c>
      <c r="B1204" s="146" t="s">
        <v>1708</v>
      </c>
      <c r="C1204" s="147" t="s">
        <v>492</v>
      </c>
      <c r="D1204" s="147" t="s">
        <v>486</v>
      </c>
      <c r="E1204" s="147" t="s">
        <v>324</v>
      </c>
      <c r="F1204" s="147" t="s">
        <v>567</v>
      </c>
      <c r="G1204" s="147">
        <v>34</v>
      </c>
      <c r="H1204" s="148">
        <v>25</v>
      </c>
      <c r="I1204" s="149">
        <f t="shared" si="18"/>
        <v>850</v>
      </c>
      <c r="J1204" s="150" t="s">
        <v>503</v>
      </c>
      <c r="K1204" s="151">
        <v>19.55</v>
      </c>
      <c r="L1204">
        <f>Table13[[#This Row],[Price]]*Table13[[#This Row],[Units]]</f>
        <v>850</v>
      </c>
    </row>
    <row r="1205" spans="1:12" x14ac:dyDescent="0.35">
      <c r="A1205" s="145">
        <v>45729</v>
      </c>
      <c r="B1205" s="146" t="s">
        <v>1709</v>
      </c>
      <c r="C1205" s="147" t="s">
        <v>469</v>
      </c>
      <c r="D1205" s="147" t="s">
        <v>477</v>
      </c>
      <c r="E1205" s="147" t="s">
        <v>390</v>
      </c>
      <c r="F1205" s="147" t="s">
        <v>510</v>
      </c>
      <c r="G1205" s="147">
        <v>35</v>
      </c>
      <c r="H1205" s="148">
        <v>43</v>
      </c>
      <c r="I1205" s="149">
        <f t="shared" si="18"/>
        <v>1505</v>
      </c>
      <c r="J1205" s="150" t="s">
        <v>466</v>
      </c>
      <c r="K1205" s="151">
        <v>43.645000000000003</v>
      </c>
      <c r="L1205">
        <f>Table13[[#This Row],[Price]]*Table13[[#This Row],[Units]]</f>
        <v>1505</v>
      </c>
    </row>
    <row r="1206" spans="1:12" x14ac:dyDescent="0.35">
      <c r="A1206" s="145">
        <v>45729</v>
      </c>
      <c r="B1206" s="146" t="s">
        <v>1710</v>
      </c>
      <c r="C1206" s="147" t="s">
        <v>494</v>
      </c>
      <c r="D1206" s="147" t="s">
        <v>465</v>
      </c>
      <c r="E1206" s="147" t="s">
        <v>333</v>
      </c>
      <c r="F1206" s="147" t="s">
        <v>454</v>
      </c>
      <c r="G1206" s="147">
        <v>55</v>
      </c>
      <c r="H1206" s="148">
        <v>39</v>
      </c>
      <c r="I1206" s="149">
        <f t="shared" si="18"/>
        <v>2145</v>
      </c>
      <c r="J1206" s="150" t="s">
        <v>466</v>
      </c>
      <c r="K1206" s="151">
        <v>57.914999999999999</v>
      </c>
      <c r="L1206">
        <f>Table13[[#This Row],[Price]]*Table13[[#This Row],[Units]]</f>
        <v>2145</v>
      </c>
    </row>
    <row r="1207" spans="1:12" x14ac:dyDescent="0.35">
      <c r="A1207" s="145">
        <v>45729</v>
      </c>
      <c r="B1207" s="146" t="s">
        <v>1711</v>
      </c>
      <c r="C1207" s="147" t="s">
        <v>489</v>
      </c>
      <c r="D1207" s="147" t="s">
        <v>477</v>
      </c>
      <c r="E1207" s="147" t="s">
        <v>324</v>
      </c>
      <c r="F1207" s="147" t="s">
        <v>539</v>
      </c>
      <c r="G1207" s="147">
        <v>49</v>
      </c>
      <c r="H1207" s="148">
        <v>48</v>
      </c>
      <c r="I1207" s="149">
        <f t="shared" si="18"/>
        <v>2352</v>
      </c>
      <c r="J1207" s="150" t="s">
        <v>466</v>
      </c>
      <c r="K1207" s="151">
        <v>58.8</v>
      </c>
      <c r="L1207">
        <f>Table13[[#This Row],[Price]]*Table13[[#This Row],[Units]]</f>
        <v>2352</v>
      </c>
    </row>
    <row r="1208" spans="1:12" x14ac:dyDescent="0.35">
      <c r="A1208" s="145">
        <v>45729</v>
      </c>
      <c r="B1208" s="146" t="s">
        <v>1712</v>
      </c>
      <c r="C1208" s="147" t="s">
        <v>489</v>
      </c>
      <c r="D1208" s="147" t="s">
        <v>470</v>
      </c>
      <c r="E1208" s="147" t="s">
        <v>324</v>
      </c>
      <c r="F1208" s="147" t="s">
        <v>471</v>
      </c>
      <c r="G1208" s="147">
        <v>26</v>
      </c>
      <c r="H1208" s="148">
        <v>37</v>
      </c>
      <c r="I1208" s="149">
        <f t="shared" si="18"/>
        <v>962</v>
      </c>
      <c r="J1208" s="150" t="s">
        <v>466</v>
      </c>
      <c r="K1208" s="151">
        <v>25.974</v>
      </c>
      <c r="L1208">
        <f>Table13[[#This Row],[Price]]*Table13[[#This Row],[Units]]</f>
        <v>962</v>
      </c>
    </row>
    <row r="1209" spans="1:12" x14ac:dyDescent="0.35">
      <c r="A1209" s="145">
        <v>45729</v>
      </c>
      <c r="B1209" s="146" t="s">
        <v>1713</v>
      </c>
      <c r="C1209" s="147" t="s">
        <v>484</v>
      </c>
      <c r="D1209" s="147" t="s">
        <v>470</v>
      </c>
      <c r="E1209" s="147" t="s">
        <v>324</v>
      </c>
      <c r="F1209" s="147" t="s">
        <v>491</v>
      </c>
      <c r="G1209" s="147">
        <v>32</v>
      </c>
      <c r="H1209" s="148">
        <v>46</v>
      </c>
      <c r="I1209" s="149">
        <f t="shared" si="18"/>
        <v>1472</v>
      </c>
      <c r="J1209" s="150" t="s">
        <v>503</v>
      </c>
      <c r="K1209" s="151">
        <v>33.856000000000002</v>
      </c>
      <c r="L1209">
        <f>Table13[[#This Row],[Price]]*Table13[[#This Row],[Units]]</f>
        <v>1472</v>
      </c>
    </row>
    <row r="1210" spans="1:12" x14ac:dyDescent="0.35">
      <c r="A1210" s="145">
        <v>45729</v>
      </c>
      <c r="B1210" s="146" t="s">
        <v>1714</v>
      </c>
      <c r="C1210" s="147" t="s">
        <v>494</v>
      </c>
      <c r="D1210" s="147" t="s">
        <v>470</v>
      </c>
      <c r="E1210" s="147" t="s">
        <v>324</v>
      </c>
      <c r="F1210" s="147" t="s">
        <v>491</v>
      </c>
      <c r="G1210" s="147">
        <v>40</v>
      </c>
      <c r="H1210" s="148">
        <v>48</v>
      </c>
      <c r="I1210" s="149">
        <f t="shared" si="18"/>
        <v>1920</v>
      </c>
      <c r="J1210" s="150" t="s">
        <v>503</v>
      </c>
      <c r="K1210" s="151">
        <v>40.32</v>
      </c>
      <c r="L1210">
        <f>Table13[[#This Row],[Price]]*Table13[[#This Row],[Units]]</f>
        <v>1920</v>
      </c>
    </row>
    <row r="1211" spans="1:12" x14ac:dyDescent="0.35">
      <c r="A1211" s="145">
        <v>45729</v>
      </c>
      <c r="B1211" s="146" t="s">
        <v>1715</v>
      </c>
      <c r="C1211" s="147" t="s">
        <v>484</v>
      </c>
      <c r="D1211" s="147" t="s">
        <v>470</v>
      </c>
      <c r="E1211" s="147" t="s">
        <v>483</v>
      </c>
      <c r="F1211" s="147" t="s">
        <v>478</v>
      </c>
      <c r="G1211" s="147">
        <v>55</v>
      </c>
      <c r="H1211" s="148">
        <v>45</v>
      </c>
      <c r="I1211" s="149">
        <f t="shared" si="18"/>
        <v>2475</v>
      </c>
      <c r="J1211" s="150" t="s">
        <v>515</v>
      </c>
      <c r="K1211" s="151">
        <v>61.875</v>
      </c>
      <c r="L1211">
        <f>Table13[[#This Row],[Price]]*Table13[[#This Row],[Units]]</f>
        <v>2475</v>
      </c>
    </row>
    <row r="1212" spans="1:12" x14ac:dyDescent="0.35">
      <c r="A1212" s="145">
        <v>45729</v>
      </c>
      <c r="B1212" s="146" t="s">
        <v>1716</v>
      </c>
      <c r="C1212" s="147" t="s">
        <v>322</v>
      </c>
      <c r="D1212" s="147" t="s">
        <v>477</v>
      </c>
      <c r="E1212" s="147" t="s">
        <v>390</v>
      </c>
      <c r="F1212" s="147" t="s">
        <v>528</v>
      </c>
      <c r="G1212" s="147">
        <v>16</v>
      </c>
      <c r="H1212" s="148">
        <v>35</v>
      </c>
      <c r="I1212" s="149">
        <f t="shared" si="18"/>
        <v>560</v>
      </c>
      <c r="J1212" s="150" t="s">
        <v>466</v>
      </c>
      <c r="K1212" s="151">
        <v>13.44</v>
      </c>
      <c r="L1212">
        <f>Table13[[#This Row],[Price]]*Table13[[#This Row],[Units]]</f>
        <v>560</v>
      </c>
    </row>
    <row r="1213" spans="1:12" x14ac:dyDescent="0.35">
      <c r="A1213" s="145">
        <v>45729</v>
      </c>
      <c r="B1213" s="146" t="s">
        <v>1717</v>
      </c>
      <c r="C1213" s="147" t="s">
        <v>464</v>
      </c>
      <c r="D1213" s="147" t="s">
        <v>512</v>
      </c>
      <c r="E1213" s="147" t="s">
        <v>324</v>
      </c>
      <c r="F1213" s="147" t="s">
        <v>491</v>
      </c>
      <c r="G1213" s="147">
        <v>55</v>
      </c>
      <c r="H1213" s="148">
        <v>48</v>
      </c>
      <c r="I1213" s="149">
        <f t="shared" si="18"/>
        <v>2640</v>
      </c>
      <c r="J1213" s="150" t="s">
        <v>466</v>
      </c>
      <c r="K1213" s="151">
        <v>60.72</v>
      </c>
      <c r="L1213">
        <f>Table13[[#This Row],[Price]]*Table13[[#This Row],[Units]]</f>
        <v>2640</v>
      </c>
    </row>
    <row r="1214" spans="1:12" x14ac:dyDescent="0.35">
      <c r="A1214" s="145">
        <v>45729</v>
      </c>
      <c r="B1214" s="146" t="s">
        <v>1718</v>
      </c>
      <c r="C1214" s="147" t="s">
        <v>494</v>
      </c>
      <c r="D1214" s="147" t="s">
        <v>490</v>
      </c>
      <c r="E1214" s="147" t="s">
        <v>390</v>
      </c>
      <c r="F1214" s="147" t="s">
        <v>478</v>
      </c>
      <c r="G1214" s="147">
        <v>31</v>
      </c>
      <c r="H1214" s="148">
        <v>26</v>
      </c>
      <c r="I1214" s="149">
        <f t="shared" si="18"/>
        <v>806</v>
      </c>
      <c r="J1214" s="150" t="s">
        <v>503</v>
      </c>
      <c r="K1214" s="151">
        <v>17.731999999999999</v>
      </c>
      <c r="L1214">
        <f>Table13[[#This Row],[Price]]*Table13[[#This Row],[Units]]</f>
        <v>806</v>
      </c>
    </row>
    <row r="1215" spans="1:12" x14ac:dyDescent="0.35">
      <c r="A1215" s="145">
        <v>45729</v>
      </c>
      <c r="B1215" s="146" t="s">
        <v>1719</v>
      </c>
      <c r="C1215" s="147" t="s">
        <v>322</v>
      </c>
      <c r="D1215" s="147" t="s">
        <v>486</v>
      </c>
      <c r="E1215" s="147" t="s">
        <v>333</v>
      </c>
      <c r="F1215" s="147" t="s">
        <v>528</v>
      </c>
      <c r="G1215" s="147">
        <v>15</v>
      </c>
      <c r="H1215" s="148">
        <v>58</v>
      </c>
      <c r="I1215" s="149">
        <f t="shared" si="18"/>
        <v>870</v>
      </c>
      <c r="J1215" s="150" t="s">
        <v>472</v>
      </c>
      <c r="K1215" s="151">
        <v>26.1</v>
      </c>
      <c r="L1215">
        <f>Table13[[#This Row],[Price]]*Table13[[#This Row],[Units]]</f>
        <v>870</v>
      </c>
    </row>
    <row r="1216" spans="1:12" x14ac:dyDescent="0.35">
      <c r="A1216" s="145">
        <v>45729</v>
      </c>
      <c r="B1216" s="146" t="s">
        <v>1720</v>
      </c>
      <c r="C1216" s="147" t="s">
        <v>489</v>
      </c>
      <c r="D1216" s="147" t="s">
        <v>465</v>
      </c>
      <c r="E1216" s="147" t="s">
        <v>483</v>
      </c>
      <c r="F1216" s="147" t="s">
        <v>520</v>
      </c>
      <c r="G1216" s="147">
        <v>15</v>
      </c>
      <c r="H1216" s="148">
        <v>34</v>
      </c>
      <c r="I1216" s="149">
        <f t="shared" si="18"/>
        <v>510</v>
      </c>
      <c r="J1216" s="150" t="s">
        <v>472</v>
      </c>
      <c r="K1216" s="151">
        <v>14.28</v>
      </c>
      <c r="L1216">
        <f>Table13[[#This Row],[Price]]*Table13[[#This Row],[Units]]</f>
        <v>510</v>
      </c>
    </row>
    <row r="1217" spans="1:12" x14ac:dyDescent="0.35">
      <c r="A1217" s="145">
        <v>45729</v>
      </c>
      <c r="B1217" s="146" t="s">
        <v>1721</v>
      </c>
      <c r="C1217" s="147" t="s">
        <v>501</v>
      </c>
      <c r="D1217" s="147" t="s">
        <v>512</v>
      </c>
      <c r="E1217" s="147" t="s">
        <v>315</v>
      </c>
      <c r="F1217" s="147" t="s">
        <v>454</v>
      </c>
      <c r="G1217" s="147">
        <v>21</v>
      </c>
      <c r="H1217" s="148">
        <v>37</v>
      </c>
      <c r="I1217" s="149">
        <f t="shared" si="18"/>
        <v>777</v>
      </c>
      <c r="J1217" s="150" t="s">
        <v>466</v>
      </c>
      <c r="K1217" s="151">
        <v>19.425000000000001</v>
      </c>
      <c r="L1217">
        <f>Table13[[#This Row],[Price]]*Table13[[#This Row],[Units]]</f>
        <v>777</v>
      </c>
    </row>
    <row r="1218" spans="1:12" x14ac:dyDescent="0.35">
      <c r="A1218" s="145">
        <v>45729</v>
      </c>
      <c r="B1218" s="146" t="s">
        <v>1722</v>
      </c>
      <c r="C1218" s="147" t="s">
        <v>494</v>
      </c>
      <c r="D1218" s="147" t="s">
        <v>477</v>
      </c>
      <c r="E1218" s="147" t="s">
        <v>320</v>
      </c>
      <c r="F1218" s="147" t="s">
        <v>539</v>
      </c>
      <c r="G1218" s="147">
        <v>30</v>
      </c>
      <c r="H1218" s="148">
        <v>25</v>
      </c>
      <c r="I1218" s="149">
        <f t="shared" si="18"/>
        <v>750</v>
      </c>
      <c r="J1218" s="150" t="s">
        <v>466</v>
      </c>
      <c r="K1218" s="151">
        <v>21</v>
      </c>
      <c r="L1218">
        <f>Table13[[#This Row],[Price]]*Table13[[#This Row],[Units]]</f>
        <v>750</v>
      </c>
    </row>
    <row r="1219" spans="1:12" x14ac:dyDescent="0.35">
      <c r="A1219" s="145">
        <v>45729</v>
      </c>
      <c r="B1219" s="146" t="s">
        <v>1723</v>
      </c>
      <c r="C1219" s="147" t="s">
        <v>489</v>
      </c>
      <c r="D1219" s="147" t="s">
        <v>519</v>
      </c>
      <c r="E1219" s="147" t="s">
        <v>333</v>
      </c>
      <c r="F1219" s="147" t="s">
        <v>454</v>
      </c>
      <c r="G1219" s="147">
        <v>49</v>
      </c>
      <c r="H1219" s="148">
        <v>50</v>
      </c>
      <c r="I1219" s="149">
        <f t="shared" ref="I1219:I1227" si="19">G1219*H1219</f>
        <v>2450</v>
      </c>
      <c r="J1219" s="150" t="s">
        <v>472</v>
      </c>
      <c r="K1219" s="151">
        <v>53.9</v>
      </c>
      <c r="L1219">
        <f>Table13[[#This Row],[Price]]*Table13[[#This Row],[Units]]</f>
        <v>2450</v>
      </c>
    </row>
    <row r="1220" spans="1:12" x14ac:dyDescent="0.35">
      <c r="A1220" s="145">
        <v>45729</v>
      </c>
      <c r="B1220" s="146" t="s">
        <v>1724</v>
      </c>
      <c r="C1220" s="147" t="s">
        <v>476</v>
      </c>
      <c r="D1220" s="147" t="s">
        <v>470</v>
      </c>
      <c r="E1220" s="147" t="s">
        <v>324</v>
      </c>
      <c r="F1220" s="147" t="s">
        <v>567</v>
      </c>
      <c r="G1220" s="147">
        <v>14</v>
      </c>
      <c r="H1220" s="148">
        <v>59</v>
      </c>
      <c r="I1220" s="149">
        <f t="shared" si="19"/>
        <v>826</v>
      </c>
      <c r="J1220" s="150" t="s">
        <v>466</v>
      </c>
      <c r="K1220" s="151">
        <v>21.475999999999999</v>
      </c>
      <c r="L1220">
        <f>Table13[[#This Row],[Price]]*Table13[[#This Row],[Units]]</f>
        <v>826</v>
      </c>
    </row>
    <row r="1221" spans="1:12" x14ac:dyDescent="0.35">
      <c r="A1221" s="145">
        <v>45729</v>
      </c>
      <c r="B1221" s="146" t="s">
        <v>1725</v>
      </c>
      <c r="C1221" s="147" t="s">
        <v>501</v>
      </c>
      <c r="D1221" s="147" t="s">
        <v>519</v>
      </c>
      <c r="E1221" s="147" t="s">
        <v>320</v>
      </c>
      <c r="F1221" s="147" t="s">
        <v>471</v>
      </c>
      <c r="G1221" s="147">
        <v>52</v>
      </c>
      <c r="H1221" s="148">
        <v>50</v>
      </c>
      <c r="I1221" s="149">
        <f t="shared" si="19"/>
        <v>2600</v>
      </c>
      <c r="J1221" s="150" t="s">
        <v>472</v>
      </c>
      <c r="K1221" s="151">
        <v>59.8</v>
      </c>
      <c r="L1221">
        <f>Table13[[#This Row],[Price]]*Table13[[#This Row],[Units]]</f>
        <v>2600</v>
      </c>
    </row>
    <row r="1222" spans="1:12" x14ac:dyDescent="0.35">
      <c r="A1222" s="145">
        <v>45729</v>
      </c>
      <c r="B1222" s="146" t="s">
        <v>1726</v>
      </c>
      <c r="C1222" s="147" t="s">
        <v>464</v>
      </c>
      <c r="D1222" s="147" t="s">
        <v>477</v>
      </c>
      <c r="E1222" s="147" t="s">
        <v>315</v>
      </c>
      <c r="F1222" s="147" t="s">
        <v>520</v>
      </c>
      <c r="G1222" s="147">
        <v>14</v>
      </c>
      <c r="H1222" s="148">
        <v>29</v>
      </c>
      <c r="I1222" s="149">
        <f t="shared" si="19"/>
        <v>406</v>
      </c>
      <c r="J1222" s="150" t="s">
        <v>472</v>
      </c>
      <c r="K1222" s="151">
        <v>10.555999999999999</v>
      </c>
      <c r="L1222">
        <f>Table13[[#This Row],[Price]]*Table13[[#This Row],[Units]]</f>
        <v>406</v>
      </c>
    </row>
    <row r="1223" spans="1:12" x14ac:dyDescent="0.35">
      <c r="A1223" s="145">
        <v>45729</v>
      </c>
      <c r="B1223" s="146" t="s">
        <v>1727</v>
      </c>
      <c r="C1223" s="147" t="s">
        <v>322</v>
      </c>
      <c r="D1223" s="147" t="s">
        <v>490</v>
      </c>
      <c r="E1223" s="147" t="s">
        <v>320</v>
      </c>
      <c r="F1223" s="147" t="s">
        <v>478</v>
      </c>
      <c r="G1223" s="147">
        <v>40</v>
      </c>
      <c r="H1223" s="148">
        <v>49</v>
      </c>
      <c r="I1223" s="149">
        <f t="shared" si="19"/>
        <v>1960</v>
      </c>
      <c r="J1223" s="150" t="s">
        <v>466</v>
      </c>
      <c r="K1223" s="151">
        <v>56.84</v>
      </c>
      <c r="L1223">
        <f>Table13[[#This Row],[Price]]*Table13[[#This Row],[Units]]</f>
        <v>1960</v>
      </c>
    </row>
    <row r="1224" spans="1:12" x14ac:dyDescent="0.35">
      <c r="A1224" s="145">
        <v>45729</v>
      </c>
      <c r="B1224" s="146" t="s">
        <v>1728</v>
      </c>
      <c r="C1224" s="147" t="s">
        <v>484</v>
      </c>
      <c r="D1224" s="147" t="s">
        <v>490</v>
      </c>
      <c r="E1224" s="147" t="s">
        <v>324</v>
      </c>
      <c r="F1224" s="147" t="s">
        <v>536</v>
      </c>
      <c r="G1224" s="147">
        <v>44</v>
      </c>
      <c r="H1224" s="148">
        <v>57</v>
      </c>
      <c r="I1224" s="149">
        <f t="shared" si="19"/>
        <v>2508</v>
      </c>
      <c r="J1224" s="150" t="s">
        <v>503</v>
      </c>
      <c r="K1224" s="151">
        <v>75.239999999999995</v>
      </c>
      <c r="L1224">
        <f>Table13[[#This Row],[Price]]*Table13[[#This Row],[Units]]</f>
        <v>2508</v>
      </c>
    </row>
    <row r="1225" spans="1:12" x14ac:dyDescent="0.35">
      <c r="A1225" s="145">
        <v>45729</v>
      </c>
      <c r="B1225" s="146" t="s">
        <v>1729</v>
      </c>
      <c r="C1225" s="147" t="s">
        <v>322</v>
      </c>
      <c r="D1225" s="147" t="s">
        <v>470</v>
      </c>
      <c r="E1225" s="147" t="s">
        <v>324</v>
      </c>
      <c r="F1225" s="147" t="s">
        <v>454</v>
      </c>
      <c r="G1225" s="147">
        <v>45</v>
      </c>
      <c r="H1225" s="148">
        <v>28</v>
      </c>
      <c r="I1225" s="149">
        <f t="shared" si="19"/>
        <v>1260</v>
      </c>
      <c r="J1225" s="150" t="s">
        <v>472</v>
      </c>
      <c r="K1225" s="151">
        <v>31.5</v>
      </c>
      <c r="L1225">
        <f>Table13[[#This Row],[Price]]*Table13[[#This Row],[Units]]</f>
        <v>1260</v>
      </c>
    </row>
    <row r="1226" spans="1:12" x14ac:dyDescent="0.35">
      <c r="A1226" s="145">
        <v>45729</v>
      </c>
      <c r="B1226" s="146" t="s">
        <v>1730</v>
      </c>
      <c r="C1226" s="147" t="s">
        <v>464</v>
      </c>
      <c r="D1226" s="147" t="s">
        <v>470</v>
      </c>
      <c r="E1226" s="147" t="s">
        <v>390</v>
      </c>
      <c r="F1226" s="147" t="s">
        <v>523</v>
      </c>
      <c r="G1226" s="147">
        <v>56</v>
      </c>
      <c r="H1226" s="148">
        <v>28</v>
      </c>
      <c r="I1226" s="149">
        <f t="shared" si="19"/>
        <v>1568</v>
      </c>
      <c r="J1226" s="150" t="s">
        <v>466</v>
      </c>
      <c r="K1226" s="151">
        <v>47.04</v>
      </c>
      <c r="L1226">
        <f>Table13[[#This Row],[Price]]*Table13[[#This Row],[Units]]</f>
        <v>1568</v>
      </c>
    </row>
    <row r="1227" spans="1:12" ht="16" thickBot="1" x14ac:dyDescent="0.4">
      <c r="A1227" s="154">
        <v>45729</v>
      </c>
      <c r="B1227" s="146" t="s">
        <v>1731</v>
      </c>
      <c r="C1227" s="147" t="s">
        <v>484</v>
      </c>
      <c r="D1227" s="147" t="s">
        <v>490</v>
      </c>
      <c r="E1227" s="147" t="s">
        <v>315</v>
      </c>
      <c r="F1227" s="147" t="s">
        <v>500</v>
      </c>
      <c r="G1227" s="147">
        <v>60</v>
      </c>
      <c r="H1227" s="148">
        <v>48</v>
      </c>
      <c r="I1227" s="149">
        <f t="shared" si="19"/>
        <v>2880</v>
      </c>
      <c r="J1227" s="150" t="s">
        <v>472</v>
      </c>
      <c r="K1227" s="155">
        <v>86.4</v>
      </c>
      <c r="L1227">
        <f>Table13[[#This Row],[Price]]*Table13[[#This Row],[Units]]</f>
        <v>2880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D54B-F7DC-4A4C-AF94-C5BBF715F747}">
  <sheetPr codeName="Sheet10"/>
  <dimension ref="A2:M449"/>
  <sheetViews>
    <sheetView zoomScale="140" zoomScaleNormal="140" workbookViewId="0">
      <selection activeCell="A8" sqref="A8:F8"/>
    </sheetView>
  </sheetViews>
  <sheetFormatPr defaultColWidth="8.6640625" defaultRowHeight="15.5" x14ac:dyDescent="0.35"/>
  <cols>
    <col min="1" max="1" width="6.08203125" style="158" customWidth="1"/>
    <col min="2" max="2" width="12.08203125" style="162" customWidth="1"/>
    <col min="3" max="3" width="10.58203125" style="162" customWidth="1"/>
    <col min="4" max="4" width="9.5" style="162" customWidth="1"/>
    <col min="5" max="5" width="8.1640625" style="162" customWidth="1"/>
    <col min="6" max="6" width="12.9140625" style="162" customWidth="1"/>
    <col min="7" max="7" width="8.6640625" style="162"/>
    <col min="8" max="19" width="11.08203125" style="162" customWidth="1"/>
    <col min="20" max="16384" width="8.6640625" style="162"/>
  </cols>
  <sheetData>
    <row r="2" spans="1:13" x14ac:dyDescent="0.35">
      <c r="B2" s="159" t="s">
        <v>1732</v>
      </c>
      <c r="C2" s="160">
        <v>400000</v>
      </c>
      <c r="D2" s="161"/>
    </row>
    <row r="3" spans="1:13" x14ac:dyDescent="0.35">
      <c r="B3" s="159" t="s">
        <v>1733</v>
      </c>
      <c r="C3" s="163">
        <v>0.04</v>
      </c>
      <c r="E3" s="164"/>
      <c r="H3" s="165"/>
      <c r="I3" s="166"/>
    </row>
    <row r="4" spans="1:13" ht="21" x14ac:dyDescent="0.5">
      <c r="B4" s="159" t="s">
        <v>1734</v>
      </c>
      <c r="C4" s="167">
        <v>30</v>
      </c>
      <c r="E4" s="168" t="s">
        <v>1735</v>
      </c>
      <c r="I4" s="166"/>
    </row>
    <row r="5" spans="1:13" s="171" customFormat="1" ht="22.5" customHeight="1" x14ac:dyDescent="0.5">
      <c r="A5" s="158"/>
      <c r="B5" s="169" t="s">
        <v>1736</v>
      </c>
      <c r="C5" s="170">
        <f>-PMT(C3/12,C4*12,C2)</f>
        <v>1909.6611818618378</v>
      </c>
      <c r="E5" s="168" t="s">
        <v>1737</v>
      </c>
      <c r="I5" s="166"/>
    </row>
    <row r="6" spans="1:13" ht="33" customHeight="1" x14ac:dyDescent="0.35">
      <c r="B6" s="169" t="s">
        <v>1738</v>
      </c>
      <c r="C6" s="172">
        <f>MOD(A11,3)</f>
        <v>1</v>
      </c>
      <c r="H6" s="173"/>
      <c r="I6" s="166"/>
    </row>
    <row r="7" spans="1:13" ht="16" thickBot="1" x14ac:dyDescent="0.4">
      <c r="H7" s="173"/>
      <c r="I7" s="166"/>
    </row>
    <row r="8" spans="1:13" ht="16" thickBot="1" x14ac:dyDescent="0.4">
      <c r="A8" s="174" t="s">
        <v>1739</v>
      </c>
      <c r="B8" s="175"/>
      <c r="C8" s="175"/>
      <c r="D8" s="175"/>
      <c r="E8" s="175"/>
      <c r="F8" s="176"/>
    </row>
    <row r="9" spans="1:13" ht="32.25" customHeight="1" x14ac:dyDescent="0.35">
      <c r="A9" s="177" t="s">
        <v>1740</v>
      </c>
      <c r="B9" s="178" t="s">
        <v>1741</v>
      </c>
      <c r="C9" s="178" t="s">
        <v>1742</v>
      </c>
      <c r="D9" s="178" t="s">
        <v>1743</v>
      </c>
      <c r="E9" s="178" t="s">
        <v>1744</v>
      </c>
      <c r="F9" s="179" t="s">
        <v>1745</v>
      </c>
    </row>
    <row r="10" spans="1:13" ht="18" customHeight="1" x14ac:dyDescent="0.35">
      <c r="A10" s="180">
        <v>0</v>
      </c>
      <c r="B10" s="181"/>
      <c r="C10" s="182"/>
      <c r="D10" s="183"/>
      <c r="E10" s="182"/>
      <c r="F10" s="184">
        <f>C2</f>
        <v>400000</v>
      </c>
    </row>
    <row r="11" spans="1:13" x14ac:dyDescent="0.35">
      <c r="A11" s="185">
        <v>1</v>
      </c>
      <c r="B11" s="186">
        <f>F10</f>
        <v>400000</v>
      </c>
      <c r="C11" s="187">
        <f>B11*$C$3/12</f>
        <v>1333.3333333333333</v>
      </c>
      <c r="D11" s="188">
        <f>$C$5</f>
        <v>1909.6611818618378</v>
      </c>
      <c r="E11" s="186">
        <f ca="1">IF(MOD(A11,3)=0,RANDBETWEEN(100,200),0)</f>
        <v>0</v>
      </c>
      <c r="F11" s="189">
        <f ca="1">B11+C11-D11-E11</f>
        <v>399423.67215147149</v>
      </c>
    </row>
    <row r="12" spans="1:13" x14ac:dyDescent="0.35">
      <c r="A12" s="190">
        <v>2</v>
      </c>
      <c r="B12" s="186">
        <f t="shared" ref="B12:B75" ca="1" si="0">F11</f>
        <v>399423.67215147149</v>
      </c>
      <c r="C12" s="187">
        <f t="shared" ref="C12:C75" ca="1" si="1">B12*$C$3/12</f>
        <v>1331.412240504905</v>
      </c>
      <c r="D12" s="188">
        <f t="shared" ref="D12:D75" si="2">$C$5</f>
        <v>1909.6611818618378</v>
      </c>
      <c r="E12" s="186">
        <f t="shared" ref="E12:E75" ca="1" si="3">IF(MOD(A12,3)=0,RANDBETWEEN(100,200),0)</f>
        <v>0</v>
      </c>
      <c r="F12" s="189">
        <f t="shared" ref="F12:F75" ca="1" si="4">B12+C12-D12-E12</f>
        <v>398845.42321011459</v>
      </c>
    </row>
    <row r="13" spans="1:13" x14ac:dyDescent="0.35">
      <c r="A13" s="190">
        <v>3</v>
      </c>
      <c r="B13" s="186">
        <f t="shared" ca="1" si="0"/>
        <v>398845.42321011459</v>
      </c>
      <c r="C13" s="187">
        <f t="shared" ca="1" si="1"/>
        <v>1329.4847440337153</v>
      </c>
      <c r="D13" s="188">
        <f t="shared" si="2"/>
        <v>1909.6611818618378</v>
      </c>
      <c r="E13" s="186">
        <f t="shared" ca="1" si="3"/>
        <v>130</v>
      </c>
      <c r="F13" s="189">
        <f t="shared" ca="1" si="4"/>
        <v>398135.24677228648</v>
      </c>
      <c r="K13" s="191"/>
      <c r="L13" s="192"/>
      <c r="M13" s="193"/>
    </row>
    <row r="14" spans="1:13" x14ac:dyDescent="0.35">
      <c r="A14" s="190">
        <v>4</v>
      </c>
      <c r="B14" s="186">
        <f t="shared" ca="1" si="0"/>
        <v>398135.24677228648</v>
      </c>
      <c r="C14" s="187">
        <f t="shared" ca="1" si="1"/>
        <v>1327.1174892409549</v>
      </c>
      <c r="D14" s="188">
        <f t="shared" si="2"/>
        <v>1909.6611818618378</v>
      </c>
      <c r="E14" s="186">
        <f t="shared" ca="1" si="3"/>
        <v>0</v>
      </c>
      <c r="F14" s="189">
        <f t="shared" ca="1" si="4"/>
        <v>397552.7030796656</v>
      </c>
      <c r="H14" s="164"/>
      <c r="K14" s="191"/>
      <c r="L14" s="192"/>
    </row>
    <row r="15" spans="1:13" x14ac:dyDescent="0.35">
      <c r="A15" s="190">
        <v>5</v>
      </c>
      <c r="B15" s="186">
        <f t="shared" ca="1" si="0"/>
        <v>397552.7030796656</v>
      </c>
      <c r="C15" s="187">
        <f t="shared" ca="1" si="1"/>
        <v>1325.1756769322187</v>
      </c>
      <c r="D15" s="188">
        <f t="shared" si="2"/>
        <v>1909.6611818618378</v>
      </c>
      <c r="E15" s="186">
        <f t="shared" ca="1" si="3"/>
        <v>0</v>
      </c>
      <c r="F15" s="189">
        <f t="shared" ca="1" si="4"/>
        <v>396968.21757473599</v>
      </c>
      <c r="K15" s="191"/>
      <c r="L15" s="192"/>
    </row>
    <row r="16" spans="1:13" x14ac:dyDescent="0.35">
      <c r="A16" s="190">
        <v>6</v>
      </c>
      <c r="B16" s="186">
        <f t="shared" ca="1" si="0"/>
        <v>396968.21757473599</v>
      </c>
      <c r="C16" s="187">
        <f t="shared" ca="1" si="1"/>
        <v>1323.2273919157867</v>
      </c>
      <c r="D16" s="188">
        <f t="shared" si="2"/>
        <v>1909.6611818618378</v>
      </c>
      <c r="E16" s="186">
        <f t="shared" ca="1" si="3"/>
        <v>140</v>
      </c>
      <c r="F16" s="189">
        <f t="shared" ca="1" si="4"/>
        <v>396241.78378478996</v>
      </c>
      <c r="K16" s="191"/>
    </row>
    <row r="17" spans="1:6" x14ac:dyDescent="0.35">
      <c r="A17" s="190">
        <v>7</v>
      </c>
      <c r="B17" s="186">
        <f t="shared" ca="1" si="0"/>
        <v>396241.78378478996</v>
      </c>
      <c r="C17" s="187">
        <f t="shared" ca="1" si="1"/>
        <v>1320.8059459492999</v>
      </c>
      <c r="D17" s="188">
        <f t="shared" si="2"/>
        <v>1909.6611818618378</v>
      </c>
      <c r="E17" s="186">
        <f t="shared" ca="1" si="3"/>
        <v>0</v>
      </c>
      <c r="F17" s="189">
        <f t="shared" ca="1" si="4"/>
        <v>395652.92854887742</v>
      </c>
    </row>
    <row r="18" spans="1:6" x14ac:dyDescent="0.35">
      <c r="A18" s="190">
        <v>8</v>
      </c>
      <c r="B18" s="186">
        <f t="shared" ca="1" si="0"/>
        <v>395652.92854887742</v>
      </c>
      <c r="C18" s="187">
        <f t="shared" ca="1" si="1"/>
        <v>1318.8430951629248</v>
      </c>
      <c r="D18" s="188">
        <f t="shared" si="2"/>
        <v>1909.6611818618378</v>
      </c>
      <c r="E18" s="186">
        <f t="shared" ca="1" si="3"/>
        <v>0</v>
      </c>
      <c r="F18" s="189">
        <f t="shared" ca="1" si="4"/>
        <v>395062.11046217853</v>
      </c>
    </row>
    <row r="19" spans="1:6" x14ac:dyDescent="0.35">
      <c r="A19" s="190">
        <v>9</v>
      </c>
      <c r="B19" s="186">
        <f t="shared" ca="1" si="0"/>
        <v>395062.11046217853</v>
      </c>
      <c r="C19" s="187">
        <f t="shared" ca="1" si="1"/>
        <v>1316.8737015405952</v>
      </c>
      <c r="D19" s="188">
        <f t="shared" si="2"/>
        <v>1909.6611818618378</v>
      </c>
      <c r="E19" s="186">
        <f t="shared" ca="1" si="3"/>
        <v>115</v>
      </c>
      <c r="F19" s="189">
        <f t="shared" ca="1" si="4"/>
        <v>394354.32298185729</v>
      </c>
    </row>
    <row r="20" spans="1:6" x14ac:dyDescent="0.35">
      <c r="A20" s="190">
        <v>10</v>
      </c>
      <c r="B20" s="186">
        <f t="shared" ca="1" si="0"/>
        <v>394354.32298185729</v>
      </c>
      <c r="C20" s="187">
        <f t="shared" ca="1" si="1"/>
        <v>1314.5144099395243</v>
      </c>
      <c r="D20" s="188">
        <f t="shared" si="2"/>
        <v>1909.6611818618378</v>
      </c>
      <c r="E20" s="186">
        <f t="shared" ca="1" si="3"/>
        <v>0</v>
      </c>
      <c r="F20" s="189">
        <f t="shared" ca="1" si="4"/>
        <v>393759.17620993499</v>
      </c>
    </row>
    <row r="21" spans="1:6" x14ac:dyDescent="0.35">
      <c r="A21" s="190">
        <v>11</v>
      </c>
      <c r="B21" s="186">
        <f t="shared" ca="1" si="0"/>
        <v>393759.17620993499</v>
      </c>
      <c r="C21" s="187">
        <f t="shared" ca="1" si="1"/>
        <v>1312.5305873664499</v>
      </c>
      <c r="D21" s="188">
        <f t="shared" si="2"/>
        <v>1909.6611818618378</v>
      </c>
      <c r="E21" s="186">
        <f t="shared" ca="1" si="3"/>
        <v>0</v>
      </c>
      <c r="F21" s="189">
        <f t="shared" ca="1" si="4"/>
        <v>393162.04561543959</v>
      </c>
    </row>
    <row r="22" spans="1:6" x14ac:dyDescent="0.35">
      <c r="A22" s="190">
        <v>12</v>
      </c>
      <c r="B22" s="186">
        <f t="shared" ca="1" si="0"/>
        <v>393162.04561543959</v>
      </c>
      <c r="C22" s="187">
        <f t="shared" ca="1" si="1"/>
        <v>1310.5401520514654</v>
      </c>
      <c r="D22" s="188">
        <f t="shared" si="2"/>
        <v>1909.6611818618378</v>
      </c>
      <c r="E22" s="186">
        <f t="shared" ca="1" si="3"/>
        <v>171</v>
      </c>
      <c r="F22" s="189">
        <f t="shared" ca="1" si="4"/>
        <v>392391.92458562925</v>
      </c>
    </row>
    <row r="23" spans="1:6" x14ac:dyDescent="0.35">
      <c r="A23" s="190">
        <v>13</v>
      </c>
      <c r="B23" s="186">
        <f t="shared" ca="1" si="0"/>
        <v>392391.92458562925</v>
      </c>
      <c r="C23" s="187">
        <f t="shared" ca="1" si="1"/>
        <v>1307.9730819520976</v>
      </c>
      <c r="D23" s="188">
        <f t="shared" si="2"/>
        <v>1909.6611818618378</v>
      </c>
      <c r="E23" s="186">
        <f t="shared" ca="1" si="3"/>
        <v>0</v>
      </c>
      <c r="F23" s="189">
        <f t="shared" ca="1" si="4"/>
        <v>391790.23648571951</v>
      </c>
    </row>
    <row r="24" spans="1:6" x14ac:dyDescent="0.35">
      <c r="A24" s="190">
        <v>14</v>
      </c>
      <c r="B24" s="186">
        <f t="shared" ca="1" si="0"/>
        <v>391790.23648571951</v>
      </c>
      <c r="C24" s="187">
        <f t="shared" ca="1" si="1"/>
        <v>1305.9674549523984</v>
      </c>
      <c r="D24" s="188">
        <f t="shared" si="2"/>
        <v>1909.6611818618378</v>
      </c>
      <c r="E24" s="186">
        <f t="shared" ca="1" si="3"/>
        <v>0</v>
      </c>
      <c r="F24" s="189">
        <f t="shared" ca="1" si="4"/>
        <v>391186.5427588101</v>
      </c>
    </row>
    <row r="25" spans="1:6" x14ac:dyDescent="0.35">
      <c r="A25" s="190">
        <v>15</v>
      </c>
      <c r="B25" s="186">
        <f t="shared" ca="1" si="0"/>
        <v>391186.5427588101</v>
      </c>
      <c r="C25" s="187">
        <f t="shared" ca="1" si="1"/>
        <v>1303.9551425293671</v>
      </c>
      <c r="D25" s="188">
        <f t="shared" si="2"/>
        <v>1909.6611818618378</v>
      </c>
      <c r="E25" s="186">
        <f t="shared" ca="1" si="3"/>
        <v>140</v>
      </c>
      <c r="F25" s="189">
        <f t="shared" ca="1" si="4"/>
        <v>390440.83671947767</v>
      </c>
    </row>
    <row r="26" spans="1:6" x14ac:dyDescent="0.35">
      <c r="A26" s="190">
        <v>16</v>
      </c>
      <c r="B26" s="186">
        <f t="shared" ca="1" si="0"/>
        <v>390440.83671947767</v>
      </c>
      <c r="C26" s="187">
        <f t="shared" ca="1" si="1"/>
        <v>1301.4694557315922</v>
      </c>
      <c r="D26" s="188">
        <f t="shared" si="2"/>
        <v>1909.6611818618378</v>
      </c>
      <c r="E26" s="186">
        <f t="shared" ca="1" si="3"/>
        <v>0</v>
      </c>
      <c r="F26" s="189">
        <f t="shared" ca="1" si="4"/>
        <v>389832.64499334741</v>
      </c>
    </row>
    <row r="27" spans="1:6" x14ac:dyDescent="0.35">
      <c r="A27" s="190">
        <v>17</v>
      </c>
      <c r="B27" s="186">
        <f t="shared" ca="1" si="0"/>
        <v>389832.64499334741</v>
      </c>
      <c r="C27" s="187">
        <f t="shared" ca="1" si="1"/>
        <v>1299.4421499778248</v>
      </c>
      <c r="D27" s="188">
        <f t="shared" si="2"/>
        <v>1909.6611818618378</v>
      </c>
      <c r="E27" s="186">
        <f t="shared" ca="1" si="3"/>
        <v>0</v>
      </c>
      <c r="F27" s="189">
        <f t="shared" ca="1" si="4"/>
        <v>389222.42596146342</v>
      </c>
    </row>
    <row r="28" spans="1:6" x14ac:dyDescent="0.35">
      <c r="A28" s="190">
        <v>18</v>
      </c>
      <c r="B28" s="186">
        <f t="shared" ca="1" si="0"/>
        <v>389222.42596146342</v>
      </c>
      <c r="C28" s="187">
        <f t="shared" ca="1" si="1"/>
        <v>1297.4080865382114</v>
      </c>
      <c r="D28" s="188">
        <f t="shared" si="2"/>
        <v>1909.6611818618378</v>
      </c>
      <c r="E28" s="186">
        <f t="shared" ca="1" si="3"/>
        <v>164</v>
      </c>
      <c r="F28" s="189">
        <f t="shared" ca="1" si="4"/>
        <v>388446.17286613979</v>
      </c>
    </row>
    <row r="29" spans="1:6" x14ac:dyDescent="0.35">
      <c r="A29" s="190">
        <v>19</v>
      </c>
      <c r="B29" s="186">
        <f t="shared" ca="1" si="0"/>
        <v>388446.17286613979</v>
      </c>
      <c r="C29" s="187">
        <f t="shared" ca="1" si="1"/>
        <v>1294.8205762204659</v>
      </c>
      <c r="D29" s="188">
        <f t="shared" si="2"/>
        <v>1909.6611818618378</v>
      </c>
      <c r="E29" s="186">
        <f t="shared" ca="1" si="3"/>
        <v>0</v>
      </c>
      <c r="F29" s="189">
        <f t="shared" ca="1" si="4"/>
        <v>387831.33226049843</v>
      </c>
    </row>
    <row r="30" spans="1:6" x14ac:dyDescent="0.35">
      <c r="A30" s="190">
        <v>20</v>
      </c>
      <c r="B30" s="186">
        <f t="shared" ca="1" si="0"/>
        <v>387831.33226049843</v>
      </c>
      <c r="C30" s="187">
        <f t="shared" ca="1" si="1"/>
        <v>1292.7711075349948</v>
      </c>
      <c r="D30" s="188">
        <f t="shared" si="2"/>
        <v>1909.6611818618378</v>
      </c>
      <c r="E30" s="186">
        <f t="shared" ca="1" si="3"/>
        <v>0</v>
      </c>
      <c r="F30" s="189">
        <f t="shared" ca="1" si="4"/>
        <v>387214.4421861716</v>
      </c>
    </row>
    <row r="31" spans="1:6" x14ac:dyDescent="0.35">
      <c r="A31" s="190">
        <v>21</v>
      </c>
      <c r="B31" s="186">
        <f t="shared" ca="1" si="0"/>
        <v>387214.4421861716</v>
      </c>
      <c r="C31" s="187">
        <f t="shared" ca="1" si="1"/>
        <v>1290.7148072872387</v>
      </c>
      <c r="D31" s="188">
        <f t="shared" si="2"/>
        <v>1909.6611818618378</v>
      </c>
      <c r="E31" s="186">
        <f t="shared" ca="1" si="3"/>
        <v>156</v>
      </c>
      <c r="F31" s="189">
        <f t="shared" ca="1" si="4"/>
        <v>386439.49581159704</v>
      </c>
    </row>
    <row r="32" spans="1:6" x14ac:dyDescent="0.35">
      <c r="A32" s="190">
        <v>22</v>
      </c>
      <c r="B32" s="186">
        <f t="shared" ca="1" si="0"/>
        <v>386439.49581159704</v>
      </c>
      <c r="C32" s="187">
        <f t="shared" ca="1" si="1"/>
        <v>1288.1316527053234</v>
      </c>
      <c r="D32" s="188">
        <f t="shared" si="2"/>
        <v>1909.6611818618378</v>
      </c>
      <c r="E32" s="186">
        <f t="shared" ca="1" si="3"/>
        <v>0</v>
      </c>
      <c r="F32" s="189">
        <f t="shared" ca="1" si="4"/>
        <v>385817.96628244052</v>
      </c>
    </row>
    <row r="33" spans="1:6" x14ac:dyDescent="0.35">
      <c r="A33" s="190">
        <v>23</v>
      </c>
      <c r="B33" s="186">
        <f t="shared" ca="1" si="0"/>
        <v>385817.96628244052</v>
      </c>
      <c r="C33" s="187">
        <f t="shared" ca="1" si="1"/>
        <v>1286.0598876081351</v>
      </c>
      <c r="D33" s="188">
        <f t="shared" si="2"/>
        <v>1909.6611818618378</v>
      </c>
      <c r="E33" s="186">
        <f t="shared" ca="1" si="3"/>
        <v>0</v>
      </c>
      <c r="F33" s="189">
        <f t="shared" ca="1" si="4"/>
        <v>385194.36498818686</v>
      </c>
    </row>
    <row r="34" spans="1:6" x14ac:dyDescent="0.35">
      <c r="A34" s="190">
        <v>24</v>
      </c>
      <c r="B34" s="186">
        <f t="shared" ca="1" si="0"/>
        <v>385194.36498818686</v>
      </c>
      <c r="C34" s="187">
        <f t="shared" ca="1" si="1"/>
        <v>1283.9812166272895</v>
      </c>
      <c r="D34" s="188">
        <f t="shared" si="2"/>
        <v>1909.6611818618378</v>
      </c>
      <c r="E34" s="186">
        <f t="shared" ca="1" si="3"/>
        <v>148</v>
      </c>
      <c r="F34" s="189">
        <f t="shared" ca="1" si="4"/>
        <v>384420.68502295233</v>
      </c>
    </row>
    <row r="35" spans="1:6" x14ac:dyDescent="0.35">
      <c r="A35" s="190">
        <v>25</v>
      </c>
      <c r="B35" s="186">
        <f t="shared" ca="1" si="0"/>
        <v>384420.68502295233</v>
      </c>
      <c r="C35" s="187">
        <f t="shared" ca="1" si="1"/>
        <v>1281.4022834098412</v>
      </c>
      <c r="D35" s="188">
        <f t="shared" si="2"/>
        <v>1909.6611818618378</v>
      </c>
      <c r="E35" s="186">
        <f t="shared" ca="1" si="3"/>
        <v>0</v>
      </c>
      <c r="F35" s="189">
        <f t="shared" ca="1" si="4"/>
        <v>383792.42612450034</v>
      </c>
    </row>
    <row r="36" spans="1:6" x14ac:dyDescent="0.35">
      <c r="A36" s="190">
        <v>26</v>
      </c>
      <c r="B36" s="186">
        <f t="shared" ca="1" si="0"/>
        <v>383792.42612450034</v>
      </c>
      <c r="C36" s="187">
        <f t="shared" ca="1" si="1"/>
        <v>1279.3080870816677</v>
      </c>
      <c r="D36" s="188">
        <f t="shared" si="2"/>
        <v>1909.6611818618378</v>
      </c>
      <c r="E36" s="186">
        <f t="shared" ca="1" si="3"/>
        <v>0</v>
      </c>
      <c r="F36" s="189">
        <f t="shared" ca="1" si="4"/>
        <v>383162.07302972017</v>
      </c>
    </row>
    <row r="37" spans="1:6" x14ac:dyDescent="0.35">
      <c r="A37" s="190">
        <v>27</v>
      </c>
      <c r="B37" s="186">
        <f t="shared" ca="1" si="0"/>
        <v>383162.07302972017</v>
      </c>
      <c r="C37" s="187">
        <f t="shared" ca="1" si="1"/>
        <v>1277.2069100990673</v>
      </c>
      <c r="D37" s="188">
        <f t="shared" si="2"/>
        <v>1909.6611818618378</v>
      </c>
      <c r="E37" s="186">
        <f t="shared" ca="1" si="3"/>
        <v>152</v>
      </c>
      <c r="F37" s="189">
        <f t="shared" ca="1" si="4"/>
        <v>382377.61875795742</v>
      </c>
    </row>
    <row r="38" spans="1:6" x14ac:dyDescent="0.35">
      <c r="A38" s="190">
        <v>28</v>
      </c>
      <c r="B38" s="186">
        <f t="shared" ca="1" si="0"/>
        <v>382377.61875795742</v>
      </c>
      <c r="C38" s="187">
        <f t="shared" ca="1" si="1"/>
        <v>1274.5920625265246</v>
      </c>
      <c r="D38" s="188">
        <f t="shared" si="2"/>
        <v>1909.6611818618378</v>
      </c>
      <c r="E38" s="186">
        <f t="shared" ca="1" si="3"/>
        <v>0</v>
      </c>
      <c r="F38" s="189">
        <f t="shared" ca="1" si="4"/>
        <v>381742.54963862209</v>
      </c>
    </row>
    <row r="39" spans="1:6" x14ac:dyDescent="0.35">
      <c r="A39" s="190">
        <v>29</v>
      </c>
      <c r="B39" s="186">
        <f t="shared" ca="1" si="0"/>
        <v>381742.54963862209</v>
      </c>
      <c r="C39" s="187">
        <f t="shared" ca="1" si="1"/>
        <v>1272.4751654620736</v>
      </c>
      <c r="D39" s="188">
        <f t="shared" si="2"/>
        <v>1909.6611818618378</v>
      </c>
      <c r="E39" s="186">
        <f t="shared" ca="1" si="3"/>
        <v>0</v>
      </c>
      <c r="F39" s="189">
        <f t="shared" ca="1" si="4"/>
        <v>381105.36362222233</v>
      </c>
    </row>
    <row r="40" spans="1:6" x14ac:dyDescent="0.35">
      <c r="A40" s="190">
        <v>30</v>
      </c>
      <c r="B40" s="186">
        <f t="shared" ca="1" si="0"/>
        <v>381105.36362222233</v>
      </c>
      <c r="C40" s="187">
        <f t="shared" ca="1" si="1"/>
        <v>1270.3512120740745</v>
      </c>
      <c r="D40" s="188">
        <f t="shared" si="2"/>
        <v>1909.6611818618378</v>
      </c>
      <c r="E40" s="186">
        <f t="shared" ca="1" si="3"/>
        <v>172</v>
      </c>
      <c r="F40" s="189">
        <f t="shared" ca="1" si="4"/>
        <v>380294.05365243455</v>
      </c>
    </row>
    <row r="41" spans="1:6" x14ac:dyDescent="0.35">
      <c r="A41" s="190">
        <v>31</v>
      </c>
      <c r="B41" s="186">
        <f t="shared" ca="1" si="0"/>
        <v>380294.05365243455</v>
      </c>
      <c r="C41" s="187">
        <f t="shared" ca="1" si="1"/>
        <v>1267.6468455081151</v>
      </c>
      <c r="D41" s="188">
        <f t="shared" si="2"/>
        <v>1909.6611818618378</v>
      </c>
      <c r="E41" s="186">
        <f t="shared" ca="1" si="3"/>
        <v>0</v>
      </c>
      <c r="F41" s="189">
        <f t="shared" ca="1" si="4"/>
        <v>379652.03931608086</v>
      </c>
    </row>
    <row r="42" spans="1:6" x14ac:dyDescent="0.35">
      <c r="A42" s="190">
        <v>32</v>
      </c>
      <c r="B42" s="186">
        <f t="shared" ca="1" si="0"/>
        <v>379652.03931608086</v>
      </c>
      <c r="C42" s="187">
        <f t="shared" ca="1" si="1"/>
        <v>1265.5067977202696</v>
      </c>
      <c r="D42" s="188">
        <f t="shared" si="2"/>
        <v>1909.6611818618378</v>
      </c>
      <c r="E42" s="186">
        <f t="shared" ca="1" si="3"/>
        <v>0</v>
      </c>
      <c r="F42" s="189">
        <f t="shared" ca="1" si="4"/>
        <v>379007.8849319393</v>
      </c>
    </row>
    <row r="43" spans="1:6" x14ac:dyDescent="0.35">
      <c r="A43" s="190">
        <v>33</v>
      </c>
      <c r="B43" s="186">
        <f t="shared" ca="1" si="0"/>
        <v>379007.8849319393</v>
      </c>
      <c r="C43" s="187">
        <f t="shared" ca="1" si="1"/>
        <v>1263.3596164397977</v>
      </c>
      <c r="D43" s="188">
        <f t="shared" si="2"/>
        <v>1909.6611818618378</v>
      </c>
      <c r="E43" s="186">
        <f t="shared" ca="1" si="3"/>
        <v>165</v>
      </c>
      <c r="F43" s="189">
        <f t="shared" ca="1" si="4"/>
        <v>378196.58336651727</v>
      </c>
    </row>
    <row r="44" spans="1:6" x14ac:dyDescent="0.35">
      <c r="A44" s="190">
        <v>34</v>
      </c>
      <c r="B44" s="186">
        <f t="shared" ca="1" si="0"/>
        <v>378196.58336651727</v>
      </c>
      <c r="C44" s="187">
        <f t="shared" ca="1" si="1"/>
        <v>1260.6552778883909</v>
      </c>
      <c r="D44" s="188">
        <f t="shared" si="2"/>
        <v>1909.6611818618378</v>
      </c>
      <c r="E44" s="186">
        <f t="shared" ca="1" si="3"/>
        <v>0</v>
      </c>
      <c r="F44" s="189">
        <f t="shared" ca="1" si="4"/>
        <v>377547.57746254385</v>
      </c>
    </row>
    <row r="45" spans="1:6" x14ac:dyDescent="0.35">
      <c r="A45" s="190">
        <v>35</v>
      </c>
      <c r="B45" s="186">
        <f t="shared" ca="1" si="0"/>
        <v>377547.57746254385</v>
      </c>
      <c r="C45" s="187">
        <f t="shared" ca="1" si="1"/>
        <v>1258.4919248751462</v>
      </c>
      <c r="D45" s="188">
        <f t="shared" si="2"/>
        <v>1909.6611818618378</v>
      </c>
      <c r="E45" s="186">
        <f t="shared" ca="1" si="3"/>
        <v>0</v>
      </c>
      <c r="F45" s="189">
        <f t="shared" ca="1" si="4"/>
        <v>376896.40820555715</v>
      </c>
    </row>
    <row r="46" spans="1:6" x14ac:dyDescent="0.35">
      <c r="A46" s="190">
        <v>36</v>
      </c>
      <c r="B46" s="186">
        <f t="shared" ca="1" si="0"/>
        <v>376896.40820555715</v>
      </c>
      <c r="C46" s="187">
        <f t="shared" ca="1" si="1"/>
        <v>1256.3213606851905</v>
      </c>
      <c r="D46" s="188">
        <f t="shared" si="2"/>
        <v>1909.6611818618378</v>
      </c>
      <c r="E46" s="186">
        <f t="shared" ca="1" si="3"/>
        <v>168</v>
      </c>
      <c r="F46" s="189">
        <f t="shared" ca="1" si="4"/>
        <v>376075.06838438049</v>
      </c>
    </row>
    <row r="47" spans="1:6" x14ac:dyDescent="0.35">
      <c r="A47" s="190">
        <v>37</v>
      </c>
      <c r="B47" s="186">
        <f t="shared" ca="1" si="0"/>
        <v>376075.06838438049</v>
      </c>
      <c r="C47" s="187">
        <f t="shared" ca="1" si="1"/>
        <v>1253.5835612812682</v>
      </c>
      <c r="D47" s="188">
        <f t="shared" si="2"/>
        <v>1909.6611818618378</v>
      </c>
      <c r="E47" s="186">
        <f t="shared" ca="1" si="3"/>
        <v>0</v>
      </c>
      <c r="F47" s="189">
        <f t="shared" ca="1" si="4"/>
        <v>375418.99076379993</v>
      </c>
    </row>
    <row r="48" spans="1:6" x14ac:dyDescent="0.35">
      <c r="A48" s="190">
        <v>38</v>
      </c>
      <c r="B48" s="186">
        <f t="shared" ca="1" si="0"/>
        <v>375418.99076379993</v>
      </c>
      <c r="C48" s="187">
        <f t="shared" ca="1" si="1"/>
        <v>1251.3966358793332</v>
      </c>
      <c r="D48" s="188">
        <f t="shared" si="2"/>
        <v>1909.6611818618378</v>
      </c>
      <c r="E48" s="186">
        <f t="shared" ca="1" si="3"/>
        <v>0</v>
      </c>
      <c r="F48" s="189">
        <f t="shared" ca="1" si="4"/>
        <v>374760.72621781746</v>
      </c>
    </row>
    <row r="49" spans="1:6" x14ac:dyDescent="0.35">
      <c r="A49" s="190">
        <v>39</v>
      </c>
      <c r="B49" s="186">
        <f t="shared" ca="1" si="0"/>
        <v>374760.72621781746</v>
      </c>
      <c r="C49" s="187">
        <f t="shared" ca="1" si="1"/>
        <v>1249.2024207260581</v>
      </c>
      <c r="D49" s="188">
        <f t="shared" si="2"/>
        <v>1909.6611818618378</v>
      </c>
      <c r="E49" s="186">
        <f t="shared" ca="1" si="3"/>
        <v>138</v>
      </c>
      <c r="F49" s="189">
        <f t="shared" ca="1" si="4"/>
        <v>373962.2674566817</v>
      </c>
    </row>
    <row r="50" spans="1:6" x14ac:dyDescent="0.35">
      <c r="A50" s="190">
        <v>40</v>
      </c>
      <c r="B50" s="186">
        <f t="shared" ca="1" si="0"/>
        <v>373962.2674566817</v>
      </c>
      <c r="C50" s="187">
        <f t="shared" ca="1" si="1"/>
        <v>1246.5408915222724</v>
      </c>
      <c r="D50" s="188">
        <f t="shared" si="2"/>
        <v>1909.6611818618378</v>
      </c>
      <c r="E50" s="186">
        <f t="shared" ca="1" si="3"/>
        <v>0</v>
      </c>
      <c r="F50" s="189">
        <f t="shared" ca="1" si="4"/>
        <v>373299.14716634213</v>
      </c>
    </row>
    <row r="51" spans="1:6" x14ac:dyDescent="0.35">
      <c r="A51" s="190">
        <v>41</v>
      </c>
      <c r="B51" s="186">
        <f t="shared" ca="1" si="0"/>
        <v>373299.14716634213</v>
      </c>
      <c r="C51" s="187">
        <f t="shared" ca="1" si="1"/>
        <v>1244.3304905544737</v>
      </c>
      <c r="D51" s="188">
        <f t="shared" si="2"/>
        <v>1909.6611818618378</v>
      </c>
      <c r="E51" s="186">
        <f t="shared" ca="1" si="3"/>
        <v>0</v>
      </c>
      <c r="F51" s="189">
        <f t="shared" ca="1" si="4"/>
        <v>372633.81647503475</v>
      </c>
    </row>
    <row r="52" spans="1:6" x14ac:dyDescent="0.35">
      <c r="A52" s="190">
        <v>42</v>
      </c>
      <c r="B52" s="186">
        <f t="shared" ca="1" si="0"/>
        <v>372633.81647503475</v>
      </c>
      <c r="C52" s="187">
        <f t="shared" ca="1" si="1"/>
        <v>1242.1127215834492</v>
      </c>
      <c r="D52" s="188">
        <f t="shared" si="2"/>
        <v>1909.6611818618378</v>
      </c>
      <c r="E52" s="186">
        <f t="shared" ca="1" si="3"/>
        <v>176</v>
      </c>
      <c r="F52" s="189">
        <f t="shared" ca="1" si="4"/>
        <v>371790.26801475638</v>
      </c>
    </row>
    <row r="53" spans="1:6" x14ac:dyDescent="0.35">
      <c r="A53" s="190">
        <v>43</v>
      </c>
      <c r="B53" s="186">
        <f t="shared" ca="1" si="0"/>
        <v>371790.26801475638</v>
      </c>
      <c r="C53" s="187">
        <f t="shared" ca="1" si="1"/>
        <v>1239.3008933825213</v>
      </c>
      <c r="D53" s="188">
        <f t="shared" si="2"/>
        <v>1909.6611818618378</v>
      </c>
      <c r="E53" s="186">
        <f t="shared" ca="1" si="3"/>
        <v>0</v>
      </c>
      <c r="F53" s="189">
        <f t="shared" ca="1" si="4"/>
        <v>371119.90772627707</v>
      </c>
    </row>
    <row r="54" spans="1:6" x14ac:dyDescent="0.35">
      <c r="A54" s="190">
        <v>44</v>
      </c>
      <c r="B54" s="186">
        <f t="shared" ca="1" si="0"/>
        <v>371119.90772627707</v>
      </c>
      <c r="C54" s="187">
        <f t="shared" ca="1" si="1"/>
        <v>1237.0663590875904</v>
      </c>
      <c r="D54" s="188">
        <f t="shared" si="2"/>
        <v>1909.6611818618378</v>
      </c>
      <c r="E54" s="186">
        <f t="shared" ca="1" si="3"/>
        <v>0</v>
      </c>
      <c r="F54" s="189">
        <f t="shared" ca="1" si="4"/>
        <v>370447.31290350284</v>
      </c>
    </row>
    <row r="55" spans="1:6" x14ac:dyDescent="0.35">
      <c r="A55" s="190">
        <v>45</v>
      </c>
      <c r="B55" s="186">
        <f t="shared" ca="1" si="0"/>
        <v>370447.31290350284</v>
      </c>
      <c r="C55" s="187">
        <f t="shared" ca="1" si="1"/>
        <v>1234.8243763450093</v>
      </c>
      <c r="D55" s="188">
        <f t="shared" si="2"/>
        <v>1909.6611818618378</v>
      </c>
      <c r="E55" s="186">
        <f t="shared" ca="1" si="3"/>
        <v>177</v>
      </c>
      <c r="F55" s="189">
        <f t="shared" ca="1" si="4"/>
        <v>369595.47609798604</v>
      </c>
    </row>
    <row r="56" spans="1:6" x14ac:dyDescent="0.35">
      <c r="A56" s="190">
        <v>46</v>
      </c>
      <c r="B56" s="186">
        <f t="shared" ca="1" si="0"/>
        <v>369595.47609798604</v>
      </c>
      <c r="C56" s="187">
        <f t="shared" ca="1" si="1"/>
        <v>1231.9849203266201</v>
      </c>
      <c r="D56" s="188">
        <f t="shared" si="2"/>
        <v>1909.6611818618378</v>
      </c>
      <c r="E56" s="186">
        <f t="shared" ca="1" si="3"/>
        <v>0</v>
      </c>
      <c r="F56" s="189">
        <f t="shared" ca="1" si="4"/>
        <v>368917.79983645084</v>
      </c>
    </row>
    <row r="57" spans="1:6" x14ac:dyDescent="0.35">
      <c r="A57" s="190">
        <v>47</v>
      </c>
      <c r="B57" s="186">
        <f t="shared" ca="1" si="0"/>
        <v>368917.79983645084</v>
      </c>
      <c r="C57" s="187">
        <f t="shared" ca="1" si="1"/>
        <v>1229.725999454836</v>
      </c>
      <c r="D57" s="188">
        <f t="shared" si="2"/>
        <v>1909.6611818618378</v>
      </c>
      <c r="E57" s="186">
        <f t="shared" ca="1" si="3"/>
        <v>0</v>
      </c>
      <c r="F57" s="189">
        <f t="shared" ca="1" si="4"/>
        <v>368237.86465404386</v>
      </c>
    </row>
    <row r="58" spans="1:6" x14ac:dyDescent="0.35">
      <c r="A58" s="190">
        <v>48</v>
      </c>
      <c r="B58" s="186">
        <f t="shared" ca="1" si="0"/>
        <v>368237.86465404386</v>
      </c>
      <c r="C58" s="187">
        <f t="shared" ca="1" si="1"/>
        <v>1227.4595488468128</v>
      </c>
      <c r="D58" s="188">
        <f t="shared" si="2"/>
        <v>1909.6611818618378</v>
      </c>
      <c r="E58" s="186">
        <f t="shared" ca="1" si="3"/>
        <v>153</v>
      </c>
      <c r="F58" s="189">
        <f t="shared" ca="1" si="4"/>
        <v>367402.66302102886</v>
      </c>
    </row>
    <row r="59" spans="1:6" x14ac:dyDescent="0.35">
      <c r="A59" s="190">
        <v>49</v>
      </c>
      <c r="B59" s="186">
        <f t="shared" ca="1" si="0"/>
        <v>367402.66302102886</v>
      </c>
      <c r="C59" s="187">
        <f t="shared" ca="1" si="1"/>
        <v>1224.6755434034296</v>
      </c>
      <c r="D59" s="188">
        <f t="shared" si="2"/>
        <v>1909.6611818618378</v>
      </c>
      <c r="E59" s="186">
        <f t="shared" ca="1" si="3"/>
        <v>0</v>
      </c>
      <c r="F59" s="189">
        <f t="shared" ca="1" si="4"/>
        <v>366717.67738257046</v>
      </c>
    </row>
    <row r="60" spans="1:6" x14ac:dyDescent="0.35">
      <c r="A60" s="190">
        <v>50</v>
      </c>
      <c r="B60" s="186">
        <f t="shared" ca="1" si="0"/>
        <v>366717.67738257046</v>
      </c>
      <c r="C60" s="187">
        <f t="shared" ca="1" si="1"/>
        <v>1222.3922579419016</v>
      </c>
      <c r="D60" s="188">
        <f t="shared" si="2"/>
        <v>1909.6611818618378</v>
      </c>
      <c r="E60" s="186">
        <f t="shared" ca="1" si="3"/>
        <v>0</v>
      </c>
      <c r="F60" s="189">
        <f t="shared" ca="1" si="4"/>
        <v>366030.40845865052</v>
      </c>
    </row>
    <row r="61" spans="1:6" x14ac:dyDescent="0.35">
      <c r="A61" s="190">
        <v>51</v>
      </c>
      <c r="B61" s="186">
        <f t="shared" ca="1" si="0"/>
        <v>366030.40845865052</v>
      </c>
      <c r="C61" s="187">
        <f t="shared" ca="1" si="1"/>
        <v>1220.101361528835</v>
      </c>
      <c r="D61" s="188">
        <f t="shared" si="2"/>
        <v>1909.6611818618378</v>
      </c>
      <c r="E61" s="186">
        <f t="shared" ca="1" si="3"/>
        <v>171</v>
      </c>
      <c r="F61" s="189">
        <f t="shared" ca="1" si="4"/>
        <v>365169.84863831755</v>
      </c>
    </row>
    <row r="62" spans="1:6" x14ac:dyDescent="0.35">
      <c r="A62" s="190">
        <v>52</v>
      </c>
      <c r="B62" s="186">
        <f t="shared" ca="1" si="0"/>
        <v>365169.84863831755</v>
      </c>
      <c r="C62" s="187">
        <f t="shared" ca="1" si="1"/>
        <v>1217.2328287943917</v>
      </c>
      <c r="D62" s="188">
        <f t="shared" si="2"/>
        <v>1909.6611818618378</v>
      </c>
      <c r="E62" s="186">
        <f t="shared" ca="1" si="3"/>
        <v>0</v>
      </c>
      <c r="F62" s="189">
        <f t="shared" ca="1" si="4"/>
        <v>364477.42028525012</v>
      </c>
    </row>
    <row r="63" spans="1:6" x14ac:dyDescent="0.35">
      <c r="A63" s="190">
        <v>53</v>
      </c>
      <c r="B63" s="186">
        <f t="shared" ca="1" si="0"/>
        <v>364477.42028525012</v>
      </c>
      <c r="C63" s="187">
        <f t="shared" ca="1" si="1"/>
        <v>1214.924734284167</v>
      </c>
      <c r="D63" s="188">
        <f t="shared" si="2"/>
        <v>1909.6611818618378</v>
      </c>
      <c r="E63" s="186">
        <f t="shared" ca="1" si="3"/>
        <v>0</v>
      </c>
      <c r="F63" s="189">
        <f t="shared" ca="1" si="4"/>
        <v>363782.68383767246</v>
      </c>
    </row>
    <row r="64" spans="1:6" x14ac:dyDescent="0.35">
      <c r="A64" s="190">
        <v>54</v>
      </c>
      <c r="B64" s="186">
        <f t="shared" ca="1" si="0"/>
        <v>363782.68383767246</v>
      </c>
      <c r="C64" s="187">
        <f t="shared" ca="1" si="1"/>
        <v>1212.6089461255749</v>
      </c>
      <c r="D64" s="188">
        <f t="shared" si="2"/>
        <v>1909.6611818618378</v>
      </c>
      <c r="E64" s="186">
        <f t="shared" ca="1" si="3"/>
        <v>140</v>
      </c>
      <c r="F64" s="189">
        <f t="shared" ca="1" si="4"/>
        <v>362945.63160193618</v>
      </c>
    </row>
    <row r="65" spans="1:6" x14ac:dyDescent="0.35">
      <c r="A65" s="190">
        <v>55</v>
      </c>
      <c r="B65" s="186">
        <f t="shared" ca="1" si="0"/>
        <v>362945.63160193618</v>
      </c>
      <c r="C65" s="187">
        <f t="shared" ca="1" si="1"/>
        <v>1209.8187720064541</v>
      </c>
      <c r="D65" s="188">
        <f t="shared" si="2"/>
        <v>1909.6611818618378</v>
      </c>
      <c r="E65" s="186">
        <f t="shared" ca="1" si="3"/>
        <v>0</v>
      </c>
      <c r="F65" s="189">
        <f t="shared" ca="1" si="4"/>
        <v>362245.78919208079</v>
      </c>
    </row>
    <row r="66" spans="1:6" x14ac:dyDescent="0.35">
      <c r="A66" s="190">
        <v>56</v>
      </c>
      <c r="B66" s="186">
        <f t="shared" ca="1" si="0"/>
        <v>362245.78919208079</v>
      </c>
      <c r="C66" s="187">
        <f t="shared" ca="1" si="1"/>
        <v>1207.4859639736026</v>
      </c>
      <c r="D66" s="188">
        <f t="shared" si="2"/>
        <v>1909.6611818618378</v>
      </c>
      <c r="E66" s="186">
        <f t="shared" ca="1" si="3"/>
        <v>0</v>
      </c>
      <c r="F66" s="189">
        <f t="shared" ca="1" si="4"/>
        <v>361543.61397419259</v>
      </c>
    </row>
    <row r="67" spans="1:6" x14ac:dyDescent="0.35">
      <c r="A67" s="190">
        <v>57</v>
      </c>
      <c r="B67" s="186">
        <f t="shared" ca="1" si="0"/>
        <v>361543.61397419259</v>
      </c>
      <c r="C67" s="187">
        <f t="shared" ca="1" si="1"/>
        <v>1205.1453799139754</v>
      </c>
      <c r="D67" s="188">
        <f t="shared" si="2"/>
        <v>1909.6611818618378</v>
      </c>
      <c r="E67" s="186">
        <f t="shared" ca="1" si="3"/>
        <v>169</v>
      </c>
      <c r="F67" s="189">
        <f t="shared" ca="1" si="4"/>
        <v>360670.09817224473</v>
      </c>
    </row>
    <row r="68" spans="1:6" x14ac:dyDescent="0.35">
      <c r="A68" s="190">
        <v>58</v>
      </c>
      <c r="B68" s="186">
        <f t="shared" ca="1" si="0"/>
        <v>360670.09817224473</v>
      </c>
      <c r="C68" s="187">
        <f t="shared" ca="1" si="1"/>
        <v>1202.2336605741491</v>
      </c>
      <c r="D68" s="188">
        <f t="shared" si="2"/>
        <v>1909.6611818618378</v>
      </c>
      <c r="E68" s="186">
        <f t="shared" ca="1" si="3"/>
        <v>0</v>
      </c>
      <c r="F68" s="189">
        <f t="shared" ca="1" si="4"/>
        <v>359962.67065095704</v>
      </c>
    </row>
    <row r="69" spans="1:6" x14ac:dyDescent="0.35">
      <c r="A69" s="190">
        <v>59</v>
      </c>
      <c r="B69" s="186">
        <f t="shared" ca="1" si="0"/>
        <v>359962.67065095704</v>
      </c>
      <c r="C69" s="187">
        <f t="shared" ca="1" si="1"/>
        <v>1199.8755688365234</v>
      </c>
      <c r="D69" s="188">
        <f t="shared" si="2"/>
        <v>1909.6611818618378</v>
      </c>
      <c r="E69" s="186">
        <f t="shared" ca="1" si="3"/>
        <v>0</v>
      </c>
      <c r="F69" s="189">
        <f t="shared" ca="1" si="4"/>
        <v>359252.88503793173</v>
      </c>
    </row>
    <row r="70" spans="1:6" x14ac:dyDescent="0.35">
      <c r="A70" s="190">
        <v>60</v>
      </c>
      <c r="B70" s="186">
        <f t="shared" ca="1" si="0"/>
        <v>359252.88503793173</v>
      </c>
      <c r="C70" s="187">
        <f t="shared" ca="1" si="1"/>
        <v>1197.5096167931058</v>
      </c>
      <c r="D70" s="188">
        <f t="shared" si="2"/>
        <v>1909.6611818618378</v>
      </c>
      <c r="E70" s="186">
        <f t="shared" ca="1" si="3"/>
        <v>130</v>
      </c>
      <c r="F70" s="189">
        <f t="shared" ca="1" si="4"/>
        <v>358410.73347286304</v>
      </c>
    </row>
    <row r="71" spans="1:6" x14ac:dyDescent="0.35">
      <c r="A71" s="190">
        <v>61</v>
      </c>
      <c r="B71" s="186">
        <f t="shared" ca="1" si="0"/>
        <v>358410.73347286304</v>
      </c>
      <c r="C71" s="187">
        <f t="shared" ca="1" si="1"/>
        <v>1194.7024449095436</v>
      </c>
      <c r="D71" s="188">
        <f t="shared" si="2"/>
        <v>1909.6611818618378</v>
      </c>
      <c r="E71" s="186">
        <f t="shared" ca="1" si="3"/>
        <v>0</v>
      </c>
      <c r="F71" s="189">
        <f t="shared" ca="1" si="4"/>
        <v>357695.77473591076</v>
      </c>
    </row>
    <row r="72" spans="1:6" x14ac:dyDescent="0.35">
      <c r="A72" s="190">
        <v>62</v>
      </c>
      <c r="B72" s="186">
        <f t="shared" ca="1" si="0"/>
        <v>357695.77473591076</v>
      </c>
      <c r="C72" s="187">
        <f t="shared" ca="1" si="1"/>
        <v>1192.3192491197026</v>
      </c>
      <c r="D72" s="188">
        <f t="shared" si="2"/>
        <v>1909.6611818618378</v>
      </c>
      <c r="E72" s="186">
        <f t="shared" ca="1" si="3"/>
        <v>0</v>
      </c>
      <c r="F72" s="189">
        <f t="shared" ca="1" si="4"/>
        <v>356978.43280316866</v>
      </c>
    </row>
    <row r="73" spans="1:6" x14ac:dyDescent="0.35">
      <c r="A73" s="190">
        <v>63</v>
      </c>
      <c r="B73" s="186">
        <f t="shared" ca="1" si="0"/>
        <v>356978.43280316866</v>
      </c>
      <c r="C73" s="187">
        <f t="shared" ca="1" si="1"/>
        <v>1189.9281093438956</v>
      </c>
      <c r="D73" s="188">
        <f t="shared" si="2"/>
        <v>1909.6611818618378</v>
      </c>
      <c r="E73" s="186">
        <f t="shared" ca="1" si="3"/>
        <v>190</v>
      </c>
      <c r="F73" s="189">
        <f t="shared" ca="1" si="4"/>
        <v>356068.69973065075</v>
      </c>
    </row>
    <row r="74" spans="1:6" x14ac:dyDescent="0.35">
      <c r="A74" s="190">
        <v>64</v>
      </c>
      <c r="B74" s="186">
        <f t="shared" ca="1" si="0"/>
        <v>356068.69973065075</v>
      </c>
      <c r="C74" s="187">
        <f t="shared" ca="1" si="1"/>
        <v>1186.8956657688359</v>
      </c>
      <c r="D74" s="188">
        <f t="shared" si="2"/>
        <v>1909.6611818618378</v>
      </c>
      <c r="E74" s="186">
        <f t="shared" ca="1" si="3"/>
        <v>0</v>
      </c>
      <c r="F74" s="189">
        <f t="shared" ca="1" si="4"/>
        <v>355345.93421455775</v>
      </c>
    </row>
    <row r="75" spans="1:6" x14ac:dyDescent="0.35">
      <c r="A75" s="190">
        <v>65</v>
      </c>
      <c r="B75" s="186">
        <f t="shared" ca="1" si="0"/>
        <v>355345.93421455775</v>
      </c>
      <c r="C75" s="187">
        <f t="shared" ca="1" si="1"/>
        <v>1184.4864473818591</v>
      </c>
      <c r="D75" s="188">
        <f t="shared" si="2"/>
        <v>1909.6611818618378</v>
      </c>
      <c r="E75" s="186">
        <f t="shared" ca="1" si="3"/>
        <v>0</v>
      </c>
      <c r="F75" s="189">
        <f t="shared" ca="1" si="4"/>
        <v>354620.75948007777</v>
      </c>
    </row>
    <row r="76" spans="1:6" x14ac:dyDescent="0.35">
      <c r="A76" s="190">
        <v>66</v>
      </c>
      <c r="B76" s="186">
        <f t="shared" ref="B76:B139" ca="1" si="5">F75</f>
        <v>354620.75948007777</v>
      </c>
      <c r="C76" s="187">
        <f t="shared" ref="C76:C139" ca="1" si="6">B76*$C$3/12</f>
        <v>1182.0691982669259</v>
      </c>
      <c r="D76" s="188">
        <f t="shared" ref="D76:D139" si="7">$C$5</f>
        <v>1909.6611818618378</v>
      </c>
      <c r="E76" s="186">
        <f t="shared" ref="E76:E139" ca="1" si="8">IF(MOD(A76,3)=0,RANDBETWEEN(100,200),0)</f>
        <v>160</v>
      </c>
      <c r="F76" s="189">
        <f t="shared" ref="F76:F139" ca="1" si="9">B76+C76-D76-E76</f>
        <v>353733.1674964829</v>
      </c>
    </row>
    <row r="77" spans="1:6" x14ac:dyDescent="0.35">
      <c r="A77" s="190">
        <v>67</v>
      </c>
      <c r="B77" s="186">
        <f t="shared" ca="1" si="5"/>
        <v>353733.1674964829</v>
      </c>
      <c r="C77" s="187">
        <f t="shared" ca="1" si="6"/>
        <v>1179.1105583216097</v>
      </c>
      <c r="D77" s="188">
        <f t="shared" si="7"/>
        <v>1909.6611818618378</v>
      </c>
      <c r="E77" s="186">
        <f t="shared" ca="1" si="8"/>
        <v>0</v>
      </c>
      <c r="F77" s="189">
        <f t="shared" ca="1" si="9"/>
        <v>353002.61687294266</v>
      </c>
    </row>
    <row r="78" spans="1:6" x14ac:dyDescent="0.35">
      <c r="A78" s="190">
        <v>68</v>
      </c>
      <c r="B78" s="186">
        <f t="shared" ca="1" si="5"/>
        <v>353002.61687294266</v>
      </c>
      <c r="C78" s="187">
        <f t="shared" ca="1" si="6"/>
        <v>1176.6753895764755</v>
      </c>
      <c r="D78" s="188">
        <f t="shared" si="7"/>
        <v>1909.6611818618378</v>
      </c>
      <c r="E78" s="186">
        <f t="shared" ca="1" si="8"/>
        <v>0</v>
      </c>
      <c r="F78" s="189">
        <f t="shared" ca="1" si="9"/>
        <v>352269.6310806573</v>
      </c>
    </row>
    <row r="79" spans="1:6" x14ac:dyDescent="0.35">
      <c r="A79" s="190">
        <v>69</v>
      </c>
      <c r="B79" s="186">
        <f t="shared" ca="1" si="5"/>
        <v>352269.6310806573</v>
      </c>
      <c r="C79" s="187">
        <f t="shared" ca="1" si="6"/>
        <v>1174.232103602191</v>
      </c>
      <c r="D79" s="188">
        <f t="shared" si="7"/>
        <v>1909.6611818618378</v>
      </c>
      <c r="E79" s="186">
        <f t="shared" ca="1" si="8"/>
        <v>182</v>
      </c>
      <c r="F79" s="189">
        <f t="shared" ca="1" si="9"/>
        <v>351352.20200239768</v>
      </c>
    </row>
    <row r="80" spans="1:6" x14ac:dyDescent="0.35">
      <c r="A80" s="190">
        <v>70</v>
      </c>
      <c r="B80" s="186">
        <f t="shared" ca="1" si="5"/>
        <v>351352.20200239768</v>
      </c>
      <c r="C80" s="187">
        <f t="shared" ca="1" si="6"/>
        <v>1171.174006674659</v>
      </c>
      <c r="D80" s="188">
        <f t="shared" si="7"/>
        <v>1909.6611818618378</v>
      </c>
      <c r="E80" s="186">
        <f t="shared" ca="1" si="8"/>
        <v>0</v>
      </c>
      <c r="F80" s="189">
        <f t="shared" ca="1" si="9"/>
        <v>350613.71482721053</v>
      </c>
    </row>
    <row r="81" spans="1:6" x14ac:dyDescent="0.35">
      <c r="A81" s="190">
        <v>71</v>
      </c>
      <c r="B81" s="186">
        <f t="shared" ca="1" si="5"/>
        <v>350613.71482721053</v>
      </c>
      <c r="C81" s="187">
        <f t="shared" ca="1" si="6"/>
        <v>1168.7123827573685</v>
      </c>
      <c r="D81" s="188">
        <f t="shared" si="7"/>
        <v>1909.6611818618378</v>
      </c>
      <c r="E81" s="186">
        <f t="shared" ca="1" si="8"/>
        <v>0</v>
      </c>
      <c r="F81" s="189">
        <f t="shared" ca="1" si="9"/>
        <v>349872.7660281061</v>
      </c>
    </row>
    <row r="82" spans="1:6" x14ac:dyDescent="0.35">
      <c r="A82" s="190">
        <v>72</v>
      </c>
      <c r="B82" s="186">
        <f t="shared" ca="1" si="5"/>
        <v>349872.7660281061</v>
      </c>
      <c r="C82" s="187">
        <f t="shared" ca="1" si="6"/>
        <v>1166.2425534270203</v>
      </c>
      <c r="D82" s="188">
        <f t="shared" si="7"/>
        <v>1909.6611818618378</v>
      </c>
      <c r="E82" s="186">
        <f t="shared" ca="1" si="8"/>
        <v>112</v>
      </c>
      <c r="F82" s="189">
        <f t="shared" ca="1" si="9"/>
        <v>349017.34739967127</v>
      </c>
    </row>
    <row r="83" spans="1:6" x14ac:dyDescent="0.35">
      <c r="A83" s="190">
        <v>73</v>
      </c>
      <c r="B83" s="186">
        <f t="shared" ca="1" si="5"/>
        <v>349017.34739967127</v>
      </c>
      <c r="C83" s="187">
        <f t="shared" ca="1" si="6"/>
        <v>1163.3911579989042</v>
      </c>
      <c r="D83" s="188">
        <f t="shared" si="7"/>
        <v>1909.6611818618378</v>
      </c>
      <c r="E83" s="186">
        <f t="shared" ca="1" si="8"/>
        <v>0</v>
      </c>
      <c r="F83" s="189">
        <f t="shared" ca="1" si="9"/>
        <v>348271.07737580832</v>
      </c>
    </row>
    <row r="84" spans="1:6" x14ac:dyDescent="0.35">
      <c r="A84" s="190">
        <v>74</v>
      </c>
      <c r="B84" s="186">
        <f t="shared" ca="1" si="5"/>
        <v>348271.07737580832</v>
      </c>
      <c r="C84" s="187">
        <f t="shared" ca="1" si="6"/>
        <v>1160.9035912526945</v>
      </c>
      <c r="D84" s="188">
        <f t="shared" si="7"/>
        <v>1909.6611818618378</v>
      </c>
      <c r="E84" s="186">
        <f t="shared" ca="1" si="8"/>
        <v>0</v>
      </c>
      <c r="F84" s="189">
        <f t="shared" ca="1" si="9"/>
        <v>347522.31978519919</v>
      </c>
    </row>
    <row r="85" spans="1:6" x14ac:dyDescent="0.35">
      <c r="A85" s="190">
        <v>75</v>
      </c>
      <c r="B85" s="186">
        <f t="shared" ca="1" si="5"/>
        <v>347522.31978519919</v>
      </c>
      <c r="C85" s="187">
        <f t="shared" ca="1" si="6"/>
        <v>1158.4077326173308</v>
      </c>
      <c r="D85" s="188">
        <f t="shared" si="7"/>
        <v>1909.6611818618378</v>
      </c>
      <c r="E85" s="186">
        <f t="shared" ca="1" si="8"/>
        <v>137</v>
      </c>
      <c r="F85" s="189">
        <f t="shared" ca="1" si="9"/>
        <v>346634.0663359547</v>
      </c>
    </row>
    <row r="86" spans="1:6" x14ac:dyDescent="0.35">
      <c r="A86" s="190">
        <v>76</v>
      </c>
      <c r="B86" s="186">
        <f t="shared" ca="1" si="5"/>
        <v>346634.0663359547</v>
      </c>
      <c r="C86" s="187">
        <f t="shared" ca="1" si="6"/>
        <v>1155.4468877865158</v>
      </c>
      <c r="D86" s="188">
        <f t="shared" si="7"/>
        <v>1909.6611818618378</v>
      </c>
      <c r="E86" s="186">
        <f t="shared" ca="1" si="8"/>
        <v>0</v>
      </c>
      <c r="F86" s="189">
        <f t="shared" ca="1" si="9"/>
        <v>345879.85204187938</v>
      </c>
    </row>
    <row r="87" spans="1:6" x14ac:dyDescent="0.35">
      <c r="A87" s="190">
        <v>77</v>
      </c>
      <c r="B87" s="186">
        <f t="shared" ca="1" si="5"/>
        <v>345879.85204187938</v>
      </c>
      <c r="C87" s="187">
        <f t="shared" ca="1" si="6"/>
        <v>1152.9328401395981</v>
      </c>
      <c r="D87" s="188">
        <f t="shared" si="7"/>
        <v>1909.6611818618378</v>
      </c>
      <c r="E87" s="186">
        <f t="shared" ca="1" si="8"/>
        <v>0</v>
      </c>
      <c r="F87" s="189">
        <f t="shared" ca="1" si="9"/>
        <v>345123.12370015716</v>
      </c>
    </row>
    <row r="88" spans="1:6" x14ac:dyDescent="0.35">
      <c r="A88" s="190">
        <v>78</v>
      </c>
      <c r="B88" s="186">
        <f t="shared" ca="1" si="5"/>
        <v>345123.12370015716</v>
      </c>
      <c r="C88" s="187">
        <f t="shared" ca="1" si="6"/>
        <v>1150.4104123338573</v>
      </c>
      <c r="D88" s="188">
        <f t="shared" si="7"/>
        <v>1909.6611818618378</v>
      </c>
      <c r="E88" s="186">
        <f t="shared" ca="1" si="8"/>
        <v>192</v>
      </c>
      <c r="F88" s="189">
        <f t="shared" ca="1" si="9"/>
        <v>344171.87293062918</v>
      </c>
    </row>
    <row r="89" spans="1:6" x14ac:dyDescent="0.35">
      <c r="A89" s="190">
        <v>79</v>
      </c>
      <c r="B89" s="186">
        <f t="shared" ca="1" si="5"/>
        <v>344171.87293062918</v>
      </c>
      <c r="C89" s="187">
        <f t="shared" ca="1" si="6"/>
        <v>1147.2395764354308</v>
      </c>
      <c r="D89" s="188">
        <f t="shared" si="7"/>
        <v>1909.6611818618378</v>
      </c>
      <c r="E89" s="186">
        <f t="shared" ca="1" si="8"/>
        <v>0</v>
      </c>
      <c r="F89" s="189">
        <f t="shared" ca="1" si="9"/>
        <v>343409.45132520277</v>
      </c>
    </row>
    <row r="90" spans="1:6" x14ac:dyDescent="0.35">
      <c r="A90" s="190">
        <v>80</v>
      </c>
      <c r="B90" s="186">
        <f t="shared" ca="1" si="5"/>
        <v>343409.45132520277</v>
      </c>
      <c r="C90" s="187">
        <f t="shared" ca="1" si="6"/>
        <v>1144.6981710840093</v>
      </c>
      <c r="D90" s="188">
        <f t="shared" si="7"/>
        <v>1909.6611818618378</v>
      </c>
      <c r="E90" s="186">
        <f t="shared" ca="1" si="8"/>
        <v>0</v>
      </c>
      <c r="F90" s="189">
        <f t="shared" ca="1" si="9"/>
        <v>342644.48831442493</v>
      </c>
    </row>
    <row r="91" spans="1:6" x14ac:dyDescent="0.35">
      <c r="A91" s="190">
        <v>81</v>
      </c>
      <c r="B91" s="186">
        <f t="shared" ca="1" si="5"/>
        <v>342644.48831442493</v>
      </c>
      <c r="C91" s="187">
        <f t="shared" ca="1" si="6"/>
        <v>1142.1482943814165</v>
      </c>
      <c r="D91" s="188">
        <f t="shared" si="7"/>
        <v>1909.6611818618378</v>
      </c>
      <c r="E91" s="186">
        <f t="shared" ca="1" si="8"/>
        <v>156</v>
      </c>
      <c r="F91" s="189">
        <f t="shared" ca="1" si="9"/>
        <v>341720.9754269445</v>
      </c>
    </row>
    <row r="92" spans="1:6" x14ac:dyDescent="0.35">
      <c r="A92" s="190">
        <v>82</v>
      </c>
      <c r="B92" s="186">
        <f t="shared" ca="1" si="5"/>
        <v>341720.9754269445</v>
      </c>
      <c r="C92" s="187">
        <f t="shared" ca="1" si="6"/>
        <v>1139.069918089815</v>
      </c>
      <c r="D92" s="188">
        <f t="shared" si="7"/>
        <v>1909.6611818618378</v>
      </c>
      <c r="E92" s="186">
        <f t="shared" ca="1" si="8"/>
        <v>0</v>
      </c>
      <c r="F92" s="189">
        <f t="shared" ca="1" si="9"/>
        <v>340950.38416317251</v>
      </c>
    </row>
    <row r="93" spans="1:6" x14ac:dyDescent="0.35">
      <c r="A93" s="190">
        <v>83</v>
      </c>
      <c r="B93" s="186">
        <f t="shared" ca="1" si="5"/>
        <v>340950.38416317251</v>
      </c>
      <c r="C93" s="187">
        <f t="shared" ca="1" si="6"/>
        <v>1136.5012805439085</v>
      </c>
      <c r="D93" s="188">
        <f t="shared" si="7"/>
        <v>1909.6611818618378</v>
      </c>
      <c r="E93" s="186">
        <f t="shared" ca="1" si="8"/>
        <v>0</v>
      </c>
      <c r="F93" s="189">
        <f t="shared" ca="1" si="9"/>
        <v>340177.2242618546</v>
      </c>
    </row>
    <row r="94" spans="1:6" x14ac:dyDescent="0.35">
      <c r="A94" s="190">
        <v>84</v>
      </c>
      <c r="B94" s="186">
        <f t="shared" ca="1" si="5"/>
        <v>340177.2242618546</v>
      </c>
      <c r="C94" s="187">
        <f t="shared" ca="1" si="6"/>
        <v>1133.9240808728487</v>
      </c>
      <c r="D94" s="188">
        <f t="shared" si="7"/>
        <v>1909.6611818618378</v>
      </c>
      <c r="E94" s="186">
        <f t="shared" ca="1" si="8"/>
        <v>104</v>
      </c>
      <c r="F94" s="189">
        <f t="shared" ca="1" si="9"/>
        <v>339297.48716086562</v>
      </c>
    </row>
    <row r="95" spans="1:6" x14ac:dyDescent="0.35">
      <c r="A95" s="190">
        <v>85</v>
      </c>
      <c r="B95" s="186">
        <f t="shared" ca="1" si="5"/>
        <v>339297.48716086562</v>
      </c>
      <c r="C95" s="187">
        <f t="shared" ca="1" si="6"/>
        <v>1130.9916238695521</v>
      </c>
      <c r="D95" s="188">
        <f t="shared" si="7"/>
        <v>1909.6611818618378</v>
      </c>
      <c r="E95" s="186">
        <f t="shared" ca="1" si="8"/>
        <v>0</v>
      </c>
      <c r="F95" s="189">
        <f t="shared" ca="1" si="9"/>
        <v>338518.81760287337</v>
      </c>
    </row>
    <row r="96" spans="1:6" x14ac:dyDescent="0.35">
      <c r="A96" s="190">
        <v>86</v>
      </c>
      <c r="B96" s="186">
        <f t="shared" ca="1" si="5"/>
        <v>338518.81760287337</v>
      </c>
      <c r="C96" s="187">
        <f t="shared" ca="1" si="6"/>
        <v>1128.3960586762446</v>
      </c>
      <c r="D96" s="188">
        <f t="shared" si="7"/>
        <v>1909.6611818618378</v>
      </c>
      <c r="E96" s="186">
        <f t="shared" ca="1" si="8"/>
        <v>0</v>
      </c>
      <c r="F96" s="189">
        <f t="shared" ca="1" si="9"/>
        <v>337737.55247968779</v>
      </c>
    </row>
    <row r="97" spans="1:6" x14ac:dyDescent="0.35">
      <c r="A97" s="190">
        <v>87</v>
      </c>
      <c r="B97" s="186">
        <f t="shared" ca="1" si="5"/>
        <v>337737.55247968779</v>
      </c>
      <c r="C97" s="187">
        <f t="shared" ca="1" si="6"/>
        <v>1125.7918415989593</v>
      </c>
      <c r="D97" s="188">
        <f t="shared" si="7"/>
        <v>1909.6611818618378</v>
      </c>
      <c r="E97" s="186">
        <f t="shared" ca="1" si="8"/>
        <v>125</v>
      </c>
      <c r="F97" s="189">
        <f t="shared" ca="1" si="9"/>
        <v>336828.68313942495</v>
      </c>
    </row>
    <row r="98" spans="1:6" x14ac:dyDescent="0.35">
      <c r="A98" s="190">
        <v>88</v>
      </c>
      <c r="B98" s="186">
        <f t="shared" ca="1" si="5"/>
        <v>336828.68313942495</v>
      </c>
      <c r="C98" s="187">
        <f t="shared" ca="1" si="6"/>
        <v>1122.7622771314166</v>
      </c>
      <c r="D98" s="188">
        <f t="shared" si="7"/>
        <v>1909.6611818618378</v>
      </c>
      <c r="E98" s="186">
        <f t="shared" ca="1" si="8"/>
        <v>0</v>
      </c>
      <c r="F98" s="189">
        <f t="shared" ca="1" si="9"/>
        <v>336041.78423469455</v>
      </c>
    </row>
    <row r="99" spans="1:6" x14ac:dyDescent="0.35">
      <c r="A99" s="190">
        <v>89</v>
      </c>
      <c r="B99" s="186">
        <f t="shared" ca="1" si="5"/>
        <v>336041.78423469455</v>
      </c>
      <c r="C99" s="187">
        <f t="shared" ca="1" si="6"/>
        <v>1120.1392807823152</v>
      </c>
      <c r="D99" s="188">
        <f t="shared" si="7"/>
        <v>1909.6611818618378</v>
      </c>
      <c r="E99" s="186">
        <f t="shared" ca="1" si="8"/>
        <v>0</v>
      </c>
      <c r="F99" s="189">
        <f t="shared" ca="1" si="9"/>
        <v>335252.26233361504</v>
      </c>
    </row>
    <row r="100" spans="1:6" x14ac:dyDescent="0.35">
      <c r="A100" s="190">
        <v>90</v>
      </c>
      <c r="B100" s="186">
        <f t="shared" ca="1" si="5"/>
        <v>335252.26233361504</v>
      </c>
      <c r="C100" s="187">
        <f t="shared" ca="1" si="6"/>
        <v>1117.5075411120501</v>
      </c>
      <c r="D100" s="188">
        <f t="shared" si="7"/>
        <v>1909.6611818618378</v>
      </c>
      <c r="E100" s="186">
        <f t="shared" ca="1" si="8"/>
        <v>138</v>
      </c>
      <c r="F100" s="189">
        <f t="shared" ca="1" si="9"/>
        <v>334322.10869286529</v>
      </c>
    </row>
    <row r="101" spans="1:6" x14ac:dyDescent="0.35">
      <c r="A101" s="190">
        <v>91</v>
      </c>
      <c r="B101" s="186">
        <f t="shared" ca="1" si="5"/>
        <v>334322.10869286529</v>
      </c>
      <c r="C101" s="187">
        <f t="shared" ca="1" si="6"/>
        <v>1114.4070289762178</v>
      </c>
      <c r="D101" s="188">
        <f t="shared" si="7"/>
        <v>1909.6611818618378</v>
      </c>
      <c r="E101" s="186">
        <f t="shared" ca="1" si="8"/>
        <v>0</v>
      </c>
      <c r="F101" s="189">
        <f t="shared" ca="1" si="9"/>
        <v>333526.85453997971</v>
      </c>
    </row>
    <row r="102" spans="1:6" x14ac:dyDescent="0.35">
      <c r="A102" s="190">
        <v>92</v>
      </c>
      <c r="B102" s="186">
        <f t="shared" ca="1" si="5"/>
        <v>333526.85453997971</v>
      </c>
      <c r="C102" s="187">
        <f t="shared" ca="1" si="6"/>
        <v>1111.7561817999324</v>
      </c>
      <c r="D102" s="188">
        <f t="shared" si="7"/>
        <v>1909.6611818618378</v>
      </c>
      <c r="E102" s="186">
        <f t="shared" ca="1" si="8"/>
        <v>0</v>
      </c>
      <c r="F102" s="189">
        <f t="shared" ca="1" si="9"/>
        <v>332728.94953991781</v>
      </c>
    </row>
    <row r="103" spans="1:6" x14ac:dyDescent="0.35">
      <c r="A103" s="190">
        <v>93</v>
      </c>
      <c r="B103" s="186">
        <f t="shared" ca="1" si="5"/>
        <v>332728.94953991781</v>
      </c>
      <c r="C103" s="187">
        <f t="shared" ca="1" si="6"/>
        <v>1109.0964984663926</v>
      </c>
      <c r="D103" s="188">
        <f t="shared" si="7"/>
        <v>1909.6611818618378</v>
      </c>
      <c r="E103" s="186">
        <f t="shared" ca="1" si="8"/>
        <v>153</v>
      </c>
      <c r="F103" s="189">
        <f t="shared" ca="1" si="9"/>
        <v>331775.38485652237</v>
      </c>
    </row>
    <row r="104" spans="1:6" x14ac:dyDescent="0.35">
      <c r="A104" s="190">
        <v>94</v>
      </c>
      <c r="B104" s="186">
        <f t="shared" ca="1" si="5"/>
        <v>331775.38485652237</v>
      </c>
      <c r="C104" s="187">
        <f t="shared" ca="1" si="6"/>
        <v>1105.9179495217413</v>
      </c>
      <c r="D104" s="188">
        <f t="shared" si="7"/>
        <v>1909.6611818618378</v>
      </c>
      <c r="E104" s="186">
        <f t="shared" ca="1" si="8"/>
        <v>0</v>
      </c>
      <c r="F104" s="189">
        <f t="shared" ca="1" si="9"/>
        <v>330971.64162418229</v>
      </c>
    </row>
    <row r="105" spans="1:6" x14ac:dyDescent="0.35">
      <c r="A105" s="190">
        <v>95</v>
      </c>
      <c r="B105" s="186">
        <f t="shared" ca="1" si="5"/>
        <v>330971.64162418229</v>
      </c>
      <c r="C105" s="187">
        <f t="shared" ca="1" si="6"/>
        <v>1103.238805413941</v>
      </c>
      <c r="D105" s="188">
        <f t="shared" si="7"/>
        <v>1909.6611818618378</v>
      </c>
      <c r="E105" s="186">
        <f t="shared" ca="1" si="8"/>
        <v>0</v>
      </c>
      <c r="F105" s="189">
        <f t="shared" ca="1" si="9"/>
        <v>330165.21924773441</v>
      </c>
    </row>
    <row r="106" spans="1:6" x14ac:dyDescent="0.35">
      <c r="A106" s="190">
        <v>96</v>
      </c>
      <c r="B106" s="186">
        <f t="shared" ca="1" si="5"/>
        <v>330165.21924773441</v>
      </c>
      <c r="C106" s="187">
        <f t="shared" ca="1" si="6"/>
        <v>1100.5507308257813</v>
      </c>
      <c r="D106" s="188">
        <f t="shared" si="7"/>
        <v>1909.6611818618378</v>
      </c>
      <c r="E106" s="186">
        <f t="shared" ca="1" si="8"/>
        <v>124</v>
      </c>
      <c r="F106" s="189">
        <f t="shared" ca="1" si="9"/>
        <v>329232.10879669839</v>
      </c>
    </row>
    <row r="107" spans="1:6" x14ac:dyDescent="0.35">
      <c r="A107" s="190">
        <v>97</v>
      </c>
      <c r="B107" s="186">
        <f t="shared" ca="1" si="5"/>
        <v>329232.10879669839</v>
      </c>
      <c r="C107" s="187">
        <f t="shared" ca="1" si="6"/>
        <v>1097.4403626556614</v>
      </c>
      <c r="D107" s="188">
        <f t="shared" si="7"/>
        <v>1909.6611818618378</v>
      </c>
      <c r="E107" s="186">
        <f t="shared" ca="1" si="8"/>
        <v>0</v>
      </c>
      <c r="F107" s="189">
        <f t="shared" ca="1" si="9"/>
        <v>328419.88797749224</v>
      </c>
    </row>
    <row r="108" spans="1:6" x14ac:dyDescent="0.35">
      <c r="A108" s="190">
        <v>98</v>
      </c>
      <c r="B108" s="186">
        <f t="shared" ca="1" si="5"/>
        <v>328419.88797749224</v>
      </c>
      <c r="C108" s="187">
        <f t="shared" ca="1" si="6"/>
        <v>1094.732959924974</v>
      </c>
      <c r="D108" s="188">
        <f t="shared" si="7"/>
        <v>1909.6611818618378</v>
      </c>
      <c r="E108" s="186">
        <f t="shared" ca="1" si="8"/>
        <v>0</v>
      </c>
      <c r="F108" s="189">
        <f t="shared" ca="1" si="9"/>
        <v>327604.95975555538</v>
      </c>
    </row>
    <row r="109" spans="1:6" x14ac:dyDescent="0.35">
      <c r="A109" s="190">
        <v>99</v>
      </c>
      <c r="B109" s="186">
        <f t="shared" ca="1" si="5"/>
        <v>327604.95975555538</v>
      </c>
      <c r="C109" s="187">
        <f t="shared" ca="1" si="6"/>
        <v>1092.0165325185178</v>
      </c>
      <c r="D109" s="188">
        <f t="shared" si="7"/>
        <v>1909.6611818618378</v>
      </c>
      <c r="E109" s="186">
        <f t="shared" ca="1" si="8"/>
        <v>163</v>
      </c>
      <c r="F109" s="189">
        <f t="shared" ca="1" si="9"/>
        <v>326624.31510621205</v>
      </c>
    </row>
    <row r="110" spans="1:6" x14ac:dyDescent="0.35">
      <c r="A110" s="190">
        <v>100</v>
      </c>
      <c r="B110" s="186">
        <f t="shared" ca="1" si="5"/>
        <v>326624.31510621205</v>
      </c>
      <c r="C110" s="187">
        <f t="shared" ca="1" si="6"/>
        <v>1088.7477170207069</v>
      </c>
      <c r="D110" s="188">
        <f t="shared" si="7"/>
        <v>1909.6611818618378</v>
      </c>
      <c r="E110" s="186">
        <f t="shared" ca="1" si="8"/>
        <v>0</v>
      </c>
      <c r="F110" s="189">
        <f t="shared" ca="1" si="9"/>
        <v>325803.4016413709</v>
      </c>
    </row>
    <row r="111" spans="1:6" x14ac:dyDescent="0.35">
      <c r="A111" s="190">
        <v>101</v>
      </c>
      <c r="B111" s="186">
        <f t="shared" ca="1" si="5"/>
        <v>325803.4016413709</v>
      </c>
      <c r="C111" s="187">
        <f t="shared" ca="1" si="6"/>
        <v>1086.0113388045697</v>
      </c>
      <c r="D111" s="188">
        <f t="shared" si="7"/>
        <v>1909.6611818618378</v>
      </c>
      <c r="E111" s="186">
        <f t="shared" ca="1" si="8"/>
        <v>0</v>
      </c>
      <c r="F111" s="189">
        <f t="shared" ca="1" si="9"/>
        <v>324979.75179831363</v>
      </c>
    </row>
    <row r="112" spans="1:6" x14ac:dyDescent="0.35">
      <c r="A112" s="190">
        <v>102</v>
      </c>
      <c r="B112" s="186">
        <f t="shared" ca="1" si="5"/>
        <v>324979.75179831363</v>
      </c>
      <c r="C112" s="187">
        <f t="shared" ca="1" si="6"/>
        <v>1083.2658393277122</v>
      </c>
      <c r="D112" s="188">
        <f t="shared" si="7"/>
        <v>1909.6611818618378</v>
      </c>
      <c r="E112" s="186">
        <f t="shared" ca="1" si="8"/>
        <v>114</v>
      </c>
      <c r="F112" s="189">
        <f t="shared" ca="1" si="9"/>
        <v>324039.35645577952</v>
      </c>
    </row>
    <row r="113" spans="1:6" x14ac:dyDescent="0.35">
      <c r="A113" s="190">
        <v>103</v>
      </c>
      <c r="B113" s="186">
        <f t="shared" ca="1" si="5"/>
        <v>324039.35645577952</v>
      </c>
      <c r="C113" s="187">
        <f t="shared" ca="1" si="6"/>
        <v>1080.1311881859317</v>
      </c>
      <c r="D113" s="188">
        <f t="shared" si="7"/>
        <v>1909.6611818618378</v>
      </c>
      <c r="E113" s="186">
        <f t="shared" ca="1" si="8"/>
        <v>0</v>
      </c>
      <c r="F113" s="189">
        <f t="shared" ca="1" si="9"/>
        <v>323209.82646210364</v>
      </c>
    </row>
    <row r="114" spans="1:6" x14ac:dyDescent="0.35">
      <c r="A114" s="190">
        <v>104</v>
      </c>
      <c r="B114" s="186">
        <f t="shared" ca="1" si="5"/>
        <v>323209.82646210364</v>
      </c>
      <c r="C114" s="187">
        <f t="shared" ca="1" si="6"/>
        <v>1077.3660882070121</v>
      </c>
      <c r="D114" s="188">
        <f t="shared" si="7"/>
        <v>1909.6611818618378</v>
      </c>
      <c r="E114" s="186">
        <f t="shared" ca="1" si="8"/>
        <v>0</v>
      </c>
      <c r="F114" s="189">
        <f t="shared" ca="1" si="9"/>
        <v>322377.53136844881</v>
      </c>
    </row>
    <row r="115" spans="1:6" x14ac:dyDescent="0.35">
      <c r="A115" s="190">
        <v>105</v>
      </c>
      <c r="B115" s="186">
        <f t="shared" ca="1" si="5"/>
        <v>322377.53136844881</v>
      </c>
      <c r="C115" s="187">
        <f t="shared" ca="1" si="6"/>
        <v>1074.5917712281628</v>
      </c>
      <c r="D115" s="188">
        <f t="shared" si="7"/>
        <v>1909.6611818618378</v>
      </c>
      <c r="E115" s="186">
        <f t="shared" ca="1" si="8"/>
        <v>128</v>
      </c>
      <c r="F115" s="189">
        <f t="shared" ca="1" si="9"/>
        <v>321414.46195781516</v>
      </c>
    </row>
    <row r="116" spans="1:6" x14ac:dyDescent="0.35">
      <c r="A116" s="190">
        <v>106</v>
      </c>
      <c r="B116" s="186">
        <f t="shared" ca="1" si="5"/>
        <v>321414.46195781516</v>
      </c>
      <c r="C116" s="187">
        <f t="shared" ca="1" si="6"/>
        <v>1071.381539859384</v>
      </c>
      <c r="D116" s="188">
        <f t="shared" si="7"/>
        <v>1909.6611818618378</v>
      </c>
      <c r="E116" s="186">
        <f t="shared" ca="1" si="8"/>
        <v>0</v>
      </c>
      <c r="F116" s="189">
        <f t="shared" ca="1" si="9"/>
        <v>320576.18231581274</v>
      </c>
    </row>
    <row r="117" spans="1:6" x14ac:dyDescent="0.35">
      <c r="A117" s="190">
        <v>107</v>
      </c>
      <c r="B117" s="186">
        <f t="shared" ca="1" si="5"/>
        <v>320576.18231581274</v>
      </c>
      <c r="C117" s="187">
        <f t="shared" ca="1" si="6"/>
        <v>1068.5872743860425</v>
      </c>
      <c r="D117" s="188">
        <f t="shared" si="7"/>
        <v>1909.6611818618378</v>
      </c>
      <c r="E117" s="186">
        <f t="shared" ca="1" si="8"/>
        <v>0</v>
      </c>
      <c r="F117" s="189">
        <f t="shared" ca="1" si="9"/>
        <v>319735.10840833694</v>
      </c>
    </row>
    <row r="118" spans="1:6" x14ac:dyDescent="0.35">
      <c r="A118" s="190">
        <v>108</v>
      </c>
      <c r="B118" s="186">
        <f t="shared" ca="1" si="5"/>
        <v>319735.10840833694</v>
      </c>
      <c r="C118" s="187">
        <f t="shared" ca="1" si="6"/>
        <v>1065.7836946944565</v>
      </c>
      <c r="D118" s="188">
        <f t="shared" si="7"/>
        <v>1909.6611818618378</v>
      </c>
      <c r="E118" s="186">
        <f t="shared" ca="1" si="8"/>
        <v>128</v>
      </c>
      <c r="F118" s="189">
        <f t="shared" ca="1" si="9"/>
        <v>318763.23092116957</v>
      </c>
    </row>
    <row r="119" spans="1:6" x14ac:dyDescent="0.35">
      <c r="A119" s="190">
        <v>109</v>
      </c>
      <c r="B119" s="186">
        <f t="shared" ca="1" si="5"/>
        <v>318763.23092116957</v>
      </c>
      <c r="C119" s="187">
        <f t="shared" ca="1" si="6"/>
        <v>1062.5441030705654</v>
      </c>
      <c r="D119" s="188">
        <f t="shared" si="7"/>
        <v>1909.6611818618378</v>
      </c>
      <c r="E119" s="186">
        <f t="shared" ca="1" si="8"/>
        <v>0</v>
      </c>
      <c r="F119" s="189">
        <f t="shared" ca="1" si="9"/>
        <v>317916.11384237831</v>
      </c>
    </row>
    <row r="120" spans="1:6" x14ac:dyDescent="0.35">
      <c r="A120" s="190">
        <v>110</v>
      </c>
      <c r="B120" s="186">
        <f t="shared" ca="1" si="5"/>
        <v>317916.11384237831</v>
      </c>
      <c r="C120" s="187">
        <f t="shared" ca="1" si="6"/>
        <v>1059.7203794745944</v>
      </c>
      <c r="D120" s="188">
        <f t="shared" si="7"/>
        <v>1909.6611818618378</v>
      </c>
      <c r="E120" s="186">
        <f t="shared" ca="1" si="8"/>
        <v>0</v>
      </c>
      <c r="F120" s="189">
        <f t="shared" ca="1" si="9"/>
        <v>317066.17303999106</v>
      </c>
    </row>
    <row r="121" spans="1:6" x14ac:dyDescent="0.35">
      <c r="A121" s="190">
        <v>111</v>
      </c>
      <c r="B121" s="186">
        <f t="shared" ca="1" si="5"/>
        <v>317066.17303999106</v>
      </c>
      <c r="C121" s="187">
        <f t="shared" ca="1" si="6"/>
        <v>1056.8872434666368</v>
      </c>
      <c r="D121" s="188">
        <f t="shared" si="7"/>
        <v>1909.6611818618378</v>
      </c>
      <c r="E121" s="186">
        <f t="shared" ca="1" si="8"/>
        <v>145</v>
      </c>
      <c r="F121" s="189">
        <f t="shared" ca="1" si="9"/>
        <v>316068.39910159586</v>
      </c>
    </row>
    <row r="122" spans="1:6" x14ac:dyDescent="0.35">
      <c r="A122" s="190">
        <v>112</v>
      </c>
      <c r="B122" s="186">
        <f t="shared" ca="1" si="5"/>
        <v>316068.39910159586</v>
      </c>
      <c r="C122" s="187">
        <f t="shared" ca="1" si="6"/>
        <v>1053.5613303386529</v>
      </c>
      <c r="D122" s="188">
        <f t="shared" si="7"/>
        <v>1909.6611818618378</v>
      </c>
      <c r="E122" s="186">
        <f t="shared" ca="1" si="8"/>
        <v>0</v>
      </c>
      <c r="F122" s="189">
        <f t="shared" ca="1" si="9"/>
        <v>315212.29925007268</v>
      </c>
    </row>
    <row r="123" spans="1:6" x14ac:dyDescent="0.35">
      <c r="A123" s="190">
        <v>113</v>
      </c>
      <c r="B123" s="186">
        <f t="shared" ca="1" si="5"/>
        <v>315212.29925007268</v>
      </c>
      <c r="C123" s="187">
        <f t="shared" ca="1" si="6"/>
        <v>1050.7076641669089</v>
      </c>
      <c r="D123" s="188">
        <f t="shared" si="7"/>
        <v>1909.6611818618378</v>
      </c>
      <c r="E123" s="186">
        <f t="shared" ca="1" si="8"/>
        <v>0</v>
      </c>
      <c r="F123" s="189">
        <f t="shared" ca="1" si="9"/>
        <v>314353.34573237778</v>
      </c>
    </row>
    <row r="124" spans="1:6" x14ac:dyDescent="0.35">
      <c r="A124" s="190">
        <v>114</v>
      </c>
      <c r="B124" s="186">
        <f t="shared" ca="1" si="5"/>
        <v>314353.34573237778</v>
      </c>
      <c r="C124" s="187">
        <f t="shared" ca="1" si="6"/>
        <v>1047.8444857745926</v>
      </c>
      <c r="D124" s="188">
        <f t="shared" si="7"/>
        <v>1909.6611818618378</v>
      </c>
      <c r="E124" s="186">
        <f t="shared" ca="1" si="8"/>
        <v>149</v>
      </c>
      <c r="F124" s="189">
        <f t="shared" ca="1" si="9"/>
        <v>313342.52903629054</v>
      </c>
    </row>
    <row r="125" spans="1:6" x14ac:dyDescent="0.35">
      <c r="A125" s="190">
        <v>115</v>
      </c>
      <c r="B125" s="186">
        <f t="shared" ca="1" si="5"/>
        <v>313342.52903629054</v>
      </c>
      <c r="C125" s="187">
        <f t="shared" ca="1" si="6"/>
        <v>1044.475096787635</v>
      </c>
      <c r="D125" s="188">
        <f t="shared" si="7"/>
        <v>1909.6611818618378</v>
      </c>
      <c r="E125" s="186">
        <f t="shared" ca="1" si="8"/>
        <v>0</v>
      </c>
      <c r="F125" s="189">
        <f t="shared" ca="1" si="9"/>
        <v>312477.34295121633</v>
      </c>
    </row>
    <row r="126" spans="1:6" x14ac:dyDescent="0.35">
      <c r="A126" s="190">
        <v>116</v>
      </c>
      <c r="B126" s="186">
        <f t="shared" ca="1" si="5"/>
        <v>312477.34295121633</v>
      </c>
      <c r="C126" s="187">
        <f t="shared" ca="1" si="6"/>
        <v>1041.5911431707211</v>
      </c>
      <c r="D126" s="188">
        <f t="shared" si="7"/>
        <v>1909.6611818618378</v>
      </c>
      <c r="E126" s="186">
        <f t="shared" ca="1" si="8"/>
        <v>0</v>
      </c>
      <c r="F126" s="189">
        <f t="shared" ca="1" si="9"/>
        <v>311609.27291252522</v>
      </c>
    </row>
    <row r="127" spans="1:6" x14ac:dyDescent="0.35">
      <c r="A127" s="190">
        <v>117</v>
      </c>
      <c r="B127" s="186">
        <f t="shared" ca="1" si="5"/>
        <v>311609.27291252522</v>
      </c>
      <c r="C127" s="187">
        <f t="shared" ca="1" si="6"/>
        <v>1038.6975763750841</v>
      </c>
      <c r="D127" s="188">
        <f t="shared" si="7"/>
        <v>1909.6611818618378</v>
      </c>
      <c r="E127" s="186">
        <f t="shared" ca="1" si="8"/>
        <v>169</v>
      </c>
      <c r="F127" s="189">
        <f t="shared" ca="1" si="9"/>
        <v>310569.30930703849</v>
      </c>
    </row>
    <row r="128" spans="1:6" x14ac:dyDescent="0.35">
      <c r="A128" s="190">
        <v>118</v>
      </c>
      <c r="B128" s="186">
        <f t="shared" ca="1" si="5"/>
        <v>310569.30930703849</v>
      </c>
      <c r="C128" s="187">
        <f t="shared" ca="1" si="6"/>
        <v>1035.2310310234618</v>
      </c>
      <c r="D128" s="188">
        <f t="shared" si="7"/>
        <v>1909.6611818618378</v>
      </c>
      <c r="E128" s="186">
        <f t="shared" ca="1" si="8"/>
        <v>0</v>
      </c>
      <c r="F128" s="189">
        <f t="shared" ca="1" si="9"/>
        <v>309694.87915620016</v>
      </c>
    </row>
    <row r="129" spans="1:6" x14ac:dyDescent="0.35">
      <c r="A129" s="190">
        <v>119</v>
      </c>
      <c r="B129" s="186">
        <f t="shared" ca="1" si="5"/>
        <v>309694.87915620016</v>
      </c>
      <c r="C129" s="187">
        <f t="shared" ca="1" si="6"/>
        <v>1032.3162638540005</v>
      </c>
      <c r="D129" s="188">
        <f t="shared" si="7"/>
        <v>1909.6611818618378</v>
      </c>
      <c r="E129" s="186">
        <f t="shared" ca="1" si="8"/>
        <v>0</v>
      </c>
      <c r="F129" s="189">
        <f t="shared" ca="1" si="9"/>
        <v>308817.53423819231</v>
      </c>
    </row>
    <row r="130" spans="1:6" x14ac:dyDescent="0.35">
      <c r="A130" s="190">
        <v>120</v>
      </c>
      <c r="B130" s="186">
        <f t="shared" ca="1" si="5"/>
        <v>308817.53423819231</v>
      </c>
      <c r="C130" s="187">
        <f t="shared" ca="1" si="6"/>
        <v>1029.3917807939745</v>
      </c>
      <c r="D130" s="188">
        <f t="shared" si="7"/>
        <v>1909.6611818618378</v>
      </c>
      <c r="E130" s="186">
        <f t="shared" ca="1" si="8"/>
        <v>125</v>
      </c>
      <c r="F130" s="189">
        <f t="shared" ca="1" si="9"/>
        <v>307812.26483712444</v>
      </c>
    </row>
    <row r="131" spans="1:6" x14ac:dyDescent="0.35">
      <c r="A131" s="190">
        <v>121</v>
      </c>
      <c r="B131" s="186">
        <f t="shared" ca="1" si="5"/>
        <v>307812.26483712444</v>
      </c>
      <c r="C131" s="187">
        <f t="shared" ca="1" si="6"/>
        <v>1026.0408827904148</v>
      </c>
      <c r="D131" s="188">
        <f t="shared" si="7"/>
        <v>1909.6611818618378</v>
      </c>
      <c r="E131" s="186">
        <f t="shared" ca="1" si="8"/>
        <v>0</v>
      </c>
      <c r="F131" s="189">
        <f t="shared" ca="1" si="9"/>
        <v>306928.64453805302</v>
      </c>
    </row>
    <row r="132" spans="1:6" x14ac:dyDescent="0.35">
      <c r="A132" s="190">
        <v>122</v>
      </c>
      <c r="B132" s="186">
        <f t="shared" ca="1" si="5"/>
        <v>306928.64453805302</v>
      </c>
      <c r="C132" s="187">
        <f t="shared" ca="1" si="6"/>
        <v>1023.0954817935102</v>
      </c>
      <c r="D132" s="188">
        <f t="shared" si="7"/>
        <v>1909.6611818618378</v>
      </c>
      <c r="E132" s="186">
        <f t="shared" ca="1" si="8"/>
        <v>0</v>
      </c>
      <c r="F132" s="189">
        <f t="shared" ca="1" si="9"/>
        <v>306042.07883798471</v>
      </c>
    </row>
    <row r="133" spans="1:6" x14ac:dyDescent="0.35">
      <c r="A133" s="190">
        <v>123</v>
      </c>
      <c r="B133" s="186">
        <f t="shared" ca="1" si="5"/>
        <v>306042.07883798471</v>
      </c>
      <c r="C133" s="187">
        <f t="shared" ca="1" si="6"/>
        <v>1020.1402627932824</v>
      </c>
      <c r="D133" s="188">
        <f t="shared" si="7"/>
        <v>1909.6611818618378</v>
      </c>
      <c r="E133" s="186">
        <f t="shared" ca="1" si="8"/>
        <v>139</v>
      </c>
      <c r="F133" s="189">
        <f t="shared" ca="1" si="9"/>
        <v>305013.55791891617</v>
      </c>
    </row>
    <row r="134" spans="1:6" x14ac:dyDescent="0.35">
      <c r="A134" s="190">
        <v>124</v>
      </c>
      <c r="B134" s="186">
        <f t="shared" ca="1" si="5"/>
        <v>305013.55791891617</v>
      </c>
      <c r="C134" s="187">
        <f t="shared" ca="1" si="6"/>
        <v>1016.7118597297205</v>
      </c>
      <c r="D134" s="188">
        <f t="shared" si="7"/>
        <v>1909.6611818618378</v>
      </c>
      <c r="E134" s="186">
        <f t="shared" ca="1" si="8"/>
        <v>0</v>
      </c>
      <c r="F134" s="189">
        <f t="shared" ca="1" si="9"/>
        <v>304120.60859678406</v>
      </c>
    </row>
    <row r="135" spans="1:6" x14ac:dyDescent="0.35">
      <c r="A135" s="190">
        <v>125</v>
      </c>
      <c r="B135" s="186">
        <f t="shared" ca="1" si="5"/>
        <v>304120.60859678406</v>
      </c>
      <c r="C135" s="187">
        <f t="shared" ca="1" si="6"/>
        <v>1013.7353619892802</v>
      </c>
      <c r="D135" s="188">
        <f t="shared" si="7"/>
        <v>1909.6611818618378</v>
      </c>
      <c r="E135" s="186">
        <f t="shared" ca="1" si="8"/>
        <v>0</v>
      </c>
      <c r="F135" s="189">
        <f t="shared" ca="1" si="9"/>
        <v>303224.68277691153</v>
      </c>
    </row>
    <row r="136" spans="1:6" x14ac:dyDescent="0.35">
      <c r="A136" s="190">
        <v>126</v>
      </c>
      <c r="B136" s="186">
        <f t="shared" ca="1" si="5"/>
        <v>303224.68277691153</v>
      </c>
      <c r="C136" s="187">
        <f t="shared" ca="1" si="6"/>
        <v>1010.7489425897052</v>
      </c>
      <c r="D136" s="188">
        <f t="shared" si="7"/>
        <v>1909.6611818618378</v>
      </c>
      <c r="E136" s="186">
        <f t="shared" ca="1" si="8"/>
        <v>173</v>
      </c>
      <c r="F136" s="189">
        <f t="shared" ca="1" si="9"/>
        <v>302152.77053763939</v>
      </c>
    </row>
    <row r="137" spans="1:6" x14ac:dyDescent="0.35">
      <c r="A137" s="190">
        <v>127</v>
      </c>
      <c r="B137" s="186">
        <f t="shared" ca="1" si="5"/>
        <v>302152.77053763939</v>
      </c>
      <c r="C137" s="187">
        <f t="shared" ca="1" si="6"/>
        <v>1007.1759017921313</v>
      </c>
      <c r="D137" s="188">
        <f t="shared" si="7"/>
        <v>1909.6611818618378</v>
      </c>
      <c r="E137" s="186">
        <f t="shared" ca="1" si="8"/>
        <v>0</v>
      </c>
      <c r="F137" s="189">
        <f t="shared" ca="1" si="9"/>
        <v>301250.28525756969</v>
      </c>
    </row>
    <row r="138" spans="1:6" x14ac:dyDescent="0.35">
      <c r="A138" s="190">
        <v>128</v>
      </c>
      <c r="B138" s="186">
        <f t="shared" ca="1" si="5"/>
        <v>301250.28525756969</v>
      </c>
      <c r="C138" s="187">
        <f t="shared" ca="1" si="6"/>
        <v>1004.1676175252323</v>
      </c>
      <c r="D138" s="188">
        <f t="shared" si="7"/>
        <v>1909.6611818618378</v>
      </c>
      <c r="E138" s="186">
        <f t="shared" ca="1" si="8"/>
        <v>0</v>
      </c>
      <c r="F138" s="189">
        <f t="shared" ca="1" si="9"/>
        <v>300344.79169323307</v>
      </c>
    </row>
    <row r="139" spans="1:6" x14ac:dyDescent="0.35">
      <c r="A139" s="190">
        <v>129</v>
      </c>
      <c r="B139" s="186">
        <f t="shared" ca="1" si="5"/>
        <v>300344.79169323307</v>
      </c>
      <c r="C139" s="187">
        <f t="shared" ca="1" si="6"/>
        <v>1001.1493056441103</v>
      </c>
      <c r="D139" s="188">
        <f t="shared" si="7"/>
        <v>1909.6611818618378</v>
      </c>
      <c r="E139" s="186">
        <f t="shared" ca="1" si="8"/>
        <v>161</v>
      </c>
      <c r="F139" s="189">
        <f t="shared" ca="1" si="9"/>
        <v>299275.27981701534</v>
      </c>
    </row>
    <row r="140" spans="1:6" x14ac:dyDescent="0.35">
      <c r="A140" s="190">
        <v>130</v>
      </c>
      <c r="B140" s="186">
        <f t="shared" ref="B140:B203" ca="1" si="10">F139</f>
        <v>299275.27981701534</v>
      </c>
      <c r="C140" s="187">
        <f t="shared" ref="C140:C203" ca="1" si="11">B140*$C$3/12</f>
        <v>997.58426605671775</v>
      </c>
      <c r="D140" s="188">
        <f t="shared" ref="D140:D203" si="12">$C$5</f>
        <v>1909.6611818618378</v>
      </c>
      <c r="E140" s="186">
        <f t="shared" ref="E140:E203" ca="1" si="13">IF(MOD(A140,3)=0,RANDBETWEEN(100,200),0)</f>
        <v>0</v>
      </c>
      <c r="F140" s="189">
        <f t="shared" ref="F140:F203" ca="1" si="14">B140+C140-D140-E140</f>
        <v>298363.20290121023</v>
      </c>
    </row>
    <row r="141" spans="1:6" x14ac:dyDescent="0.35">
      <c r="A141" s="190">
        <v>131</v>
      </c>
      <c r="B141" s="186">
        <f t="shared" ca="1" si="10"/>
        <v>298363.20290121023</v>
      </c>
      <c r="C141" s="187">
        <f t="shared" ca="1" si="11"/>
        <v>994.5440096707008</v>
      </c>
      <c r="D141" s="188">
        <f t="shared" si="12"/>
        <v>1909.6611818618378</v>
      </c>
      <c r="E141" s="186">
        <f t="shared" ca="1" si="13"/>
        <v>0</v>
      </c>
      <c r="F141" s="189">
        <f t="shared" ca="1" si="14"/>
        <v>297448.08572901908</v>
      </c>
    </row>
    <row r="142" spans="1:6" x14ac:dyDescent="0.35">
      <c r="A142" s="190">
        <v>132</v>
      </c>
      <c r="B142" s="186">
        <f t="shared" ca="1" si="10"/>
        <v>297448.08572901908</v>
      </c>
      <c r="C142" s="187">
        <f t="shared" ca="1" si="11"/>
        <v>991.49361909673019</v>
      </c>
      <c r="D142" s="188">
        <f t="shared" si="12"/>
        <v>1909.6611818618378</v>
      </c>
      <c r="E142" s="186">
        <f t="shared" ca="1" si="13"/>
        <v>164</v>
      </c>
      <c r="F142" s="189">
        <f t="shared" ca="1" si="14"/>
        <v>296365.91816625401</v>
      </c>
    </row>
    <row r="143" spans="1:6" x14ac:dyDescent="0.35">
      <c r="A143" s="190">
        <v>133</v>
      </c>
      <c r="B143" s="186">
        <f t="shared" ca="1" si="10"/>
        <v>296365.91816625401</v>
      </c>
      <c r="C143" s="187">
        <f t="shared" ca="1" si="11"/>
        <v>987.88639388751335</v>
      </c>
      <c r="D143" s="188">
        <f t="shared" si="12"/>
        <v>1909.6611818618378</v>
      </c>
      <c r="E143" s="186">
        <f t="shared" ca="1" si="13"/>
        <v>0</v>
      </c>
      <c r="F143" s="189">
        <f t="shared" ca="1" si="14"/>
        <v>295444.1433782797</v>
      </c>
    </row>
    <row r="144" spans="1:6" x14ac:dyDescent="0.35">
      <c r="A144" s="190">
        <v>134</v>
      </c>
      <c r="B144" s="186">
        <f t="shared" ca="1" si="10"/>
        <v>295444.1433782797</v>
      </c>
      <c r="C144" s="187">
        <f t="shared" ca="1" si="11"/>
        <v>984.81381126093231</v>
      </c>
      <c r="D144" s="188">
        <f t="shared" si="12"/>
        <v>1909.6611818618378</v>
      </c>
      <c r="E144" s="186">
        <f t="shared" ca="1" si="13"/>
        <v>0</v>
      </c>
      <c r="F144" s="189">
        <f t="shared" ca="1" si="14"/>
        <v>294519.29600767879</v>
      </c>
    </row>
    <row r="145" spans="1:6" x14ac:dyDescent="0.35">
      <c r="A145" s="190">
        <v>135</v>
      </c>
      <c r="B145" s="186">
        <f t="shared" ca="1" si="10"/>
        <v>294519.29600767879</v>
      </c>
      <c r="C145" s="187">
        <f t="shared" ca="1" si="11"/>
        <v>981.73098669226272</v>
      </c>
      <c r="D145" s="188">
        <f t="shared" si="12"/>
        <v>1909.6611818618378</v>
      </c>
      <c r="E145" s="186">
        <f t="shared" ca="1" si="13"/>
        <v>139</v>
      </c>
      <c r="F145" s="189">
        <f t="shared" ca="1" si="14"/>
        <v>293452.3658125092</v>
      </c>
    </row>
    <row r="146" spans="1:6" x14ac:dyDescent="0.35">
      <c r="A146" s="190">
        <v>136</v>
      </c>
      <c r="B146" s="186">
        <f t="shared" ca="1" si="10"/>
        <v>293452.3658125092</v>
      </c>
      <c r="C146" s="187">
        <f t="shared" ca="1" si="11"/>
        <v>978.17455270836399</v>
      </c>
      <c r="D146" s="188">
        <f t="shared" si="12"/>
        <v>1909.6611818618378</v>
      </c>
      <c r="E146" s="186">
        <f t="shared" ca="1" si="13"/>
        <v>0</v>
      </c>
      <c r="F146" s="189">
        <f t="shared" ca="1" si="14"/>
        <v>292520.87918335572</v>
      </c>
    </row>
    <row r="147" spans="1:6" x14ac:dyDescent="0.35">
      <c r="A147" s="190">
        <v>137</v>
      </c>
      <c r="B147" s="186">
        <f t="shared" ca="1" si="10"/>
        <v>292520.87918335572</v>
      </c>
      <c r="C147" s="187">
        <f t="shared" ca="1" si="11"/>
        <v>975.06959727785249</v>
      </c>
      <c r="D147" s="188">
        <f t="shared" si="12"/>
        <v>1909.6611818618378</v>
      </c>
      <c r="E147" s="186">
        <f t="shared" ca="1" si="13"/>
        <v>0</v>
      </c>
      <c r="F147" s="189">
        <f t="shared" ca="1" si="14"/>
        <v>291586.28759877174</v>
      </c>
    </row>
    <row r="148" spans="1:6" x14ac:dyDescent="0.35">
      <c r="A148" s="190">
        <v>138</v>
      </c>
      <c r="B148" s="186">
        <f t="shared" ca="1" si="10"/>
        <v>291586.28759877174</v>
      </c>
      <c r="C148" s="187">
        <f t="shared" ca="1" si="11"/>
        <v>971.95429199590581</v>
      </c>
      <c r="D148" s="188">
        <f t="shared" si="12"/>
        <v>1909.6611818618378</v>
      </c>
      <c r="E148" s="186">
        <f t="shared" ca="1" si="13"/>
        <v>129</v>
      </c>
      <c r="F148" s="189">
        <f t="shared" ca="1" si="14"/>
        <v>290519.58070890582</v>
      </c>
    </row>
    <row r="149" spans="1:6" x14ac:dyDescent="0.35">
      <c r="A149" s="190">
        <v>139</v>
      </c>
      <c r="B149" s="186">
        <f t="shared" ca="1" si="10"/>
        <v>290519.58070890582</v>
      </c>
      <c r="C149" s="187">
        <f t="shared" ca="1" si="11"/>
        <v>968.39860236301945</v>
      </c>
      <c r="D149" s="188">
        <f t="shared" si="12"/>
        <v>1909.6611818618378</v>
      </c>
      <c r="E149" s="186">
        <f t="shared" ca="1" si="13"/>
        <v>0</v>
      </c>
      <c r="F149" s="189">
        <f t="shared" ca="1" si="14"/>
        <v>289578.31812940701</v>
      </c>
    </row>
    <row r="150" spans="1:6" x14ac:dyDescent="0.35">
      <c r="A150" s="190">
        <v>140</v>
      </c>
      <c r="B150" s="186">
        <f t="shared" ca="1" si="10"/>
        <v>289578.31812940701</v>
      </c>
      <c r="C150" s="187">
        <f t="shared" ca="1" si="11"/>
        <v>965.26106043135678</v>
      </c>
      <c r="D150" s="188">
        <f t="shared" si="12"/>
        <v>1909.6611818618378</v>
      </c>
      <c r="E150" s="186">
        <f t="shared" ca="1" si="13"/>
        <v>0</v>
      </c>
      <c r="F150" s="189">
        <f t="shared" ca="1" si="14"/>
        <v>288633.91800797655</v>
      </c>
    </row>
    <row r="151" spans="1:6" x14ac:dyDescent="0.35">
      <c r="A151" s="190">
        <v>141</v>
      </c>
      <c r="B151" s="186">
        <f t="shared" ca="1" si="10"/>
        <v>288633.91800797655</v>
      </c>
      <c r="C151" s="187">
        <f t="shared" ca="1" si="11"/>
        <v>962.11306002658841</v>
      </c>
      <c r="D151" s="188">
        <f t="shared" si="12"/>
        <v>1909.6611818618378</v>
      </c>
      <c r="E151" s="186">
        <f t="shared" ca="1" si="13"/>
        <v>174</v>
      </c>
      <c r="F151" s="189">
        <f t="shared" ca="1" si="14"/>
        <v>287512.36988614133</v>
      </c>
    </row>
    <row r="152" spans="1:6" x14ac:dyDescent="0.35">
      <c r="A152" s="190">
        <v>142</v>
      </c>
      <c r="B152" s="186">
        <f t="shared" ca="1" si="10"/>
        <v>287512.36988614133</v>
      </c>
      <c r="C152" s="187">
        <f t="shared" ca="1" si="11"/>
        <v>958.37456628713778</v>
      </c>
      <c r="D152" s="188">
        <f t="shared" si="12"/>
        <v>1909.6611818618378</v>
      </c>
      <c r="E152" s="186">
        <f t="shared" ca="1" si="13"/>
        <v>0</v>
      </c>
      <c r="F152" s="189">
        <f t="shared" ca="1" si="14"/>
        <v>286561.08327056665</v>
      </c>
    </row>
    <row r="153" spans="1:6" x14ac:dyDescent="0.35">
      <c r="A153" s="190">
        <v>143</v>
      </c>
      <c r="B153" s="186">
        <f t="shared" ca="1" si="10"/>
        <v>286561.08327056665</v>
      </c>
      <c r="C153" s="187">
        <f t="shared" ca="1" si="11"/>
        <v>955.20361090188896</v>
      </c>
      <c r="D153" s="188">
        <f t="shared" si="12"/>
        <v>1909.6611818618378</v>
      </c>
      <c r="E153" s="186">
        <f t="shared" ca="1" si="13"/>
        <v>0</v>
      </c>
      <c r="F153" s="189">
        <f t="shared" ca="1" si="14"/>
        <v>285606.62569960672</v>
      </c>
    </row>
    <row r="154" spans="1:6" x14ac:dyDescent="0.35">
      <c r="A154" s="190">
        <v>144</v>
      </c>
      <c r="B154" s="186">
        <f t="shared" ca="1" si="10"/>
        <v>285606.62569960672</v>
      </c>
      <c r="C154" s="187">
        <f t="shared" ca="1" si="11"/>
        <v>952.0220856653558</v>
      </c>
      <c r="D154" s="188">
        <f t="shared" si="12"/>
        <v>1909.6611818618378</v>
      </c>
      <c r="E154" s="186">
        <f t="shared" ca="1" si="13"/>
        <v>119</v>
      </c>
      <c r="F154" s="189">
        <f t="shared" ca="1" si="14"/>
        <v>284529.98660341027</v>
      </c>
    </row>
    <row r="155" spans="1:6" x14ac:dyDescent="0.35">
      <c r="A155" s="190">
        <v>145</v>
      </c>
      <c r="B155" s="186">
        <f t="shared" ca="1" si="10"/>
        <v>284529.98660341027</v>
      </c>
      <c r="C155" s="187">
        <f t="shared" ca="1" si="11"/>
        <v>948.43328867803427</v>
      </c>
      <c r="D155" s="188">
        <f t="shared" si="12"/>
        <v>1909.6611818618378</v>
      </c>
      <c r="E155" s="186">
        <f t="shared" ca="1" si="13"/>
        <v>0</v>
      </c>
      <c r="F155" s="189">
        <f t="shared" ca="1" si="14"/>
        <v>283568.75871022651</v>
      </c>
    </row>
    <row r="156" spans="1:6" x14ac:dyDescent="0.35">
      <c r="A156" s="190">
        <v>146</v>
      </c>
      <c r="B156" s="186">
        <f t="shared" ca="1" si="10"/>
        <v>283568.75871022651</v>
      </c>
      <c r="C156" s="187">
        <f t="shared" ca="1" si="11"/>
        <v>945.2291957007551</v>
      </c>
      <c r="D156" s="188">
        <f t="shared" si="12"/>
        <v>1909.6611818618378</v>
      </c>
      <c r="E156" s="186">
        <f t="shared" ca="1" si="13"/>
        <v>0</v>
      </c>
      <c r="F156" s="189">
        <f t="shared" ca="1" si="14"/>
        <v>282604.32672406547</v>
      </c>
    </row>
    <row r="157" spans="1:6" x14ac:dyDescent="0.35">
      <c r="A157" s="190">
        <v>147</v>
      </c>
      <c r="B157" s="186">
        <f t="shared" ca="1" si="10"/>
        <v>282604.32672406547</v>
      </c>
      <c r="C157" s="187">
        <f t="shared" ca="1" si="11"/>
        <v>942.01442241355153</v>
      </c>
      <c r="D157" s="188">
        <f t="shared" si="12"/>
        <v>1909.6611818618378</v>
      </c>
      <c r="E157" s="186">
        <f t="shared" ca="1" si="13"/>
        <v>122</v>
      </c>
      <c r="F157" s="189">
        <f t="shared" ca="1" si="14"/>
        <v>281514.67996461719</v>
      </c>
    </row>
    <row r="158" spans="1:6" x14ac:dyDescent="0.35">
      <c r="A158" s="190">
        <v>148</v>
      </c>
      <c r="B158" s="186">
        <f t="shared" ca="1" si="10"/>
        <v>281514.67996461719</v>
      </c>
      <c r="C158" s="187">
        <f t="shared" ca="1" si="11"/>
        <v>938.38226654872403</v>
      </c>
      <c r="D158" s="188">
        <f t="shared" si="12"/>
        <v>1909.6611818618378</v>
      </c>
      <c r="E158" s="186">
        <f t="shared" ca="1" si="13"/>
        <v>0</v>
      </c>
      <c r="F158" s="189">
        <f t="shared" ca="1" si="14"/>
        <v>280543.40104930406</v>
      </c>
    </row>
    <row r="159" spans="1:6" x14ac:dyDescent="0.35">
      <c r="A159" s="190">
        <v>149</v>
      </c>
      <c r="B159" s="186">
        <f t="shared" ca="1" si="10"/>
        <v>280543.40104930406</v>
      </c>
      <c r="C159" s="187">
        <f t="shared" ca="1" si="11"/>
        <v>935.14467016434685</v>
      </c>
      <c r="D159" s="188">
        <f t="shared" si="12"/>
        <v>1909.6611818618378</v>
      </c>
      <c r="E159" s="186">
        <f t="shared" ca="1" si="13"/>
        <v>0</v>
      </c>
      <c r="F159" s="189">
        <f t="shared" ca="1" si="14"/>
        <v>279568.88453760656</v>
      </c>
    </row>
    <row r="160" spans="1:6" x14ac:dyDescent="0.35">
      <c r="A160" s="190">
        <v>150</v>
      </c>
      <c r="B160" s="186">
        <f t="shared" ca="1" si="10"/>
        <v>279568.88453760656</v>
      </c>
      <c r="C160" s="187">
        <f t="shared" ca="1" si="11"/>
        <v>931.89628179202191</v>
      </c>
      <c r="D160" s="188">
        <f t="shared" si="12"/>
        <v>1909.6611818618378</v>
      </c>
      <c r="E160" s="186">
        <f t="shared" ca="1" si="13"/>
        <v>158</v>
      </c>
      <c r="F160" s="189">
        <f t="shared" ca="1" si="14"/>
        <v>278433.11963753676</v>
      </c>
    </row>
    <row r="161" spans="1:6" x14ac:dyDescent="0.35">
      <c r="A161" s="190">
        <v>151</v>
      </c>
      <c r="B161" s="186">
        <f t="shared" ca="1" si="10"/>
        <v>278433.11963753676</v>
      </c>
      <c r="C161" s="187">
        <f t="shared" ca="1" si="11"/>
        <v>928.11039879178918</v>
      </c>
      <c r="D161" s="188">
        <f t="shared" si="12"/>
        <v>1909.6611818618378</v>
      </c>
      <c r="E161" s="186">
        <f t="shared" ca="1" si="13"/>
        <v>0</v>
      </c>
      <c r="F161" s="189">
        <f t="shared" ca="1" si="14"/>
        <v>277451.56885446672</v>
      </c>
    </row>
    <row r="162" spans="1:6" x14ac:dyDescent="0.35">
      <c r="A162" s="190">
        <v>152</v>
      </c>
      <c r="B162" s="186">
        <f t="shared" ca="1" si="10"/>
        <v>277451.56885446672</v>
      </c>
      <c r="C162" s="187">
        <f t="shared" ca="1" si="11"/>
        <v>924.83856284822241</v>
      </c>
      <c r="D162" s="188">
        <f t="shared" si="12"/>
        <v>1909.6611818618378</v>
      </c>
      <c r="E162" s="186">
        <f t="shared" ca="1" si="13"/>
        <v>0</v>
      </c>
      <c r="F162" s="189">
        <f t="shared" ca="1" si="14"/>
        <v>276466.74623545312</v>
      </c>
    </row>
    <row r="163" spans="1:6" x14ac:dyDescent="0.35">
      <c r="A163" s="190">
        <v>153</v>
      </c>
      <c r="B163" s="186">
        <f t="shared" ca="1" si="10"/>
        <v>276466.74623545312</v>
      </c>
      <c r="C163" s="187">
        <f t="shared" ca="1" si="11"/>
        <v>921.55582078484383</v>
      </c>
      <c r="D163" s="188">
        <f t="shared" si="12"/>
        <v>1909.6611818618378</v>
      </c>
      <c r="E163" s="186">
        <f t="shared" ca="1" si="13"/>
        <v>100</v>
      </c>
      <c r="F163" s="189">
        <f t="shared" ca="1" si="14"/>
        <v>275378.64087437611</v>
      </c>
    </row>
    <row r="164" spans="1:6" x14ac:dyDescent="0.35">
      <c r="A164" s="190">
        <v>154</v>
      </c>
      <c r="B164" s="186">
        <f t="shared" ca="1" si="10"/>
        <v>275378.64087437611</v>
      </c>
      <c r="C164" s="187">
        <f t="shared" ca="1" si="11"/>
        <v>917.92880291458698</v>
      </c>
      <c r="D164" s="188">
        <f t="shared" si="12"/>
        <v>1909.6611818618378</v>
      </c>
      <c r="E164" s="186">
        <f t="shared" ca="1" si="13"/>
        <v>0</v>
      </c>
      <c r="F164" s="189">
        <f t="shared" ca="1" si="14"/>
        <v>274386.90849542886</v>
      </c>
    </row>
    <row r="165" spans="1:6" x14ac:dyDescent="0.35">
      <c r="A165" s="190">
        <v>155</v>
      </c>
      <c r="B165" s="186">
        <f t="shared" ca="1" si="10"/>
        <v>274386.90849542886</v>
      </c>
      <c r="C165" s="187">
        <f t="shared" ca="1" si="11"/>
        <v>914.6230283180962</v>
      </c>
      <c r="D165" s="188">
        <f t="shared" si="12"/>
        <v>1909.6611818618378</v>
      </c>
      <c r="E165" s="186">
        <f t="shared" ca="1" si="13"/>
        <v>0</v>
      </c>
      <c r="F165" s="189">
        <f t="shared" ca="1" si="14"/>
        <v>273391.87034188514</v>
      </c>
    </row>
    <row r="166" spans="1:6" x14ac:dyDescent="0.35">
      <c r="A166" s="190">
        <v>156</v>
      </c>
      <c r="B166" s="186">
        <f t="shared" ca="1" si="10"/>
        <v>273391.87034188514</v>
      </c>
      <c r="C166" s="187">
        <f t="shared" ca="1" si="11"/>
        <v>911.30623447295045</v>
      </c>
      <c r="D166" s="188">
        <f t="shared" si="12"/>
        <v>1909.6611818618378</v>
      </c>
      <c r="E166" s="186">
        <f t="shared" ca="1" si="13"/>
        <v>167</v>
      </c>
      <c r="F166" s="189">
        <f t="shared" ca="1" si="14"/>
        <v>272226.51539449627</v>
      </c>
    </row>
    <row r="167" spans="1:6" x14ac:dyDescent="0.35">
      <c r="A167" s="190">
        <v>157</v>
      </c>
      <c r="B167" s="186">
        <f t="shared" ca="1" si="10"/>
        <v>272226.51539449627</v>
      </c>
      <c r="C167" s="187">
        <f t="shared" ca="1" si="11"/>
        <v>907.42171798165418</v>
      </c>
      <c r="D167" s="188">
        <f t="shared" si="12"/>
        <v>1909.6611818618378</v>
      </c>
      <c r="E167" s="186">
        <f t="shared" ca="1" si="13"/>
        <v>0</v>
      </c>
      <c r="F167" s="189">
        <f t="shared" ca="1" si="14"/>
        <v>271224.27593061607</v>
      </c>
    </row>
    <row r="168" spans="1:6" x14ac:dyDescent="0.35">
      <c r="A168" s="190">
        <v>158</v>
      </c>
      <c r="B168" s="186">
        <f t="shared" ca="1" si="10"/>
        <v>271224.27593061607</v>
      </c>
      <c r="C168" s="187">
        <f t="shared" ca="1" si="11"/>
        <v>904.08091976872026</v>
      </c>
      <c r="D168" s="188">
        <f t="shared" si="12"/>
        <v>1909.6611818618378</v>
      </c>
      <c r="E168" s="186">
        <f t="shared" ca="1" si="13"/>
        <v>0</v>
      </c>
      <c r="F168" s="189">
        <f t="shared" ca="1" si="14"/>
        <v>270218.69566852297</v>
      </c>
    </row>
    <row r="169" spans="1:6" x14ac:dyDescent="0.35">
      <c r="A169" s="190">
        <v>159</v>
      </c>
      <c r="B169" s="186">
        <f t="shared" ca="1" si="10"/>
        <v>270218.69566852297</v>
      </c>
      <c r="C169" s="187">
        <f t="shared" ca="1" si="11"/>
        <v>900.72898556174323</v>
      </c>
      <c r="D169" s="188">
        <f t="shared" si="12"/>
        <v>1909.6611818618378</v>
      </c>
      <c r="E169" s="186">
        <f t="shared" ca="1" si="13"/>
        <v>108</v>
      </c>
      <c r="F169" s="189">
        <f t="shared" ca="1" si="14"/>
        <v>269101.7634722229</v>
      </c>
    </row>
    <row r="170" spans="1:6" x14ac:dyDescent="0.35">
      <c r="A170" s="190">
        <v>160</v>
      </c>
      <c r="B170" s="186">
        <f t="shared" ca="1" si="10"/>
        <v>269101.7634722229</v>
      </c>
      <c r="C170" s="187">
        <f t="shared" ca="1" si="11"/>
        <v>897.00587824074307</v>
      </c>
      <c r="D170" s="188">
        <f t="shared" si="12"/>
        <v>1909.6611818618378</v>
      </c>
      <c r="E170" s="186">
        <f t="shared" ca="1" si="13"/>
        <v>0</v>
      </c>
      <c r="F170" s="189">
        <f t="shared" ca="1" si="14"/>
        <v>268089.10816860182</v>
      </c>
    </row>
    <row r="171" spans="1:6" x14ac:dyDescent="0.35">
      <c r="A171" s="190">
        <v>161</v>
      </c>
      <c r="B171" s="186">
        <f t="shared" ca="1" si="10"/>
        <v>268089.10816860182</v>
      </c>
      <c r="C171" s="187">
        <f t="shared" ca="1" si="11"/>
        <v>893.6303605620061</v>
      </c>
      <c r="D171" s="188">
        <f t="shared" si="12"/>
        <v>1909.6611818618378</v>
      </c>
      <c r="E171" s="186">
        <f t="shared" ca="1" si="13"/>
        <v>0</v>
      </c>
      <c r="F171" s="189">
        <f t="shared" ca="1" si="14"/>
        <v>267073.07734730199</v>
      </c>
    </row>
    <row r="172" spans="1:6" x14ac:dyDescent="0.35">
      <c r="A172" s="190">
        <v>162</v>
      </c>
      <c r="B172" s="186">
        <f t="shared" ca="1" si="10"/>
        <v>267073.07734730199</v>
      </c>
      <c r="C172" s="187">
        <f t="shared" ca="1" si="11"/>
        <v>890.24359115767322</v>
      </c>
      <c r="D172" s="188">
        <f t="shared" si="12"/>
        <v>1909.6611818618378</v>
      </c>
      <c r="E172" s="186">
        <f t="shared" ca="1" si="13"/>
        <v>173</v>
      </c>
      <c r="F172" s="189">
        <f t="shared" ca="1" si="14"/>
        <v>265880.65975659783</v>
      </c>
    </row>
    <row r="173" spans="1:6" x14ac:dyDescent="0.35">
      <c r="A173" s="190">
        <v>163</v>
      </c>
      <c r="B173" s="186">
        <f t="shared" ca="1" si="10"/>
        <v>265880.65975659783</v>
      </c>
      <c r="C173" s="187">
        <f t="shared" ca="1" si="11"/>
        <v>886.26886585532611</v>
      </c>
      <c r="D173" s="188">
        <f t="shared" si="12"/>
        <v>1909.6611818618378</v>
      </c>
      <c r="E173" s="186">
        <f t="shared" ca="1" si="13"/>
        <v>0</v>
      </c>
      <c r="F173" s="189">
        <f t="shared" ca="1" si="14"/>
        <v>264857.26744059136</v>
      </c>
    </row>
    <row r="174" spans="1:6" x14ac:dyDescent="0.35">
      <c r="A174" s="190">
        <v>164</v>
      </c>
      <c r="B174" s="186">
        <f t="shared" ca="1" si="10"/>
        <v>264857.26744059136</v>
      </c>
      <c r="C174" s="187">
        <f t="shared" ca="1" si="11"/>
        <v>882.85755813530443</v>
      </c>
      <c r="D174" s="188">
        <f t="shared" si="12"/>
        <v>1909.6611818618378</v>
      </c>
      <c r="E174" s="186">
        <f t="shared" ca="1" si="13"/>
        <v>0</v>
      </c>
      <c r="F174" s="189">
        <f t="shared" ca="1" si="14"/>
        <v>263830.46381686482</v>
      </c>
    </row>
    <row r="175" spans="1:6" x14ac:dyDescent="0.35">
      <c r="A175" s="190">
        <v>165</v>
      </c>
      <c r="B175" s="186">
        <f t="shared" ca="1" si="10"/>
        <v>263830.46381686482</v>
      </c>
      <c r="C175" s="187">
        <f t="shared" ca="1" si="11"/>
        <v>879.43487938954934</v>
      </c>
      <c r="D175" s="188">
        <f t="shared" si="12"/>
        <v>1909.6611818618378</v>
      </c>
      <c r="E175" s="186">
        <f t="shared" ca="1" si="13"/>
        <v>107</v>
      </c>
      <c r="F175" s="189">
        <f t="shared" ca="1" si="14"/>
        <v>262693.23751439253</v>
      </c>
    </row>
    <row r="176" spans="1:6" x14ac:dyDescent="0.35">
      <c r="A176" s="190">
        <v>166</v>
      </c>
      <c r="B176" s="186">
        <f t="shared" ca="1" si="10"/>
        <v>262693.23751439253</v>
      </c>
      <c r="C176" s="187">
        <f t="shared" ca="1" si="11"/>
        <v>875.64412504797519</v>
      </c>
      <c r="D176" s="188">
        <f t="shared" si="12"/>
        <v>1909.6611818618378</v>
      </c>
      <c r="E176" s="186">
        <f t="shared" ca="1" si="13"/>
        <v>0</v>
      </c>
      <c r="F176" s="189">
        <f t="shared" ca="1" si="14"/>
        <v>261659.22045757866</v>
      </c>
    </row>
    <row r="177" spans="1:6" x14ac:dyDescent="0.35">
      <c r="A177" s="190">
        <v>167</v>
      </c>
      <c r="B177" s="186">
        <f t="shared" ca="1" si="10"/>
        <v>261659.22045757866</v>
      </c>
      <c r="C177" s="187">
        <f t="shared" ca="1" si="11"/>
        <v>872.19740152526219</v>
      </c>
      <c r="D177" s="188">
        <f t="shared" si="12"/>
        <v>1909.6611818618378</v>
      </c>
      <c r="E177" s="186">
        <f t="shared" ca="1" si="13"/>
        <v>0</v>
      </c>
      <c r="F177" s="189">
        <f t="shared" ca="1" si="14"/>
        <v>260621.75667724211</v>
      </c>
    </row>
    <row r="178" spans="1:6" x14ac:dyDescent="0.35">
      <c r="A178" s="190">
        <v>168</v>
      </c>
      <c r="B178" s="186">
        <f t="shared" ca="1" si="10"/>
        <v>260621.75667724211</v>
      </c>
      <c r="C178" s="187">
        <f t="shared" ca="1" si="11"/>
        <v>868.73918892414042</v>
      </c>
      <c r="D178" s="188">
        <f t="shared" si="12"/>
        <v>1909.6611818618378</v>
      </c>
      <c r="E178" s="186">
        <f t="shared" ca="1" si="13"/>
        <v>177</v>
      </c>
      <c r="F178" s="189">
        <f t="shared" ca="1" si="14"/>
        <v>259403.83468430443</v>
      </c>
    </row>
    <row r="179" spans="1:6" x14ac:dyDescent="0.35">
      <c r="A179" s="190">
        <v>169</v>
      </c>
      <c r="B179" s="186">
        <f t="shared" ca="1" si="10"/>
        <v>259403.83468430443</v>
      </c>
      <c r="C179" s="187">
        <f t="shared" ca="1" si="11"/>
        <v>864.67944894768141</v>
      </c>
      <c r="D179" s="188">
        <f t="shared" si="12"/>
        <v>1909.6611818618378</v>
      </c>
      <c r="E179" s="186">
        <f t="shared" ca="1" si="13"/>
        <v>0</v>
      </c>
      <c r="F179" s="189">
        <f t="shared" ca="1" si="14"/>
        <v>258358.85295139029</v>
      </c>
    </row>
    <row r="180" spans="1:6" x14ac:dyDescent="0.35">
      <c r="A180" s="190">
        <v>170</v>
      </c>
      <c r="B180" s="186">
        <f t="shared" ca="1" si="10"/>
        <v>258358.85295139029</v>
      </c>
      <c r="C180" s="187">
        <f t="shared" ca="1" si="11"/>
        <v>861.19617650463431</v>
      </c>
      <c r="D180" s="188">
        <f t="shared" si="12"/>
        <v>1909.6611818618378</v>
      </c>
      <c r="E180" s="186">
        <f t="shared" ca="1" si="13"/>
        <v>0</v>
      </c>
      <c r="F180" s="189">
        <f t="shared" ca="1" si="14"/>
        <v>257310.38794603309</v>
      </c>
    </row>
    <row r="181" spans="1:6" x14ac:dyDescent="0.35">
      <c r="A181" s="190">
        <v>171</v>
      </c>
      <c r="B181" s="186">
        <f t="shared" ca="1" si="10"/>
        <v>257310.38794603309</v>
      </c>
      <c r="C181" s="187">
        <f t="shared" ca="1" si="11"/>
        <v>857.70129315344366</v>
      </c>
      <c r="D181" s="188">
        <f t="shared" si="12"/>
        <v>1909.6611818618378</v>
      </c>
      <c r="E181" s="186">
        <f t="shared" ca="1" si="13"/>
        <v>105</v>
      </c>
      <c r="F181" s="189">
        <f t="shared" ca="1" si="14"/>
        <v>256153.42805732472</v>
      </c>
    </row>
    <row r="182" spans="1:6" x14ac:dyDescent="0.35">
      <c r="A182" s="190">
        <v>172</v>
      </c>
      <c r="B182" s="186">
        <f t="shared" ca="1" si="10"/>
        <v>256153.42805732472</v>
      </c>
      <c r="C182" s="187">
        <f t="shared" ca="1" si="11"/>
        <v>853.8447601910824</v>
      </c>
      <c r="D182" s="188">
        <f t="shared" si="12"/>
        <v>1909.6611818618378</v>
      </c>
      <c r="E182" s="186">
        <f t="shared" ca="1" si="13"/>
        <v>0</v>
      </c>
      <c r="F182" s="189">
        <f t="shared" ca="1" si="14"/>
        <v>255097.61163565397</v>
      </c>
    </row>
    <row r="183" spans="1:6" x14ac:dyDescent="0.35">
      <c r="A183" s="190">
        <v>173</v>
      </c>
      <c r="B183" s="186">
        <f t="shared" ca="1" si="10"/>
        <v>255097.61163565397</v>
      </c>
      <c r="C183" s="187">
        <f t="shared" ca="1" si="11"/>
        <v>850.32537211884664</v>
      </c>
      <c r="D183" s="188">
        <f t="shared" si="12"/>
        <v>1909.6611818618378</v>
      </c>
      <c r="E183" s="186">
        <f t="shared" ca="1" si="13"/>
        <v>0</v>
      </c>
      <c r="F183" s="189">
        <f t="shared" ca="1" si="14"/>
        <v>254038.275825911</v>
      </c>
    </row>
    <row r="184" spans="1:6" x14ac:dyDescent="0.35">
      <c r="A184" s="190">
        <v>174</v>
      </c>
      <c r="B184" s="186">
        <f t="shared" ca="1" si="10"/>
        <v>254038.275825911</v>
      </c>
      <c r="C184" s="187">
        <f t="shared" ca="1" si="11"/>
        <v>846.79425275303674</v>
      </c>
      <c r="D184" s="188">
        <f t="shared" si="12"/>
        <v>1909.6611818618378</v>
      </c>
      <c r="E184" s="186">
        <f t="shared" ca="1" si="13"/>
        <v>196</v>
      </c>
      <c r="F184" s="189">
        <f t="shared" ca="1" si="14"/>
        <v>252779.4088968022</v>
      </c>
    </row>
    <row r="185" spans="1:6" x14ac:dyDescent="0.35">
      <c r="A185" s="190">
        <v>175</v>
      </c>
      <c r="B185" s="186">
        <f t="shared" ca="1" si="10"/>
        <v>252779.4088968022</v>
      </c>
      <c r="C185" s="187">
        <f t="shared" ca="1" si="11"/>
        <v>842.59802965600738</v>
      </c>
      <c r="D185" s="188">
        <f t="shared" si="12"/>
        <v>1909.6611818618378</v>
      </c>
      <c r="E185" s="186">
        <f t="shared" ca="1" si="13"/>
        <v>0</v>
      </c>
      <c r="F185" s="189">
        <f t="shared" ca="1" si="14"/>
        <v>251712.34574459639</v>
      </c>
    </row>
    <row r="186" spans="1:6" x14ac:dyDescent="0.35">
      <c r="A186" s="190">
        <v>176</v>
      </c>
      <c r="B186" s="186">
        <f t="shared" ca="1" si="10"/>
        <v>251712.34574459639</v>
      </c>
      <c r="C186" s="187">
        <f t="shared" ca="1" si="11"/>
        <v>839.04115248198798</v>
      </c>
      <c r="D186" s="188">
        <f t="shared" si="12"/>
        <v>1909.6611818618378</v>
      </c>
      <c r="E186" s="186">
        <f t="shared" ca="1" si="13"/>
        <v>0</v>
      </c>
      <c r="F186" s="189">
        <f t="shared" ca="1" si="14"/>
        <v>250641.72571521654</v>
      </c>
    </row>
    <row r="187" spans="1:6" x14ac:dyDescent="0.35">
      <c r="A187" s="190">
        <v>177</v>
      </c>
      <c r="B187" s="186">
        <f t="shared" ca="1" si="10"/>
        <v>250641.72571521654</v>
      </c>
      <c r="C187" s="187">
        <f t="shared" ca="1" si="11"/>
        <v>835.47241905072178</v>
      </c>
      <c r="D187" s="188">
        <f t="shared" si="12"/>
        <v>1909.6611818618378</v>
      </c>
      <c r="E187" s="186">
        <f t="shared" ca="1" si="13"/>
        <v>183</v>
      </c>
      <c r="F187" s="189">
        <f t="shared" ca="1" si="14"/>
        <v>249384.53695240544</v>
      </c>
    </row>
    <row r="188" spans="1:6" x14ac:dyDescent="0.35">
      <c r="A188" s="190">
        <v>178</v>
      </c>
      <c r="B188" s="186">
        <f t="shared" ca="1" si="10"/>
        <v>249384.53695240544</v>
      </c>
      <c r="C188" s="187">
        <f t="shared" ca="1" si="11"/>
        <v>831.2817898413515</v>
      </c>
      <c r="D188" s="188">
        <f t="shared" si="12"/>
        <v>1909.6611818618378</v>
      </c>
      <c r="E188" s="186">
        <f t="shared" ca="1" si="13"/>
        <v>0</v>
      </c>
      <c r="F188" s="189">
        <f t="shared" ca="1" si="14"/>
        <v>248306.15756038498</v>
      </c>
    </row>
    <row r="189" spans="1:6" x14ac:dyDescent="0.35">
      <c r="A189" s="190">
        <v>179</v>
      </c>
      <c r="B189" s="186">
        <f t="shared" ca="1" si="10"/>
        <v>248306.15756038498</v>
      </c>
      <c r="C189" s="187">
        <f t="shared" ca="1" si="11"/>
        <v>827.68719186794988</v>
      </c>
      <c r="D189" s="188">
        <f t="shared" si="12"/>
        <v>1909.6611818618378</v>
      </c>
      <c r="E189" s="186">
        <f t="shared" ca="1" si="13"/>
        <v>0</v>
      </c>
      <c r="F189" s="189">
        <f t="shared" ca="1" si="14"/>
        <v>247224.18357039109</v>
      </c>
    </row>
    <row r="190" spans="1:6" x14ac:dyDescent="0.35">
      <c r="A190" s="190">
        <v>180</v>
      </c>
      <c r="B190" s="186">
        <f t="shared" ca="1" si="10"/>
        <v>247224.18357039109</v>
      </c>
      <c r="C190" s="187">
        <f t="shared" ca="1" si="11"/>
        <v>824.08061190130366</v>
      </c>
      <c r="D190" s="188">
        <f t="shared" si="12"/>
        <v>1909.6611818618378</v>
      </c>
      <c r="E190" s="186">
        <f t="shared" ca="1" si="13"/>
        <v>109</v>
      </c>
      <c r="F190" s="189">
        <f t="shared" ca="1" si="14"/>
        <v>246029.60300043056</v>
      </c>
    </row>
    <row r="191" spans="1:6" x14ac:dyDescent="0.35">
      <c r="A191" s="190">
        <v>181</v>
      </c>
      <c r="B191" s="186">
        <f t="shared" ca="1" si="10"/>
        <v>246029.60300043056</v>
      </c>
      <c r="C191" s="187">
        <f t="shared" ca="1" si="11"/>
        <v>820.0986766681018</v>
      </c>
      <c r="D191" s="188">
        <f t="shared" si="12"/>
        <v>1909.6611818618378</v>
      </c>
      <c r="E191" s="186">
        <f t="shared" ca="1" si="13"/>
        <v>0</v>
      </c>
      <c r="F191" s="189">
        <f t="shared" ca="1" si="14"/>
        <v>244940.04049523684</v>
      </c>
    </row>
    <row r="192" spans="1:6" x14ac:dyDescent="0.35">
      <c r="A192" s="190">
        <v>182</v>
      </c>
      <c r="B192" s="186">
        <f t="shared" ca="1" si="10"/>
        <v>244940.04049523684</v>
      </c>
      <c r="C192" s="187">
        <f t="shared" ca="1" si="11"/>
        <v>816.46680165078942</v>
      </c>
      <c r="D192" s="188">
        <f t="shared" si="12"/>
        <v>1909.6611818618378</v>
      </c>
      <c r="E192" s="186">
        <f t="shared" ca="1" si="13"/>
        <v>0</v>
      </c>
      <c r="F192" s="189">
        <f t="shared" ca="1" si="14"/>
        <v>243846.84611502581</v>
      </c>
    </row>
    <row r="193" spans="1:6" x14ac:dyDescent="0.35">
      <c r="A193" s="190">
        <v>183</v>
      </c>
      <c r="B193" s="186">
        <f t="shared" ca="1" si="10"/>
        <v>243846.84611502581</v>
      </c>
      <c r="C193" s="187">
        <f t="shared" ca="1" si="11"/>
        <v>812.8228203834193</v>
      </c>
      <c r="D193" s="188">
        <f t="shared" si="12"/>
        <v>1909.6611818618378</v>
      </c>
      <c r="E193" s="186">
        <f t="shared" ca="1" si="13"/>
        <v>104</v>
      </c>
      <c r="F193" s="189">
        <f t="shared" ca="1" si="14"/>
        <v>242646.0077535474</v>
      </c>
    </row>
    <row r="194" spans="1:6" x14ac:dyDescent="0.35">
      <c r="A194" s="190">
        <v>184</v>
      </c>
      <c r="B194" s="186">
        <f t="shared" ca="1" si="10"/>
        <v>242646.0077535474</v>
      </c>
      <c r="C194" s="187">
        <f t="shared" ca="1" si="11"/>
        <v>808.82002584515794</v>
      </c>
      <c r="D194" s="188">
        <f t="shared" si="12"/>
        <v>1909.6611818618378</v>
      </c>
      <c r="E194" s="186">
        <f t="shared" ca="1" si="13"/>
        <v>0</v>
      </c>
      <c r="F194" s="189">
        <f t="shared" ca="1" si="14"/>
        <v>241545.16659753074</v>
      </c>
    </row>
    <row r="195" spans="1:6" x14ac:dyDescent="0.35">
      <c r="A195" s="190">
        <v>185</v>
      </c>
      <c r="B195" s="186">
        <f t="shared" ca="1" si="10"/>
        <v>241545.16659753074</v>
      </c>
      <c r="C195" s="187">
        <f t="shared" ca="1" si="11"/>
        <v>805.15055532510257</v>
      </c>
      <c r="D195" s="188">
        <f t="shared" si="12"/>
        <v>1909.6611818618378</v>
      </c>
      <c r="E195" s="186">
        <f t="shared" ca="1" si="13"/>
        <v>0</v>
      </c>
      <c r="F195" s="189">
        <f t="shared" ca="1" si="14"/>
        <v>240440.655970994</v>
      </c>
    </row>
    <row r="196" spans="1:6" x14ac:dyDescent="0.35">
      <c r="A196" s="190">
        <v>186</v>
      </c>
      <c r="B196" s="186">
        <f t="shared" ca="1" si="10"/>
        <v>240440.655970994</v>
      </c>
      <c r="C196" s="187">
        <f t="shared" ca="1" si="11"/>
        <v>801.46885323664674</v>
      </c>
      <c r="D196" s="188">
        <f t="shared" si="12"/>
        <v>1909.6611818618378</v>
      </c>
      <c r="E196" s="186">
        <f t="shared" ca="1" si="13"/>
        <v>155</v>
      </c>
      <c r="F196" s="189">
        <f t="shared" ca="1" si="14"/>
        <v>239177.46364236882</v>
      </c>
    </row>
    <row r="197" spans="1:6" x14ac:dyDescent="0.35">
      <c r="A197" s="190">
        <v>187</v>
      </c>
      <c r="B197" s="186">
        <f t="shared" ca="1" si="10"/>
        <v>239177.46364236882</v>
      </c>
      <c r="C197" s="187">
        <f t="shared" ca="1" si="11"/>
        <v>797.25821214122936</v>
      </c>
      <c r="D197" s="188">
        <f t="shared" si="12"/>
        <v>1909.6611818618378</v>
      </c>
      <c r="E197" s="186">
        <f t="shared" ca="1" si="13"/>
        <v>0</v>
      </c>
      <c r="F197" s="189">
        <f t="shared" ca="1" si="14"/>
        <v>238065.06067264822</v>
      </c>
    </row>
    <row r="198" spans="1:6" x14ac:dyDescent="0.35">
      <c r="A198" s="190">
        <v>188</v>
      </c>
      <c r="B198" s="186">
        <f t="shared" ca="1" si="10"/>
        <v>238065.06067264822</v>
      </c>
      <c r="C198" s="187">
        <f t="shared" ca="1" si="11"/>
        <v>793.55020224216071</v>
      </c>
      <c r="D198" s="188">
        <f t="shared" si="12"/>
        <v>1909.6611818618378</v>
      </c>
      <c r="E198" s="186">
        <f t="shared" ca="1" si="13"/>
        <v>0</v>
      </c>
      <c r="F198" s="189">
        <f t="shared" ca="1" si="14"/>
        <v>236948.94969302855</v>
      </c>
    </row>
    <row r="199" spans="1:6" x14ac:dyDescent="0.35">
      <c r="A199" s="190">
        <v>189</v>
      </c>
      <c r="B199" s="186">
        <f t="shared" ca="1" si="10"/>
        <v>236948.94969302855</v>
      </c>
      <c r="C199" s="187">
        <f t="shared" ca="1" si="11"/>
        <v>789.82983231009518</v>
      </c>
      <c r="D199" s="188">
        <f t="shared" si="12"/>
        <v>1909.6611818618378</v>
      </c>
      <c r="E199" s="186">
        <f t="shared" ca="1" si="13"/>
        <v>163</v>
      </c>
      <c r="F199" s="189">
        <f t="shared" ca="1" si="14"/>
        <v>235666.11834347682</v>
      </c>
    </row>
    <row r="200" spans="1:6" x14ac:dyDescent="0.35">
      <c r="A200" s="190">
        <v>190</v>
      </c>
      <c r="B200" s="186">
        <f t="shared" ca="1" si="10"/>
        <v>235666.11834347682</v>
      </c>
      <c r="C200" s="187">
        <f t="shared" ca="1" si="11"/>
        <v>785.5537278115894</v>
      </c>
      <c r="D200" s="188">
        <f t="shared" si="12"/>
        <v>1909.6611818618378</v>
      </c>
      <c r="E200" s="186">
        <f t="shared" ca="1" si="13"/>
        <v>0</v>
      </c>
      <c r="F200" s="189">
        <f t="shared" ca="1" si="14"/>
        <v>234542.01088942657</v>
      </c>
    </row>
    <row r="201" spans="1:6" x14ac:dyDescent="0.35">
      <c r="A201" s="190">
        <v>191</v>
      </c>
      <c r="B201" s="186">
        <f t="shared" ca="1" si="10"/>
        <v>234542.01088942657</v>
      </c>
      <c r="C201" s="187">
        <f t="shared" ca="1" si="11"/>
        <v>781.80670296475535</v>
      </c>
      <c r="D201" s="188">
        <f t="shared" si="12"/>
        <v>1909.6611818618378</v>
      </c>
      <c r="E201" s="186">
        <f t="shared" ca="1" si="13"/>
        <v>0</v>
      </c>
      <c r="F201" s="189">
        <f t="shared" ca="1" si="14"/>
        <v>233414.15641052951</v>
      </c>
    </row>
    <row r="202" spans="1:6" x14ac:dyDescent="0.35">
      <c r="A202" s="190">
        <v>192</v>
      </c>
      <c r="B202" s="186">
        <f t="shared" ca="1" si="10"/>
        <v>233414.15641052951</v>
      </c>
      <c r="C202" s="187">
        <f t="shared" ca="1" si="11"/>
        <v>778.04718803509832</v>
      </c>
      <c r="D202" s="188">
        <f t="shared" si="12"/>
        <v>1909.6611818618378</v>
      </c>
      <c r="E202" s="186">
        <f t="shared" ca="1" si="13"/>
        <v>141</v>
      </c>
      <c r="F202" s="189">
        <f t="shared" ca="1" si="14"/>
        <v>232141.54241670278</v>
      </c>
    </row>
    <row r="203" spans="1:6" x14ac:dyDescent="0.35">
      <c r="A203" s="190">
        <v>193</v>
      </c>
      <c r="B203" s="186">
        <f t="shared" ca="1" si="10"/>
        <v>232141.54241670278</v>
      </c>
      <c r="C203" s="187">
        <f t="shared" ca="1" si="11"/>
        <v>773.80514138900935</v>
      </c>
      <c r="D203" s="188">
        <f t="shared" si="12"/>
        <v>1909.6611818618378</v>
      </c>
      <c r="E203" s="186">
        <f t="shared" ca="1" si="13"/>
        <v>0</v>
      </c>
      <c r="F203" s="189">
        <f t="shared" ca="1" si="14"/>
        <v>231005.68637622998</v>
      </c>
    </row>
    <row r="204" spans="1:6" x14ac:dyDescent="0.35">
      <c r="A204" s="190">
        <v>194</v>
      </c>
      <c r="B204" s="186">
        <f t="shared" ref="B204:B267" ca="1" si="15">F203</f>
        <v>231005.68637622998</v>
      </c>
      <c r="C204" s="187">
        <f t="shared" ref="C204:C267" ca="1" si="16">B204*$C$3/12</f>
        <v>770.0189545874332</v>
      </c>
      <c r="D204" s="188">
        <f t="shared" ref="D204:D267" si="17">$C$5</f>
        <v>1909.6611818618378</v>
      </c>
      <c r="E204" s="186">
        <f t="shared" ref="E204:E267" ca="1" si="18">IF(MOD(A204,3)=0,RANDBETWEEN(100,200),0)</f>
        <v>0</v>
      </c>
      <c r="F204" s="189">
        <f t="shared" ref="F204:F267" ca="1" si="19">B204+C204-D204-E204</f>
        <v>229866.04414895558</v>
      </c>
    </row>
    <row r="205" spans="1:6" x14ac:dyDescent="0.35">
      <c r="A205" s="190">
        <v>195</v>
      </c>
      <c r="B205" s="186">
        <f t="shared" ca="1" si="15"/>
        <v>229866.04414895558</v>
      </c>
      <c r="C205" s="187">
        <f t="shared" ca="1" si="16"/>
        <v>766.22014716318529</v>
      </c>
      <c r="D205" s="188">
        <f t="shared" si="17"/>
        <v>1909.6611818618378</v>
      </c>
      <c r="E205" s="186">
        <f t="shared" ca="1" si="18"/>
        <v>111</v>
      </c>
      <c r="F205" s="189">
        <f t="shared" ca="1" si="19"/>
        <v>228611.60311425696</v>
      </c>
    </row>
    <row r="206" spans="1:6" x14ac:dyDescent="0.35">
      <c r="A206" s="190">
        <v>196</v>
      </c>
      <c r="B206" s="186">
        <f t="shared" ca="1" si="15"/>
        <v>228611.60311425696</v>
      </c>
      <c r="C206" s="187">
        <f t="shared" ca="1" si="16"/>
        <v>762.03867704752327</v>
      </c>
      <c r="D206" s="188">
        <f t="shared" si="17"/>
        <v>1909.6611818618378</v>
      </c>
      <c r="E206" s="186">
        <f t="shared" ca="1" si="18"/>
        <v>0</v>
      </c>
      <c r="F206" s="189">
        <f t="shared" ca="1" si="19"/>
        <v>227463.98060944266</v>
      </c>
    </row>
    <row r="207" spans="1:6" x14ac:dyDescent="0.35">
      <c r="A207" s="190">
        <v>197</v>
      </c>
      <c r="B207" s="186">
        <f t="shared" ca="1" si="15"/>
        <v>227463.98060944266</v>
      </c>
      <c r="C207" s="187">
        <f t="shared" ca="1" si="16"/>
        <v>758.2132686981422</v>
      </c>
      <c r="D207" s="188">
        <f t="shared" si="17"/>
        <v>1909.6611818618378</v>
      </c>
      <c r="E207" s="186">
        <f t="shared" ca="1" si="18"/>
        <v>0</v>
      </c>
      <c r="F207" s="189">
        <f t="shared" ca="1" si="19"/>
        <v>226312.53269627897</v>
      </c>
    </row>
    <row r="208" spans="1:6" x14ac:dyDescent="0.35">
      <c r="A208" s="190">
        <v>198</v>
      </c>
      <c r="B208" s="186">
        <f t="shared" ca="1" si="15"/>
        <v>226312.53269627897</v>
      </c>
      <c r="C208" s="187">
        <f t="shared" ca="1" si="16"/>
        <v>754.37510898759649</v>
      </c>
      <c r="D208" s="188">
        <f t="shared" si="17"/>
        <v>1909.6611818618378</v>
      </c>
      <c r="E208" s="186">
        <f t="shared" ca="1" si="18"/>
        <v>200</v>
      </c>
      <c r="F208" s="189">
        <f t="shared" ca="1" si="19"/>
        <v>224957.24662340473</v>
      </c>
    </row>
    <row r="209" spans="1:6" x14ac:dyDescent="0.35">
      <c r="A209" s="190">
        <v>199</v>
      </c>
      <c r="B209" s="186">
        <f t="shared" ca="1" si="15"/>
        <v>224957.24662340473</v>
      </c>
      <c r="C209" s="187">
        <f t="shared" ca="1" si="16"/>
        <v>749.85748874468243</v>
      </c>
      <c r="D209" s="188">
        <f t="shared" si="17"/>
        <v>1909.6611818618378</v>
      </c>
      <c r="E209" s="186">
        <f t="shared" ca="1" si="18"/>
        <v>0</v>
      </c>
      <c r="F209" s="189">
        <f t="shared" ca="1" si="19"/>
        <v>223797.44293028759</v>
      </c>
    </row>
    <row r="210" spans="1:6" x14ac:dyDescent="0.35">
      <c r="A210" s="190">
        <v>200</v>
      </c>
      <c r="B210" s="186">
        <f t="shared" ca="1" si="15"/>
        <v>223797.44293028759</v>
      </c>
      <c r="C210" s="187">
        <f t="shared" ca="1" si="16"/>
        <v>745.99147643429205</v>
      </c>
      <c r="D210" s="188">
        <f t="shared" si="17"/>
        <v>1909.6611818618378</v>
      </c>
      <c r="E210" s="186">
        <f t="shared" ca="1" si="18"/>
        <v>0</v>
      </c>
      <c r="F210" s="189">
        <f t="shared" ca="1" si="19"/>
        <v>222633.77322486005</v>
      </c>
    </row>
    <row r="211" spans="1:6" x14ac:dyDescent="0.35">
      <c r="A211" s="190">
        <v>201</v>
      </c>
      <c r="B211" s="186">
        <f t="shared" ca="1" si="15"/>
        <v>222633.77322486005</v>
      </c>
      <c r="C211" s="187">
        <f t="shared" ca="1" si="16"/>
        <v>742.11257741620022</v>
      </c>
      <c r="D211" s="188">
        <f t="shared" si="17"/>
        <v>1909.6611818618378</v>
      </c>
      <c r="E211" s="186">
        <f t="shared" ca="1" si="18"/>
        <v>126</v>
      </c>
      <c r="F211" s="189">
        <f t="shared" ca="1" si="19"/>
        <v>221340.22462041443</v>
      </c>
    </row>
    <row r="212" spans="1:6" x14ac:dyDescent="0.35">
      <c r="A212" s="190">
        <v>202</v>
      </c>
      <c r="B212" s="186">
        <f t="shared" ca="1" si="15"/>
        <v>221340.22462041443</v>
      </c>
      <c r="C212" s="187">
        <f t="shared" ca="1" si="16"/>
        <v>737.80074873471483</v>
      </c>
      <c r="D212" s="188">
        <f t="shared" si="17"/>
        <v>1909.6611818618378</v>
      </c>
      <c r="E212" s="186">
        <f t="shared" ca="1" si="18"/>
        <v>0</v>
      </c>
      <c r="F212" s="189">
        <f t="shared" ca="1" si="19"/>
        <v>220168.36418728731</v>
      </c>
    </row>
    <row r="213" spans="1:6" x14ac:dyDescent="0.35">
      <c r="A213" s="190">
        <v>203</v>
      </c>
      <c r="B213" s="186">
        <f t="shared" ca="1" si="15"/>
        <v>220168.36418728731</v>
      </c>
      <c r="C213" s="187">
        <f t="shared" ca="1" si="16"/>
        <v>733.89454729095769</v>
      </c>
      <c r="D213" s="188">
        <f t="shared" si="17"/>
        <v>1909.6611818618378</v>
      </c>
      <c r="E213" s="186">
        <f t="shared" ca="1" si="18"/>
        <v>0</v>
      </c>
      <c r="F213" s="189">
        <f t="shared" ca="1" si="19"/>
        <v>218992.59755271644</v>
      </c>
    </row>
    <row r="214" spans="1:6" x14ac:dyDescent="0.35">
      <c r="A214" s="190">
        <v>204</v>
      </c>
      <c r="B214" s="186">
        <f t="shared" ca="1" si="15"/>
        <v>218992.59755271644</v>
      </c>
      <c r="C214" s="187">
        <f t="shared" ca="1" si="16"/>
        <v>729.97532517572154</v>
      </c>
      <c r="D214" s="188">
        <f t="shared" si="17"/>
        <v>1909.6611818618378</v>
      </c>
      <c r="E214" s="186">
        <f t="shared" ca="1" si="18"/>
        <v>159</v>
      </c>
      <c r="F214" s="189">
        <f t="shared" ca="1" si="19"/>
        <v>217653.91169603035</v>
      </c>
    </row>
    <row r="215" spans="1:6" x14ac:dyDescent="0.35">
      <c r="A215" s="190">
        <v>205</v>
      </c>
      <c r="B215" s="186">
        <f t="shared" ca="1" si="15"/>
        <v>217653.91169603035</v>
      </c>
      <c r="C215" s="187">
        <f t="shared" ca="1" si="16"/>
        <v>725.51303898676781</v>
      </c>
      <c r="D215" s="188">
        <f t="shared" si="17"/>
        <v>1909.6611818618378</v>
      </c>
      <c r="E215" s="186">
        <f t="shared" ca="1" si="18"/>
        <v>0</v>
      </c>
      <c r="F215" s="189">
        <f t="shared" ca="1" si="19"/>
        <v>216469.7635531553</v>
      </c>
    </row>
    <row r="216" spans="1:6" x14ac:dyDescent="0.35">
      <c r="A216" s="190">
        <v>206</v>
      </c>
      <c r="B216" s="186">
        <f t="shared" ca="1" si="15"/>
        <v>216469.7635531553</v>
      </c>
      <c r="C216" s="187">
        <f t="shared" ca="1" si="16"/>
        <v>721.56587851051756</v>
      </c>
      <c r="D216" s="188">
        <f t="shared" si="17"/>
        <v>1909.6611818618378</v>
      </c>
      <c r="E216" s="186">
        <f t="shared" ca="1" si="18"/>
        <v>0</v>
      </c>
      <c r="F216" s="189">
        <f t="shared" ca="1" si="19"/>
        <v>215281.66824980397</v>
      </c>
    </row>
    <row r="217" spans="1:6" x14ac:dyDescent="0.35">
      <c r="A217" s="190">
        <v>207</v>
      </c>
      <c r="B217" s="186">
        <f t="shared" ca="1" si="15"/>
        <v>215281.66824980397</v>
      </c>
      <c r="C217" s="187">
        <f t="shared" ca="1" si="16"/>
        <v>717.60556083268</v>
      </c>
      <c r="D217" s="188">
        <f t="shared" si="17"/>
        <v>1909.6611818618378</v>
      </c>
      <c r="E217" s="186">
        <f t="shared" ca="1" si="18"/>
        <v>166</v>
      </c>
      <c r="F217" s="189">
        <f t="shared" ca="1" si="19"/>
        <v>213923.61262877483</v>
      </c>
    </row>
    <row r="218" spans="1:6" x14ac:dyDescent="0.35">
      <c r="A218" s="190">
        <v>208</v>
      </c>
      <c r="B218" s="186">
        <f t="shared" ca="1" si="15"/>
        <v>213923.61262877483</v>
      </c>
      <c r="C218" s="187">
        <f t="shared" ca="1" si="16"/>
        <v>713.07870876258278</v>
      </c>
      <c r="D218" s="188">
        <f t="shared" si="17"/>
        <v>1909.6611818618378</v>
      </c>
      <c r="E218" s="186">
        <f t="shared" ca="1" si="18"/>
        <v>0</v>
      </c>
      <c r="F218" s="189">
        <f t="shared" ca="1" si="19"/>
        <v>212727.0301556756</v>
      </c>
    </row>
    <row r="219" spans="1:6" x14ac:dyDescent="0.35">
      <c r="A219" s="190">
        <v>209</v>
      </c>
      <c r="B219" s="186">
        <f t="shared" ca="1" si="15"/>
        <v>212727.0301556756</v>
      </c>
      <c r="C219" s="187">
        <f t="shared" ca="1" si="16"/>
        <v>709.09010051891858</v>
      </c>
      <c r="D219" s="188">
        <f t="shared" si="17"/>
        <v>1909.6611818618378</v>
      </c>
      <c r="E219" s="186">
        <f t="shared" ca="1" si="18"/>
        <v>0</v>
      </c>
      <c r="F219" s="189">
        <f t="shared" ca="1" si="19"/>
        <v>211526.4590743327</v>
      </c>
    </row>
    <row r="220" spans="1:6" x14ac:dyDescent="0.35">
      <c r="A220" s="190">
        <v>210</v>
      </c>
      <c r="B220" s="186">
        <f t="shared" ca="1" si="15"/>
        <v>211526.4590743327</v>
      </c>
      <c r="C220" s="187">
        <f t="shared" ca="1" si="16"/>
        <v>705.08819691444239</v>
      </c>
      <c r="D220" s="188">
        <f t="shared" si="17"/>
        <v>1909.6611818618378</v>
      </c>
      <c r="E220" s="186">
        <f t="shared" ca="1" si="18"/>
        <v>120</v>
      </c>
      <c r="F220" s="189">
        <f t="shared" ca="1" si="19"/>
        <v>210201.88608938531</v>
      </c>
    </row>
    <row r="221" spans="1:6" x14ac:dyDescent="0.35">
      <c r="A221" s="190">
        <v>211</v>
      </c>
      <c r="B221" s="186">
        <f t="shared" ca="1" si="15"/>
        <v>210201.88608938531</v>
      </c>
      <c r="C221" s="187">
        <f t="shared" ca="1" si="16"/>
        <v>700.67295363128449</v>
      </c>
      <c r="D221" s="188">
        <f t="shared" si="17"/>
        <v>1909.6611818618378</v>
      </c>
      <c r="E221" s="186">
        <f t="shared" ca="1" si="18"/>
        <v>0</v>
      </c>
      <c r="F221" s="189">
        <f t="shared" ca="1" si="19"/>
        <v>208992.89786115478</v>
      </c>
    </row>
    <row r="222" spans="1:6" x14ac:dyDescent="0.35">
      <c r="A222" s="190">
        <v>212</v>
      </c>
      <c r="B222" s="186">
        <f t="shared" ca="1" si="15"/>
        <v>208992.89786115478</v>
      </c>
      <c r="C222" s="187">
        <f t="shared" ca="1" si="16"/>
        <v>696.64299287051597</v>
      </c>
      <c r="D222" s="188">
        <f t="shared" si="17"/>
        <v>1909.6611818618378</v>
      </c>
      <c r="E222" s="186">
        <f t="shared" ca="1" si="18"/>
        <v>0</v>
      </c>
      <c r="F222" s="189">
        <f t="shared" ca="1" si="19"/>
        <v>207779.87967216346</v>
      </c>
    </row>
    <row r="223" spans="1:6" x14ac:dyDescent="0.35">
      <c r="A223" s="190">
        <v>213</v>
      </c>
      <c r="B223" s="186">
        <f t="shared" ca="1" si="15"/>
        <v>207779.87967216346</v>
      </c>
      <c r="C223" s="187">
        <f t="shared" ca="1" si="16"/>
        <v>692.59959890721154</v>
      </c>
      <c r="D223" s="188">
        <f t="shared" si="17"/>
        <v>1909.6611818618378</v>
      </c>
      <c r="E223" s="186">
        <f t="shared" ca="1" si="18"/>
        <v>192</v>
      </c>
      <c r="F223" s="189">
        <f t="shared" ca="1" si="19"/>
        <v>206370.81808920886</v>
      </c>
    </row>
    <row r="224" spans="1:6" x14ac:dyDescent="0.35">
      <c r="A224" s="190">
        <v>214</v>
      </c>
      <c r="B224" s="186">
        <f t="shared" ca="1" si="15"/>
        <v>206370.81808920886</v>
      </c>
      <c r="C224" s="187">
        <f t="shared" ca="1" si="16"/>
        <v>687.90272696402951</v>
      </c>
      <c r="D224" s="188">
        <f t="shared" si="17"/>
        <v>1909.6611818618378</v>
      </c>
      <c r="E224" s="186">
        <f t="shared" ca="1" si="18"/>
        <v>0</v>
      </c>
      <c r="F224" s="189">
        <f t="shared" ca="1" si="19"/>
        <v>205149.05963431107</v>
      </c>
    </row>
    <row r="225" spans="1:6" x14ac:dyDescent="0.35">
      <c r="A225" s="190">
        <v>215</v>
      </c>
      <c r="B225" s="186">
        <f t="shared" ca="1" si="15"/>
        <v>205149.05963431107</v>
      </c>
      <c r="C225" s="187">
        <f t="shared" ca="1" si="16"/>
        <v>683.83019878103687</v>
      </c>
      <c r="D225" s="188">
        <f t="shared" si="17"/>
        <v>1909.6611818618378</v>
      </c>
      <c r="E225" s="186">
        <f t="shared" ca="1" si="18"/>
        <v>0</v>
      </c>
      <c r="F225" s="189">
        <f t="shared" ca="1" si="19"/>
        <v>203923.22865123028</v>
      </c>
    </row>
    <row r="226" spans="1:6" x14ac:dyDescent="0.35">
      <c r="A226" s="190">
        <v>216</v>
      </c>
      <c r="B226" s="186">
        <f t="shared" ca="1" si="15"/>
        <v>203923.22865123028</v>
      </c>
      <c r="C226" s="187">
        <f t="shared" ca="1" si="16"/>
        <v>679.74409550410098</v>
      </c>
      <c r="D226" s="188">
        <f t="shared" si="17"/>
        <v>1909.6611818618378</v>
      </c>
      <c r="E226" s="186">
        <f t="shared" ca="1" si="18"/>
        <v>171</v>
      </c>
      <c r="F226" s="189">
        <f t="shared" ca="1" si="19"/>
        <v>202522.31156487257</v>
      </c>
    </row>
    <row r="227" spans="1:6" x14ac:dyDescent="0.35">
      <c r="A227" s="190">
        <v>217</v>
      </c>
      <c r="B227" s="186">
        <f t="shared" ca="1" si="15"/>
        <v>202522.31156487257</v>
      </c>
      <c r="C227" s="187">
        <f t="shared" ca="1" si="16"/>
        <v>675.07437188290862</v>
      </c>
      <c r="D227" s="188">
        <f t="shared" si="17"/>
        <v>1909.6611818618378</v>
      </c>
      <c r="E227" s="186">
        <f t="shared" ca="1" si="18"/>
        <v>0</v>
      </c>
      <c r="F227" s="189">
        <f t="shared" ca="1" si="19"/>
        <v>201287.72475489366</v>
      </c>
    </row>
    <row r="228" spans="1:6" x14ac:dyDescent="0.35">
      <c r="A228" s="190">
        <v>218</v>
      </c>
      <c r="B228" s="186">
        <f t="shared" ca="1" si="15"/>
        <v>201287.72475489366</v>
      </c>
      <c r="C228" s="187">
        <f t="shared" ca="1" si="16"/>
        <v>670.95908251631215</v>
      </c>
      <c r="D228" s="188">
        <f t="shared" si="17"/>
        <v>1909.6611818618378</v>
      </c>
      <c r="E228" s="186">
        <f t="shared" ca="1" si="18"/>
        <v>0</v>
      </c>
      <c r="F228" s="189">
        <f t="shared" ca="1" si="19"/>
        <v>200049.02265554815</v>
      </c>
    </row>
    <row r="229" spans="1:6" x14ac:dyDescent="0.35">
      <c r="A229" s="190">
        <v>219</v>
      </c>
      <c r="B229" s="186">
        <f t="shared" ca="1" si="15"/>
        <v>200049.02265554815</v>
      </c>
      <c r="C229" s="187">
        <f t="shared" ca="1" si="16"/>
        <v>666.8300755184938</v>
      </c>
      <c r="D229" s="188">
        <f t="shared" si="17"/>
        <v>1909.6611818618378</v>
      </c>
      <c r="E229" s="186">
        <f t="shared" ca="1" si="18"/>
        <v>173</v>
      </c>
      <c r="F229" s="189">
        <f t="shared" ca="1" si="19"/>
        <v>198633.19154920481</v>
      </c>
    </row>
    <row r="230" spans="1:6" x14ac:dyDescent="0.35">
      <c r="A230" s="190">
        <v>220</v>
      </c>
      <c r="B230" s="186">
        <f t="shared" ca="1" si="15"/>
        <v>198633.19154920481</v>
      </c>
      <c r="C230" s="187">
        <f t="shared" ca="1" si="16"/>
        <v>662.11063849734944</v>
      </c>
      <c r="D230" s="188">
        <f t="shared" si="17"/>
        <v>1909.6611818618378</v>
      </c>
      <c r="E230" s="186">
        <f t="shared" ca="1" si="18"/>
        <v>0</v>
      </c>
      <c r="F230" s="189">
        <f t="shared" ca="1" si="19"/>
        <v>197385.64100584033</v>
      </c>
    </row>
    <row r="231" spans="1:6" x14ac:dyDescent="0.35">
      <c r="A231" s="190">
        <v>221</v>
      </c>
      <c r="B231" s="186">
        <f t="shared" ca="1" si="15"/>
        <v>197385.64100584033</v>
      </c>
      <c r="C231" s="187">
        <f t="shared" ca="1" si="16"/>
        <v>657.95213668613439</v>
      </c>
      <c r="D231" s="188">
        <f t="shared" si="17"/>
        <v>1909.6611818618378</v>
      </c>
      <c r="E231" s="186">
        <f t="shared" ca="1" si="18"/>
        <v>0</v>
      </c>
      <c r="F231" s="189">
        <f t="shared" ca="1" si="19"/>
        <v>196133.93196066463</v>
      </c>
    </row>
    <row r="232" spans="1:6" x14ac:dyDescent="0.35">
      <c r="A232" s="190">
        <v>222</v>
      </c>
      <c r="B232" s="186">
        <f t="shared" ca="1" si="15"/>
        <v>196133.93196066463</v>
      </c>
      <c r="C232" s="187">
        <f t="shared" ca="1" si="16"/>
        <v>653.77977320221544</v>
      </c>
      <c r="D232" s="188">
        <f t="shared" si="17"/>
        <v>1909.6611818618378</v>
      </c>
      <c r="E232" s="186">
        <f t="shared" ca="1" si="18"/>
        <v>127</v>
      </c>
      <c r="F232" s="189">
        <f t="shared" ca="1" si="19"/>
        <v>194751.05055200501</v>
      </c>
    </row>
    <row r="233" spans="1:6" x14ac:dyDescent="0.35">
      <c r="A233" s="190">
        <v>223</v>
      </c>
      <c r="B233" s="186">
        <f t="shared" ca="1" si="15"/>
        <v>194751.05055200501</v>
      </c>
      <c r="C233" s="187">
        <f t="shared" ca="1" si="16"/>
        <v>649.17016850668335</v>
      </c>
      <c r="D233" s="188">
        <f t="shared" si="17"/>
        <v>1909.6611818618378</v>
      </c>
      <c r="E233" s="186">
        <f t="shared" ca="1" si="18"/>
        <v>0</v>
      </c>
      <c r="F233" s="189">
        <f t="shared" ca="1" si="19"/>
        <v>193490.55953864986</v>
      </c>
    </row>
    <row r="234" spans="1:6" x14ac:dyDescent="0.35">
      <c r="A234" s="190">
        <v>224</v>
      </c>
      <c r="B234" s="186">
        <f t="shared" ca="1" si="15"/>
        <v>193490.55953864986</v>
      </c>
      <c r="C234" s="187">
        <f t="shared" ca="1" si="16"/>
        <v>644.96853179549953</v>
      </c>
      <c r="D234" s="188">
        <f t="shared" si="17"/>
        <v>1909.6611818618378</v>
      </c>
      <c r="E234" s="186">
        <f t="shared" ca="1" si="18"/>
        <v>0</v>
      </c>
      <c r="F234" s="189">
        <f t="shared" ca="1" si="19"/>
        <v>192225.86688858352</v>
      </c>
    </row>
    <row r="235" spans="1:6" x14ac:dyDescent="0.35">
      <c r="A235" s="190">
        <v>225</v>
      </c>
      <c r="B235" s="186">
        <f t="shared" ca="1" si="15"/>
        <v>192225.86688858352</v>
      </c>
      <c r="C235" s="187">
        <f t="shared" ca="1" si="16"/>
        <v>640.7528896286118</v>
      </c>
      <c r="D235" s="188">
        <f t="shared" si="17"/>
        <v>1909.6611818618378</v>
      </c>
      <c r="E235" s="186">
        <f t="shared" ca="1" si="18"/>
        <v>181</v>
      </c>
      <c r="F235" s="189">
        <f t="shared" ca="1" si="19"/>
        <v>190775.95859635031</v>
      </c>
    </row>
    <row r="236" spans="1:6" x14ac:dyDescent="0.35">
      <c r="A236" s="190">
        <v>226</v>
      </c>
      <c r="B236" s="186">
        <f t="shared" ca="1" si="15"/>
        <v>190775.95859635031</v>
      </c>
      <c r="C236" s="187">
        <f t="shared" ca="1" si="16"/>
        <v>635.91986198783434</v>
      </c>
      <c r="D236" s="188">
        <f t="shared" si="17"/>
        <v>1909.6611818618378</v>
      </c>
      <c r="E236" s="186">
        <f t="shared" ca="1" si="18"/>
        <v>0</v>
      </c>
      <c r="F236" s="189">
        <f t="shared" ca="1" si="19"/>
        <v>189502.21727647632</v>
      </c>
    </row>
    <row r="237" spans="1:6" x14ac:dyDescent="0.35">
      <c r="A237" s="190">
        <v>227</v>
      </c>
      <c r="B237" s="186">
        <f t="shared" ca="1" si="15"/>
        <v>189502.21727647632</v>
      </c>
      <c r="C237" s="187">
        <f t="shared" ca="1" si="16"/>
        <v>631.67405758825441</v>
      </c>
      <c r="D237" s="188">
        <f t="shared" si="17"/>
        <v>1909.6611818618378</v>
      </c>
      <c r="E237" s="186">
        <f t="shared" ca="1" si="18"/>
        <v>0</v>
      </c>
      <c r="F237" s="189">
        <f t="shared" ca="1" si="19"/>
        <v>188224.23015220274</v>
      </c>
    </row>
    <row r="238" spans="1:6" x14ac:dyDescent="0.35">
      <c r="A238" s="190">
        <v>228</v>
      </c>
      <c r="B238" s="186">
        <f t="shared" ca="1" si="15"/>
        <v>188224.23015220274</v>
      </c>
      <c r="C238" s="187">
        <f t="shared" ca="1" si="16"/>
        <v>627.41410050734248</v>
      </c>
      <c r="D238" s="188">
        <f t="shared" si="17"/>
        <v>1909.6611818618378</v>
      </c>
      <c r="E238" s="186">
        <f t="shared" ca="1" si="18"/>
        <v>106</v>
      </c>
      <c r="F238" s="189">
        <f t="shared" ca="1" si="19"/>
        <v>186835.98307084825</v>
      </c>
    </row>
    <row r="239" spans="1:6" x14ac:dyDescent="0.35">
      <c r="A239" s="190">
        <v>229</v>
      </c>
      <c r="B239" s="186">
        <f t="shared" ca="1" si="15"/>
        <v>186835.98307084825</v>
      </c>
      <c r="C239" s="187">
        <f t="shared" ca="1" si="16"/>
        <v>622.78661023616087</v>
      </c>
      <c r="D239" s="188">
        <f t="shared" si="17"/>
        <v>1909.6611818618378</v>
      </c>
      <c r="E239" s="186">
        <f t="shared" ca="1" si="18"/>
        <v>0</v>
      </c>
      <c r="F239" s="189">
        <f t="shared" ca="1" si="19"/>
        <v>185549.10849922258</v>
      </c>
    </row>
    <row r="240" spans="1:6" x14ac:dyDescent="0.35">
      <c r="A240" s="190">
        <v>230</v>
      </c>
      <c r="B240" s="186">
        <f t="shared" ca="1" si="15"/>
        <v>185549.10849922258</v>
      </c>
      <c r="C240" s="187">
        <f t="shared" ca="1" si="16"/>
        <v>618.49702833074195</v>
      </c>
      <c r="D240" s="188">
        <f t="shared" si="17"/>
        <v>1909.6611818618378</v>
      </c>
      <c r="E240" s="186">
        <f t="shared" ca="1" si="18"/>
        <v>0</v>
      </c>
      <c r="F240" s="189">
        <f t="shared" ca="1" si="19"/>
        <v>184257.9443456915</v>
      </c>
    </row>
    <row r="241" spans="1:6" x14ac:dyDescent="0.35">
      <c r="A241" s="190">
        <v>231</v>
      </c>
      <c r="B241" s="186">
        <f t="shared" ca="1" si="15"/>
        <v>184257.9443456915</v>
      </c>
      <c r="C241" s="187">
        <f t="shared" ca="1" si="16"/>
        <v>614.19314781897162</v>
      </c>
      <c r="D241" s="188">
        <f t="shared" si="17"/>
        <v>1909.6611818618378</v>
      </c>
      <c r="E241" s="186">
        <f t="shared" ca="1" si="18"/>
        <v>162</v>
      </c>
      <c r="F241" s="189">
        <f t="shared" ca="1" si="19"/>
        <v>182800.47631164864</v>
      </c>
    </row>
    <row r="242" spans="1:6" x14ac:dyDescent="0.35">
      <c r="A242" s="190">
        <v>232</v>
      </c>
      <c r="B242" s="186">
        <f t="shared" ca="1" si="15"/>
        <v>182800.47631164864</v>
      </c>
      <c r="C242" s="187">
        <f t="shared" ca="1" si="16"/>
        <v>609.33492103882884</v>
      </c>
      <c r="D242" s="188">
        <f t="shared" si="17"/>
        <v>1909.6611818618378</v>
      </c>
      <c r="E242" s="186">
        <f t="shared" ca="1" si="18"/>
        <v>0</v>
      </c>
      <c r="F242" s="189">
        <f t="shared" ca="1" si="19"/>
        <v>181500.15005082564</v>
      </c>
    </row>
    <row r="243" spans="1:6" x14ac:dyDescent="0.35">
      <c r="A243" s="190">
        <v>233</v>
      </c>
      <c r="B243" s="186">
        <f t="shared" ca="1" si="15"/>
        <v>181500.15005082564</v>
      </c>
      <c r="C243" s="187">
        <f t="shared" ca="1" si="16"/>
        <v>605.00050016941884</v>
      </c>
      <c r="D243" s="188">
        <f t="shared" si="17"/>
        <v>1909.6611818618378</v>
      </c>
      <c r="E243" s="186">
        <f t="shared" ca="1" si="18"/>
        <v>0</v>
      </c>
      <c r="F243" s="189">
        <f t="shared" ca="1" si="19"/>
        <v>180195.48936913323</v>
      </c>
    </row>
    <row r="244" spans="1:6" x14ac:dyDescent="0.35">
      <c r="A244" s="190">
        <v>234</v>
      </c>
      <c r="B244" s="186">
        <f t="shared" ca="1" si="15"/>
        <v>180195.48936913323</v>
      </c>
      <c r="C244" s="187">
        <f t="shared" ca="1" si="16"/>
        <v>600.65163123044408</v>
      </c>
      <c r="D244" s="188">
        <f t="shared" si="17"/>
        <v>1909.6611818618378</v>
      </c>
      <c r="E244" s="186">
        <f t="shared" ca="1" si="18"/>
        <v>106</v>
      </c>
      <c r="F244" s="189">
        <f t="shared" ca="1" si="19"/>
        <v>178780.47981850183</v>
      </c>
    </row>
    <row r="245" spans="1:6" x14ac:dyDescent="0.35">
      <c r="A245" s="190">
        <v>235</v>
      </c>
      <c r="B245" s="186">
        <f t="shared" ca="1" si="15"/>
        <v>178780.47981850183</v>
      </c>
      <c r="C245" s="187">
        <f t="shared" ca="1" si="16"/>
        <v>595.9349327283395</v>
      </c>
      <c r="D245" s="188">
        <f t="shared" si="17"/>
        <v>1909.6611818618378</v>
      </c>
      <c r="E245" s="186">
        <f t="shared" ca="1" si="18"/>
        <v>0</v>
      </c>
      <c r="F245" s="189">
        <f t="shared" ca="1" si="19"/>
        <v>177466.75356936833</v>
      </c>
    </row>
    <row r="246" spans="1:6" x14ac:dyDescent="0.35">
      <c r="A246" s="190">
        <v>236</v>
      </c>
      <c r="B246" s="186">
        <f t="shared" ca="1" si="15"/>
        <v>177466.75356936833</v>
      </c>
      <c r="C246" s="187">
        <f t="shared" ca="1" si="16"/>
        <v>591.55584523122775</v>
      </c>
      <c r="D246" s="188">
        <f t="shared" si="17"/>
        <v>1909.6611818618378</v>
      </c>
      <c r="E246" s="186">
        <f t="shared" ca="1" si="18"/>
        <v>0</v>
      </c>
      <c r="F246" s="189">
        <f t="shared" ca="1" si="19"/>
        <v>176148.64823273773</v>
      </c>
    </row>
    <row r="247" spans="1:6" x14ac:dyDescent="0.35">
      <c r="A247" s="190">
        <v>237</v>
      </c>
      <c r="B247" s="186">
        <f t="shared" ca="1" si="15"/>
        <v>176148.64823273773</v>
      </c>
      <c r="C247" s="187">
        <f t="shared" ca="1" si="16"/>
        <v>587.16216077579247</v>
      </c>
      <c r="D247" s="188">
        <f t="shared" si="17"/>
        <v>1909.6611818618378</v>
      </c>
      <c r="E247" s="186">
        <f t="shared" ca="1" si="18"/>
        <v>132</v>
      </c>
      <c r="F247" s="189">
        <f t="shared" ca="1" si="19"/>
        <v>174694.1492116517</v>
      </c>
    </row>
    <row r="248" spans="1:6" x14ac:dyDescent="0.35">
      <c r="A248" s="190">
        <v>238</v>
      </c>
      <c r="B248" s="186">
        <f t="shared" ca="1" si="15"/>
        <v>174694.1492116517</v>
      </c>
      <c r="C248" s="187">
        <f t="shared" ca="1" si="16"/>
        <v>582.31383070550567</v>
      </c>
      <c r="D248" s="188">
        <f t="shared" si="17"/>
        <v>1909.6611818618378</v>
      </c>
      <c r="E248" s="186">
        <f t="shared" ca="1" si="18"/>
        <v>0</v>
      </c>
      <c r="F248" s="189">
        <f t="shared" ca="1" si="19"/>
        <v>173366.80186049538</v>
      </c>
    </row>
    <row r="249" spans="1:6" x14ac:dyDescent="0.35">
      <c r="A249" s="190">
        <v>239</v>
      </c>
      <c r="B249" s="186">
        <f t="shared" ca="1" si="15"/>
        <v>173366.80186049538</v>
      </c>
      <c r="C249" s="187">
        <f t="shared" ca="1" si="16"/>
        <v>577.88933953498463</v>
      </c>
      <c r="D249" s="188">
        <f t="shared" si="17"/>
        <v>1909.6611818618378</v>
      </c>
      <c r="E249" s="186">
        <f t="shared" ca="1" si="18"/>
        <v>0</v>
      </c>
      <c r="F249" s="189">
        <f t="shared" ca="1" si="19"/>
        <v>172035.03001816853</v>
      </c>
    </row>
    <row r="250" spans="1:6" x14ac:dyDescent="0.35">
      <c r="A250" s="190">
        <v>240</v>
      </c>
      <c r="B250" s="186">
        <f t="shared" ca="1" si="15"/>
        <v>172035.03001816853</v>
      </c>
      <c r="C250" s="187">
        <f t="shared" ca="1" si="16"/>
        <v>573.45010006056179</v>
      </c>
      <c r="D250" s="188">
        <f t="shared" si="17"/>
        <v>1909.6611818618378</v>
      </c>
      <c r="E250" s="186">
        <f t="shared" ca="1" si="18"/>
        <v>109</v>
      </c>
      <c r="F250" s="189">
        <f t="shared" ca="1" si="19"/>
        <v>170589.81893636726</v>
      </c>
    </row>
    <row r="251" spans="1:6" x14ac:dyDescent="0.35">
      <c r="A251" s="190">
        <v>241</v>
      </c>
      <c r="B251" s="186">
        <f t="shared" ca="1" si="15"/>
        <v>170589.81893636726</v>
      </c>
      <c r="C251" s="187">
        <f t="shared" ca="1" si="16"/>
        <v>568.63272978789087</v>
      </c>
      <c r="D251" s="188">
        <f t="shared" si="17"/>
        <v>1909.6611818618378</v>
      </c>
      <c r="E251" s="186">
        <f t="shared" ca="1" si="18"/>
        <v>0</v>
      </c>
      <c r="F251" s="189">
        <f t="shared" ca="1" si="19"/>
        <v>169248.79048429333</v>
      </c>
    </row>
    <row r="252" spans="1:6" x14ac:dyDescent="0.35">
      <c r="A252" s="190">
        <v>242</v>
      </c>
      <c r="B252" s="186">
        <f t="shared" ca="1" si="15"/>
        <v>169248.79048429333</v>
      </c>
      <c r="C252" s="187">
        <f t="shared" ca="1" si="16"/>
        <v>564.16263494764451</v>
      </c>
      <c r="D252" s="188">
        <f t="shared" si="17"/>
        <v>1909.6611818618378</v>
      </c>
      <c r="E252" s="186">
        <f t="shared" ca="1" si="18"/>
        <v>0</v>
      </c>
      <c r="F252" s="189">
        <f t="shared" ca="1" si="19"/>
        <v>167903.29193737917</v>
      </c>
    </row>
    <row r="253" spans="1:6" x14ac:dyDescent="0.35">
      <c r="A253" s="190">
        <v>243</v>
      </c>
      <c r="B253" s="186">
        <f t="shared" ca="1" si="15"/>
        <v>167903.29193737917</v>
      </c>
      <c r="C253" s="187">
        <f t="shared" ca="1" si="16"/>
        <v>559.67763979126391</v>
      </c>
      <c r="D253" s="188">
        <f t="shared" si="17"/>
        <v>1909.6611818618378</v>
      </c>
      <c r="E253" s="186">
        <f t="shared" ca="1" si="18"/>
        <v>114</v>
      </c>
      <c r="F253" s="189">
        <f t="shared" ca="1" si="19"/>
        <v>166439.30839530862</v>
      </c>
    </row>
    <row r="254" spans="1:6" x14ac:dyDescent="0.35">
      <c r="A254" s="190">
        <v>244</v>
      </c>
      <c r="B254" s="186">
        <f t="shared" ca="1" si="15"/>
        <v>166439.30839530862</v>
      </c>
      <c r="C254" s="187">
        <f t="shared" ca="1" si="16"/>
        <v>554.79769465102879</v>
      </c>
      <c r="D254" s="188">
        <f t="shared" si="17"/>
        <v>1909.6611818618378</v>
      </c>
      <c r="E254" s="186">
        <f t="shared" ca="1" si="18"/>
        <v>0</v>
      </c>
      <c r="F254" s="189">
        <f t="shared" ca="1" si="19"/>
        <v>165084.44490809782</v>
      </c>
    </row>
    <row r="255" spans="1:6" x14ac:dyDescent="0.35">
      <c r="A255" s="190">
        <v>245</v>
      </c>
      <c r="B255" s="186">
        <f t="shared" ca="1" si="15"/>
        <v>165084.44490809782</v>
      </c>
      <c r="C255" s="187">
        <f t="shared" ca="1" si="16"/>
        <v>550.28148302699276</v>
      </c>
      <c r="D255" s="188">
        <f t="shared" si="17"/>
        <v>1909.6611818618378</v>
      </c>
      <c r="E255" s="186">
        <f t="shared" ca="1" si="18"/>
        <v>0</v>
      </c>
      <c r="F255" s="189">
        <f t="shared" ca="1" si="19"/>
        <v>163725.065209263</v>
      </c>
    </row>
    <row r="256" spans="1:6" x14ac:dyDescent="0.35">
      <c r="A256" s="190">
        <v>246</v>
      </c>
      <c r="B256" s="186">
        <f t="shared" ca="1" si="15"/>
        <v>163725.065209263</v>
      </c>
      <c r="C256" s="187">
        <f t="shared" ca="1" si="16"/>
        <v>545.75021736421002</v>
      </c>
      <c r="D256" s="188">
        <f t="shared" si="17"/>
        <v>1909.6611818618378</v>
      </c>
      <c r="E256" s="186">
        <f t="shared" ca="1" si="18"/>
        <v>143</v>
      </c>
      <c r="F256" s="189">
        <f t="shared" ca="1" si="19"/>
        <v>162218.15424476538</v>
      </c>
    </row>
    <row r="257" spans="1:6" x14ac:dyDescent="0.35">
      <c r="A257" s="190">
        <v>247</v>
      </c>
      <c r="B257" s="186">
        <f t="shared" ca="1" si="15"/>
        <v>162218.15424476538</v>
      </c>
      <c r="C257" s="187">
        <f t="shared" ca="1" si="16"/>
        <v>540.72718081588459</v>
      </c>
      <c r="D257" s="188">
        <f t="shared" si="17"/>
        <v>1909.6611818618378</v>
      </c>
      <c r="E257" s="186">
        <f t="shared" ca="1" si="18"/>
        <v>0</v>
      </c>
      <c r="F257" s="189">
        <f t="shared" ca="1" si="19"/>
        <v>160849.22024371944</v>
      </c>
    </row>
    <row r="258" spans="1:6" x14ac:dyDescent="0.35">
      <c r="A258" s="190">
        <v>248</v>
      </c>
      <c r="B258" s="186">
        <f t="shared" ca="1" si="15"/>
        <v>160849.22024371944</v>
      </c>
      <c r="C258" s="187">
        <f t="shared" ca="1" si="16"/>
        <v>536.16406747906478</v>
      </c>
      <c r="D258" s="188">
        <f t="shared" si="17"/>
        <v>1909.6611818618378</v>
      </c>
      <c r="E258" s="186">
        <f t="shared" ca="1" si="18"/>
        <v>0</v>
      </c>
      <c r="F258" s="189">
        <f t="shared" ca="1" si="19"/>
        <v>159475.72312933666</v>
      </c>
    </row>
    <row r="259" spans="1:6" x14ac:dyDescent="0.35">
      <c r="A259" s="190">
        <v>249</v>
      </c>
      <c r="B259" s="186">
        <f t="shared" ca="1" si="15"/>
        <v>159475.72312933666</v>
      </c>
      <c r="C259" s="187">
        <f t="shared" ca="1" si="16"/>
        <v>531.58574376445551</v>
      </c>
      <c r="D259" s="188">
        <f t="shared" si="17"/>
        <v>1909.6611818618378</v>
      </c>
      <c r="E259" s="186">
        <f t="shared" ca="1" si="18"/>
        <v>150</v>
      </c>
      <c r="F259" s="189">
        <f t="shared" ca="1" si="19"/>
        <v>157947.64769123928</v>
      </c>
    </row>
    <row r="260" spans="1:6" x14ac:dyDescent="0.35">
      <c r="A260" s="190">
        <v>250</v>
      </c>
      <c r="B260" s="186">
        <f t="shared" ca="1" si="15"/>
        <v>157947.64769123928</v>
      </c>
      <c r="C260" s="187">
        <f t="shared" ca="1" si="16"/>
        <v>526.49215897079762</v>
      </c>
      <c r="D260" s="188">
        <f t="shared" si="17"/>
        <v>1909.6611818618378</v>
      </c>
      <c r="E260" s="186">
        <f t="shared" ca="1" si="18"/>
        <v>0</v>
      </c>
      <c r="F260" s="189">
        <f t="shared" ca="1" si="19"/>
        <v>156564.47866834825</v>
      </c>
    </row>
    <row r="261" spans="1:6" x14ac:dyDescent="0.35">
      <c r="A261" s="190">
        <v>251</v>
      </c>
      <c r="B261" s="186">
        <f t="shared" ca="1" si="15"/>
        <v>156564.47866834825</v>
      </c>
      <c r="C261" s="187">
        <f t="shared" ca="1" si="16"/>
        <v>521.88159556116091</v>
      </c>
      <c r="D261" s="188">
        <f t="shared" si="17"/>
        <v>1909.6611818618378</v>
      </c>
      <c r="E261" s="186">
        <f t="shared" ca="1" si="18"/>
        <v>0</v>
      </c>
      <c r="F261" s="189">
        <f t="shared" ca="1" si="19"/>
        <v>155176.69908204759</v>
      </c>
    </row>
    <row r="262" spans="1:6" x14ac:dyDescent="0.35">
      <c r="A262" s="190">
        <v>252</v>
      </c>
      <c r="B262" s="186">
        <f t="shared" ca="1" si="15"/>
        <v>155176.69908204759</v>
      </c>
      <c r="C262" s="187">
        <f t="shared" ca="1" si="16"/>
        <v>517.25566360682535</v>
      </c>
      <c r="D262" s="188">
        <f t="shared" si="17"/>
        <v>1909.6611818618378</v>
      </c>
      <c r="E262" s="186">
        <f t="shared" ca="1" si="18"/>
        <v>156</v>
      </c>
      <c r="F262" s="189">
        <f t="shared" ca="1" si="19"/>
        <v>153628.2935637926</v>
      </c>
    </row>
    <row r="263" spans="1:6" x14ac:dyDescent="0.35">
      <c r="A263" s="190">
        <v>253</v>
      </c>
      <c r="B263" s="186">
        <f t="shared" ca="1" si="15"/>
        <v>153628.2935637926</v>
      </c>
      <c r="C263" s="187">
        <f t="shared" ca="1" si="16"/>
        <v>512.09431187930875</v>
      </c>
      <c r="D263" s="188">
        <f t="shared" si="17"/>
        <v>1909.6611818618378</v>
      </c>
      <c r="E263" s="186">
        <f t="shared" ca="1" si="18"/>
        <v>0</v>
      </c>
      <c r="F263" s="189">
        <f t="shared" ca="1" si="19"/>
        <v>152230.72669381008</v>
      </c>
    </row>
    <row r="264" spans="1:6" x14ac:dyDescent="0.35">
      <c r="A264" s="190">
        <v>254</v>
      </c>
      <c r="B264" s="186">
        <f t="shared" ca="1" si="15"/>
        <v>152230.72669381008</v>
      </c>
      <c r="C264" s="187">
        <f t="shared" ca="1" si="16"/>
        <v>507.43575564603361</v>
      </c>
      <c r="D264" s="188">
        <f t="shared" si="17"/>
        <v>1909.6611818618378</v>
      </c>
      <c r="E264" s="186">
        <f t="shared" ca="1" si="18"/>
        <v>0</v>
      </c>
      <c r="F264" s="189">
        <f t="shared" ca="1" si="19"/>
        <v>150828.50126759429</v>
      </c>
    </row>
    <row r="265" spans="1:6" x14ac:dyDescent="0.35">
      <c r="A265" s="190">
        <v>255</v>
      </c>
      <c r="B265" s="186">
        <f t="shared" ca="1" si="15"/>
        <v>150828.50126759429</v>
      </c>
      <c r="C265" s="187">
        <f t="shared" ca="1" si="16"/>
        <v>502.76167089198094</v>
      </c>
      <c r="D265" s="188">
        <f t="shared" si="17"/>
        <v>1909.6611818618378</v>
      </c>
      <c r="E265" s="186">
        <f t="shared" ca="1" si="18"/>
        <v>117</v>
      </c>
      <c r="F265" s="189">
        <f t="shared" ca="1" si="19"/>
        <v>149304.60175662444</v>
      </c>
    </row>
    <row r="266" spans="1:6" x14ac:dyDescent="0.35">
      <c r="A266" s="190">
        <v>256</v>
      </c>
      <c r="B266" s="186">
        <f t="shared" ca="1" si="15"/>
        <v>149304.60175662444</v>
      </c>
      <c r="C266" s="187">
        <f t="shared" ca="1" si="16"/>
        <v>497.68200585541484</v>
      </c>
      <c r="D266" s="188">
        <f t="shared" si="17"/>
        <v>1909.6611818618378</v>
      </c>
      <c r="E266" s="186">
        <f t="shared" ca="1" si="18"/>
        <v>0</v>
      </c>
      <c r="F266" s="189">
        <f t="shared" ca="1" si="19"/>
        <v>147892.62258061802</v>
      </c>
    </row>
    <row r="267" spans="1:6" x14ac:dyDescent="0.35">
      <c r="A267" s="190">
        <v>257</v>
      </c>
      <c r="B267" s="186">
        <f t="shared" ca="1" si="15"/>
        <v>147892.62258061802</v>
      </c>
      <c r="C267" s="187">
        <f t="shared" ca="1" si="16"/>
        <v>492.97540860206004</v>
      </c>
      <c r="D267" s="188">
        <f t="shared" si="17"/>
        <v>1909.6611818618378</v>
      </c>
      <c r="E267" s="186">
        <f t="shared" ca="1" si="18"/>
        <v>0</v>
      </c>
      <c r="F267" s="189">
        <f t="shared" ca="1" si="19"/>
        <v>146475.93680735826</v>
      </c>
    </row>
    <row r="268" spans="1:6" x14ac:dyDescent="0.35">
      <c r="A268" s="190">
        <v>258</v>
      </c>
      <c r="B268" s="186">
        <f t="shared" ref="B268:B331" ca="1" si="20">F267</f>
        <v>146475.93680735826</v>
      </c>
      <c r="C268" s="187">
        <f t="shared" ref="C268:C331" ca="1" si="21">B268*$C$3/12</f>
        <v>488.25312269119422</v>
      </c>
      <c r="D268" s="188">
        <f t="shared" ref="D268:D331" si="22">$C$5</f>
        <v>1909.6611818618378</v>
      </c>
      <c r="E268" s="186">
        <f t="shared" ref="E268:E331" ca="1" si="23">IF(MOD(A268,3)=0,RANDBETWEEN(100,200),0)</f>
        <v>193</v>
      </c>
      <c r="F268" s="189">
        <f t="shared" ref="F268:F331" ca="1" si="24">B268+C268-D268-E268</f>
        <v>144861.52874818761</v>
      </c>
    </row>
    <row r="269" spans="1:6" x14ac:dyDescent="0.35">
      <c r="A269" s="190">
        <v>259</v>
      </c>
      <c r="B269" s="186">
        <f t="shared" ca="1" si="20"/>
        <v>144861.52874818761</v>
      </c>
      <c r="C269" s="187">
        <f t="shared" ca="1" si="21"/>
        <v>482.87176249395867</v>
      </c>
      <c r="D269" s="188">
        <f t="shared" si="22"/>
        <v>1909.6611818618378</v>
      </c>
      <c r="E269" s="186">
        <f t="shared" ca="1" si="23"/>
        <v>0</v>
      </c>
      <c r="F269" s="189">
        <f t="shared" ca="1" si="24"/>
        <v>143434.73932881973</v>
      </c>
    </row>
    <row r="270" spans="1:6" x14ac:dyDescent="0.35">
      <c r="A270" s="190">
        <v>260</v>
      </c>
      <c r="B270" s="186">
        <f t="shared" ca="1" si="20"/>
        <v>143434.73932881973</v>
      </c>
      <c r="C270" s="187">
        <f t="shared" ca="1" si="21"/>
        <v>478.11579776273243</v>
      </c>
      <c r="D270" s="188">
        <f t="shared" si="22"/>
        <v>1909.6611818618378</v>
      </c>
      <c r="E270" s="186">
        <f t="shared" ca="1" si="23"/>
        <v>0</v>
      </c>
      <c r="F270" s="189">
        <f t="shared" ca="1" si="24"/>
        <v>142003.19394472064</v>
      </c>
    </row>
    <row r="271" spans="1:6" x14ac:dyDescent="0.35">
      <c r="A271" s="190">
        <v>261</v>
      </c>
      <c r="B271" s="186">
        <f t="shared" ca="1" si="20"/>
        <v>142003.19394472064</v>
      </c>
      <c r="C271" s="187">
        <f t="shared" ca="1" si="21"/>
        <v>473.34397981573551</v>
      </c>
      <c r="D271" s="188">
        <f t="shared" si="22"/>
        <v>1909.6611818618378</v>
      </c>
      <c r="E271" s="186">
        <f t="shared" ca="1" si="23"/>
        <v>130</v>
      </c>
      <c r="F271" s="189">
        <f t="shared" ca="1" si="24"/>
        <v>140436.87674267456</v>
      </c>
    </row>
    <row r="272" spans="1:6" x14ac:dyDescent="0.35">
      <c r="A272" s="190">
        <v>262</v>
      </c>
      <c r="B272" s="186">
        <f t="shared" ca="1" si="20"/>
        <v>140436.87674267456</v>
      </c>
      <c r="C272" s="187">
        <f t="shared" ca="1" si="21"/>
        <v>468.12292247558184</v>
      </c>
      <c r="D272" s="188">
        <f t="shared" si="22"/>
        <v>1909.6611818618378</v>
      </c>
      <c r="E272" s="186">
        <f t="shared" ca="1" si="23"/>
        <v>0</v>
      </c>
      <c r="F272" s="189">
        <f t="shared" ca="1" si="24"/>
        <v>138995.33848328833</v>
      </c>
    </row>
    <row r="273" spans="1:6" x14ac:dyDescent="0.35">
      <c r="A273" s="190">
        <v>263</v>
      </c>
      <c r="B273" s="186">
        <f t="shared" ca="1" si="20"/>
        <v>138995.33848328833</v>
      </c>
      <c r="C273" s="187">
        <f t="shared" ca="1" si="21"/>
        <v>463.31779494429446</v>
      </c>
      <c r="D273" s="188">
        <f t="shared" si="22"/>
        <v>1909.6611818618378</v>
      </c>
      <c r="E273" s="186">
        <f t="shared" ca="1" si="23"/>
        <v>0</v>
      </c>
      <c r="F273" s="189">
        <f t="shared" ca="1" si="24"/>
        <v>137548.99509637081</v>
      </c>
    </row>
    <row r="274" spans="1:6" x14ac:dyDescent="0.35">
      <c r="A274" s="190">
        <v>264</v>
      </c>
      <c r="B274" s="186">
        <f t="shared" ca="1" si="20"/>
        <v>137548.99509637081</v>
      </c>
      <c r="C274" s="187">
        <f t="shared" ca="1" si="21"/>
        <v>458.49665032123607</v>
      </c>
      <c r="D274" s="188">
        <f t="shared" si="22"/>
        <v>1909.6611818618378</v>
      </c>
      <c r="E274" s="186">
        <f t="shared" ca="1" si="23"/>
        <v>132</v>
      </c>
      <c r="F274" s="189">
        <f t="shared" ca="1" si="24"/>
        <v>135965.83056483022</v>
      </c>
    </row>
    <row r="275" spans="1:6" x14ac:dyDescent="0.35">
      <c r="A275" s="190">
        <v>265</v>
      </c>
      <c r="B275" s="186">
        <f t="shared" ca="1" si="20"/>
        <v>135965.83056483022</v>
      </c>
      <c r="C275" s="187">
        <f t="shared" ca="1" si="21"/>
        <v>453.21943521610075</v>
      </c>
      <c r="D275" s="188">
        <f t="shared" si="22"/>
        <v>1909.6611818618378</v>
      </c>
      <c r="E275" s="186">
        <f t="shared" ca="1" si="23"/>
        <v>0</v>
      </c>
      <c r="F275" s="189">
        <f t="shared" ca="1" si="24"/>
        <v>134509.3888181845</v>
      </c>
    </row>
    <row r="276" spans="1:6" x14ac:dyDescent="0.35">
      <c r="A276" s="190">
        <v>266</v>
      </c>
      <c r="B276" s="186">
        <f t="shared" ca="1" si="20"/>
        <v>134509.3888181845</v>
      </c>
      <c r="C276" s="187">
        <f t="shared" ca="1" si="21"/>
        <v>448.36462939394829</v>
      </c>
      <c r="D276" s="188">
        <f t="shared" si="22"/>
        <v>1909.6611818618378</v>
      </c>
      <c r="E276" s="186">
        <f t="shared" ca="1" si="23"/>
        <v>0</v>
      </c>
      <c r="F276" s="189">
        <f t="shared" ca="1" si="24"/>
        <v>133048.09226571661</v>
      </c>
    </row>
    <row r="277" spans="1:6" x14ac:dyDescent="0.35">
      <c r="A277" s="190">
        <v>267</v>
      </c>
      <c r="B277" s="186">
        <f t="shared" ca="1" si="20"/>
        <v>133048.09226571661</v>
      </c>
      <c r="C277" s="187">
        <f t="shared" ca="1" si="21"/>
        <v>443.49364088572202</v>
      </c>
      <c r="D277" s="188">
        <f t="shared" si="22"/>
        <v>1909.6611818618378</v>
      </c>
      <c r="E277" s="186">
        <f t="shared" ca="1" si="23"/>
        <v>113</v>
      </c>
      <c r="F277" s="189">
        <f t="shared" ca="1" si="24"/>
        <v>131468.9247247405</v>
      </c>
    </row>
    <row r="278" spans="1:6" x14ac:dyDescent="0.35">
      <c r="A278" s="190">
        <v>268</v>
      </c>
      <c r="B278" s="186">
        <f t="shared" ca="1" si="20"/>
        <v>131468.9247247405</v>
      </c>
      <c r="C278" s="187">
        <f t="shared" ca="1" si="21"/>
        <v>438.22974908246835</v>
      </c>
      <c r="D278" s="188">
        <f t="shared" si="22"/>
        <v>1909.6611818618378</v>
      </c>
      <c r="E278" s="186">
        <f t="shared" ca="1" si="23"/>
        <v>0</v>
      </c>
      <c r="F278" s="189">
        <f t="shared" ca="1" si="24"/>
        <v>129997.49329196113</v>
      </c>
    </row>
    <row r="279" spans="1:6" x14ac:dyDescent="0.35">
      <c r="A279" s="190">
        <v>269</v>
      </c>
      <c r="B279" s="186">
        <f t="shared" ca="1" si="20"/>
        <v>129997.49329196113</v>
      </c>
      <c r="C279" s="187">
        <f t="shared" ca="1" si="21"/>
        <v>433.32497763987044</v>
      </c>
      <c r="D279" s="188">
        <f t="shared" si="22"/>
        <v>1909.6611818618378</v>
      </c>
      <c r="E279" s="186">
        <f t="shared" ca="1" si="23"/>
        <v>0</v>
      </c>
      <c r="F279" s="189">
        <f t="shared" ca="1" si="24"/>
        <v>128521.15708773916</v>
      </c>
    </row>
    <row r="280" spans="1:6" x14ac:dyDescent="0.35">
      <c r="A280" s="190">
        <v>270</v>
      </c>
      <c r="B280" s="186">
        <f t="shared" ca="1" si="20"/>
        <v>128521.15708773916</v>
      </c>
      <c r="C280" s="187">
        <f t="shared" ca="1" si="21"/>
        <v>428.40385695913056</v>
      </c>
      <c r="D280" s="188">
        <f t="shared" si="22"/>
        <v>1909.6611818618378</v>
      </c>
      <c r="E280" s="186">
        <f t="shared" ca="1" si="23"/>
        <v>138</v>
      </c>
      <c r="F280" s="189">
        <f t="shared" ca="1" si="24"/>
        <v>126901.89976283646</v>
      </c>
    </row>
    <row r="281" spans="1:6" x14ac:dyDescent="0.35">
      <c r="A281" s="190">
        <v>271</v>
      </c>
      <c r="B281" s="186">
        <f t="shared" ca="1" si="20"/>
        <v>126901.89976283646</v>
      </c>
      <c r="C281" s="187">
        <f t="shared" ca="1" si="21"/>
        <v>423.00633254278819</v>
      </c>
      <c r="D281" s="188">
        <f t="shared" si="22"/>
        <v>1909.6611818618378</v>
      </c>
      <c r="E281" s="186">
        <f t="shared" ca="1" si="23"/>
        <v>0</v>
      </c>
      <c r="F281" s="189">
        <f t="shared" ca="1" si="24"/>
        <v>125415.24491351741</v>
      </c>
    </row>
    <row r="282" spans="1:6" x14ac:dyDescent="0.35">
      <c r="A282" s="190">
        <v>272</v>
      </c>
      <c r="B282" s="186">
        <f t="shared" ca="1" si="20"/>
        <v>125415.24491351741</v>
      </c>
      <c r="C282" s="187">
        <f t="shared" ca="1" si="21"/>
        <v>418.05081637839135</v>
      </c>
      <c r="D282" s="188">
        <f t="shared" si="22"/>
        <v>1909.6611818618378</v>
      </c>
      <c r="E282" s="186">
        <f t="shared" ca="1" si="23"/>
        <v>0</v>
      </c>
      <c r="F282" s="189">
        <f t="shared" ca="1" si="24"/>
        <v>123923.63454803397</v>
      </c>
    </row>
    <row r="283" spans="1:6" x14ac:dyDescent="0.35">
      <c r="A283" s="190">
        <v>273</v>
      </c>
      <c r="B283" s="186">
        <f t="shared" ca="1" si="20"/>
        <v>123923.63454803397</v>
      </c>
      <c r="C283" s="187">
        <f t="shared" ca="1" si="21"/>
        <v>413.0787818267799</v>
      </c>
      <c r="D283" s="188">
        <f t="shared" si="22"/>
        <v>1909.6611818618378</v>
      </c>
      <c r="E283" s="186">
        <f t="shared" ca="1" si="23"/>
        <v>131</v>
      </c>
      <c r="F283" s="189">
        <f t="shared" ca="1" si="24"/>
        <v>122296.05214799891</v>
      </c>
    </row>
    <row r="284" spans="1:6" x14ac:dyDescent="0.35">
      <c r="A284" s="190">
        <v>274</v>
      </c>
      <c r="B284" s="186">
        <f t="shared" ca="1" si="20"/>
        <v>122296.05214799891</v>
      </c>
      <c r="C284" s="187">
        <f t="shared" ca="1" si="21"/>
        <v>407.65350715999642</v>
      </c>
      <c r="D284" s="188">
        <f t="shared" si="22"/>
        <v>1909.6611818618378</v>
      </c>
      <c r="E284" s="186">
        <f t="shared" ca="1" si="23"/>
        <v>0</v>
      </c>
      <c r="F284" s="189">
        <f t="shared" ca="1" si="24"/>
        <v>120794.04447329706</v>
      </c>
    </row>
    <row r="285" spans="1:6" x14ac:dyDescent="0.35">
      <c r="A285" s="190">
        <v>275</v>
      </c>
      <c r="B285" s="186">
        <f t="shared" ca="1" si="20"/>
        <v>120794.04447329706</v>
      </c>
      <c r="C285" s="187">
        <f t="shared" ca="1" si="21"/>
        <v>402.64681491099026</v>
      </c>
      <c r="D285" s="188">
        <f t="shared" si="22"/>
        <v>1909.6611818618378</v>
      </c>
      <c r="E285" s="186">
        <f t="shared" ca="1" si="23"/>
        <v>0</v>
      </c>
      <c r="F285" s="189">
        <f t="shared" ca="1" si="24"/>
        <v>119287.03010634621</v>
      </c>
    </row>
    <row r="286" spans="1:6" x14ac:dyDescent="0.35">
      <c r="A286" s="190">
        <v>276</v>
      </c>
      <c r="B286" s="186">
        <f t="shared" ca="1" si="20"/>
        <v>119287.03010634621</v>
      </c>
      <c r="C286" s="187">
        <f t="shared" ca="1" si="21"/>
        <v>397.62343368782075</v>
      </c>
      <c r="D286" s="188">
        <f t="shared" si="22"/>
        <v>1909.6611818618378</v>
      </c>
      <c r="E286" s="186">
        <f t="shared" ca="1" si="23"/>
        <v>193</v>
      </c>
      <c r="F286" s="189">
        <f t="shared" ca="1" si="24"/>
        <v>117581.9923581722</v>
      </c>
    </row>
    <row r="287" spans="1:6" x14ac:dyDescent="0.35">
      <c r="A287" s="190">
        <v>277</v>
      </c>
      <c r="B287" s="186">
        <f t="shared" ca="1" si="20"/>
        <v>117581.9923581722</v>
      </c>
      <c r="C287" s="187">
        <f t="shared" ca="1" si="21"/>
        <v>391.93997452724062</v>
      </c>
      <c r="D287" s="188">
        <f t="shared" si="22"/>
        <v>1909.6611818618378</v>
      </c>
      <c r="E287" s="186">
        <f t="shared" ca="1" si="23"/>
        <v>0</v>
      </c>
      <c r="F287" s="189">
        <f t="shared" ca="1" si="24"/>
        <v>116064.27115083759</v>
      </c>
    </row>
    <row r="288" spans="1:6" x14ac:dyDescent="0.35">
      <c r="A288" s="190">
        <v>278</v>
      </c>
      <c r="B288" s="186">
        <f t="shared" ca="1" si="20"/>
        <v>116064.27115083759</v>
      </c>
      <c r="C288" s="187">
        <f t="shared" ca="1" si="21"/>
        <v>386.8809038361253</v>
      </c>
      <c r="D288" s="188">
        <f t="shared" si="22"/>
        <v>1909.6611818618378</v>
      </c>
      <c r="E288" s="186">
        <f t="shared" ca="1" si="23"/>
        <v>0</v>
      </c>
      <c r="F288" s="189">
        <f t="shared" ca="1" si="24"/>
        <v>114541.49087281188</v>
      </c>
    </row>
    <row r="289" spans="1:6" x14ac:dyDescent="0.35">
      <c r="A289" s="190">
        <v>279</v>
      </c>
      <c r="B289" s="186">
        <f t="shared" ca="1" si="20"/>
        <v>114541.49087281188</v>
      </c>
      <c r="C289" s="187">
        <f t="shared" ca="1" si="21"/>
        <v>381.80496957603958</v>
      </c>
      <c r="D289" s="188">
        <f t="shared" si="22"/>
        <v>1909.6611818618378</v>
      </c>
      <c r="E289" s="186">
        <f t="shared" ca="1" si="23"/>
        <v>153</v>
      </c>
      <c r="F289" s="189">
        <f t="shared" ca="1" si="24"/>
        <v>112860.63466052608</v>
      </c>
    </row>
    <row r="290" spans="1:6" x14ac:dyDescent="0.35">
      <c r="A290" s="190">
        <v>280</v>
      </c>
      <c r="B290" s="186">
        <f t="shared" ca="1" si="20"/>
        <v>112860.63466052608</v>
      </c>
      <c r="C290" s="187">
        <f t="shared" ca="1" si="21"/>
        <v>376.20211553508693</v>
      </c>
      <c r="D290" s="188">
        <f t="shared" si="22"/>
        <v>1909.6611818618378</v>
      </c>
      <c r="E290" s="186">
        <f t="shared" ca="1" si="23"/>
        <v>0</v>
      </c>
      <c r="F290" s="189">
        <f t="shared" ca="1" si="24"/>
        <v>111327.17559419932</v>
      </c>
    </row>
    <row r="291" spans="1:6" x14ac:dyDescent="0.35">
      <c r="A291" s="190">
        <v>281</v>
      </c>
      <c r="B291" s="186">
        <f t="shared" ca="1" si="20"/>
        <v>111327.17559419932</v>
      </c>
      <c r="C291" s="187">
        <f t="shared" ca="1" si="21"/>
        <v>371.09058531399774</v>
      </c>
      <c r="D291" s="188">
        <f t="shared" si="22"/>
        <v>1909.6611818618378</v>
      </c>
      <c r="E291" s="186">
        <f t="shared" ca="1" si="23"/>
        <v>0</v>
      </c>
      <c r="F291" s="189">
        <f t="shared" ca="1" si="24"/>
        <v>109788.60499765148</v>
      </c>
    </row>
    <row r="292" spans="1:6" x14ac:dyDescent="0.35">
      <c r="A292" s="190">
        <v>282</v>
      </c>
      <c r="B292" s="186">
        <f t="shared" ca="1" si="20"/>
        <v>109788.60499765148</v>
      </c>
      <c r="C292" s="187">
        <f t="shared" ca="1" si="21"/>
        <v>365.96201665883831</v>
      </c>
      <c r="D292" s="188">
        <f t="shared" si="22"/>
        <v>1909.6611818618378</v>
      </c>
      <c r="E292" s="186">
        <f t="shared" ca="1" si="23"/>
        <v>113</v>
      </c>
      <c r="F292" s="189">
        <f t="shared" ca="1" si="24"/>
        <v>108131.90583244848</v>
      </c>
    </row>
    <row r="293" spans="1:6" x14ac:dyDescent="0.35">
      <c r="A293" s="190">
        <v>283</v>
      </c>
      <c r="B293" s="186">
        <f t="shared" ca="1" si="20"/>
        <v>108131.90583244848</v>
      </c>
      <c r="C293" s="187">
        <f t="shared" ca="1" si="21"/>
        <v>360.4396861081616</v>
      </c>
      <c r="D293" s="188">
        <f t="shared" si="22"/>
        <v>1909.6611818618378</v>
      </c>
      <c r="E293" s="186">
        <f t="shared" ca="1" si="23"/>
        <v>0</v>
      </c>
      <c r="F293" s="189">
        <f t="shared" ca="1" si="24"/>
        <v>106582.6843366948</v>
      </c>
    </row>
    <row r="294" spans="1:6" x14ac:dyDescent="0.35">
      <c r="A294" s="190">
        <v>284</v>
      </c>
      <c r="B294" s="186">
        <f t="shared" ca="1" si="20"/>
        <v>106582.6843366948</v>
      </c>
      <c r="C294" s="187">
        <f t="shared" ca="1" si="21"/>
        <v>355.2756144556493</v>
      </c>
      <c r="D294" s="188">
        <f t="shared" si="22"/>
        <v>1909.6611818618378</v>
      </c>
      <c r="E294" s="186">
        <f t="shared" ca="1" si="23"/>
        <v>0</v>
      </c>
      <c r="F294" s="189">
        <f t="shared" ca="1" si="24"/>
        <v>105028.29876928861</v>
      </c>
    </row>
    <row r="295" spans="1:6" x14ac:dyDescent="0.35">
      <c r="A295" s="190">
        <v>285</v>
      </c>
      <c r="B295" s="186">
        <f t="shared" ca="1" si="20"/>
        <v>105028.29876928861</v>
      </c>
      <c r="C295" s="187">
        <f t="shared" ca="1" si="21"/>
        <v>350.09432923096205</v>
      </c>
      <c r="D295" s="188">
        <f t="shared" si="22"/>
        <v>1909.6611818618378</v>
      </c>
      <c r="E295" s="186">
        <f t="shared" ca="1" si="23"/>
        <v>188</v>
      </c>
      <c r="F295" s="189">
        <f t="shared" ca="1" si="24"/>
        <v>103280.73191665774</v>
      </c>
    </row>
    <row r="296" spans="1:6" x14ac:dyDescent="0.35">
      <c r="A296" s="190">
        <v>286</v>
      </c>
      <c r="B296" s="186">
        <f t="shared" ca="1" si="20"/>
        <v>103280.73191665774</v>
      </c>
      <c r="C296" s="187">
        <f t="shared" ca="1" si="21"/>
        <v>344.26910638885914</v>
      </c>
      <c r="D296" s="188">
        <f t="shared" si="22"/>
        <v>1909.6611818618378</v>
      </c>
      <c r="E296" s="186">
        <f t="shared" ca="1" si="23"/>
        <v>0</v>
      </c>
      <c r="F296" s="189">
        <f t="shared" ca="1" si="24"/>
        <v>101715.33984118476</v>
      </c>
    </row>
    <row r="297" spans="1:6" x14ac:dyDescent="0.35">
      <c r="A297" s="190">
        <v>287</v>
      </c>
      <c r="B297" s="186">
        <f t="shared" ca="1" si="20"/>
        <v>101715.33984118476</v>
      </c>
      <c r="C297" s="187">
        <f t="shared" ca="1" si="21"/>
        <v>339.0511328039492</v>
      </c>
      <c r="D297" s="188">
        <f t="shared" si="22"/>
        <v>1909.6611818618378</v>
      </c>
      <c r="E297" s="186">
        <f t="shared" ca="1" si="23"/>
        <v>0</v>
      </c>
      <c r="F297" s="189">
        <f t="shared" ca="1" si="24"/>
        <v>100144.72979212686</v>
      </c>
    </row>
    <row r="298" spans="1:6" x14ac:dyDescent="0.35">
      <c r="A298" s="190">
        <v>288</v>
      </c>
      <c r="B298" s="186">
        <f t="shared" ca="1" si="20"/>
        <v>100144.72979212686</v>
      </c>
      <c r="C298" s="187">
        <f t="shared" ca="1" si="21"/>
        <v>333.81576597375619</v>
      </c>
      <c r="D298" s="188">
        <f t="shared" si="22"/>
        <v>1909.6611818618378</v>
      </c>
      <c r="E298" s="186">
        <f t="shared" ca="1" si="23"/>
        <v>139</v>
      </c>
      <c r="F298" s="189">
        <f t="shared" ca="1" si="24"/>
        <v>98429.884376238784</v>
      </c>
    </row>
    <row r="299" spans="1:6" x14ac:dyDescent="0.35">
      <c r="A299" s="190">
        <v>289</v>
      </c>
      <c r="B299" s="186">
        <f t="shared" ca="1" si="20"/>
        <v>98429.884376238784</v>
      </c>
      <c r="C299" s="187">
        <f t="shared" ca="1" si="21"/>
        <v>328.09961458746261</v>
      </c>
      <c r="D299" s="188">
        <f t="shared" si="22"/>
        <v>1909.6611818618378</v>
      </c>
      <c r="E299" s="186">
        <f t="shared" ca="1" si="23"/>
        <v>0</v>
      </c>
      <c r="F299" s="189">
        <f t="shared" ca="1" si="24"/>
        <v>96848.322808964411</v>
      </c>
    </row>
    <row r="300" spans="1:6" x14ac:dyDescent="0.35">
      <c r="A300" s="190">
        <v>290</v>
      </c>
      <c r="B300" s="186">
        <f t="shared" ca="1" si="20"/>
        <v>96848.322808964411</v>
      </c>
      <c r="C300" s="187">
        <f t="shared" ca="1" si="21"/>
        <v>322.82774269654806</v>
      </c>
      <c r="D300" s="188">
        <f t="shared" si="22"/>
        <v>1909.6611818618378</v>
      </c>
      <c r="E300" s="186">
        <f t="shared" ca="1" si="23"/>
        <v>0</v>
      </c>
      <c r="F300" s="189">
        <f t="shared" ca="1" si="24"/>
        <v>95261.489369799121</v>
      </c>
    </row>
    <row r="301" spans="1:6" x14ac:dyDescent="0.35">
      <c r="A301" s="190">
        <v>291</v>
      </c>
      <c r="B301" s="186">
        <f t="shared" ca="1" si="20"/>
        <v>95261.489369799121</v>
      </c>
      <c r="C301" s="187">
        <f t="shared" ca="1" si="21"/>
        <v>317.53829789933042</v>
      </c>
      <c r="D301" s="188">
        <f t="shared" si="22"/>
        <v>1909.6611818618378</v>
      </c>
      <c r="E301" s="186">
        <f t="shared" ca="1" si="23"/>
        <v>109</v>
      </c>
      <c r="F301" s="189">
        <f t="shared" ca="1" si="24"/>
        <v>93560.36648583661</v>
      </c>
    </row>
    <row r="302" spans="1:6" x14ac:dyDescent="0.35">
      <c r="A302" s="190">
        <v>292</v>
      </c>
      <c r="B302" s="186">
        <f t="shared" ca="1" si="20"/>
        <v>93560.36648583661</v>
      </c>
      <c r="C302" s="187">
        <f t="shared" ca="1" si="21"/>
        <v>311.86788828612202</v>
      </c>
      <c r="D302" s="188">
        <f t="shared" si="22"/>
        <v>1909.6611818618378</v>
      </c>
      <c r="E302" s="186">
        <f t="shared" ca="1" si="23"/>
        <v>0</v>
      </c>
      <c r="F302" s="189">
        <f t="shared" ca="1" si="24"/>
        <v>91962.573192260897</v>
      </c>
    </row>
    <row r="303" spans="1:6" x14ac:dyDescent="0.35">
      <c r="A303" s="190">
        <v>293</v>
      </c>
      <c r="B303" s="186">
        <f t="shared" ca="1" si="20"/>
        <v>91962.573192260897</v>
      </c>
      <c r="C303" s="187">
        <f t="shared" ca="1" si="21"/>
        <v>306.54191064086967</v>
      </c>
      <c r="D303" s="188">
        <f t="shared" si="22"/>
        <v>1909.6611818618378</v>
      </c>
      <c r="E303" s="186">
        <f t="shared" ca="1" si="23"/>
        <v>0</v>
      </c>
      <c r="F303" s="189">
        <f t="shared" ca="1" si="24"/>
        <v>90359.453921039923</v>
      </c>
    </row>
    <row r="304" spans="1:6" x14ac:dyDescent="0.35">
      <c r="A304" s="190">
        <v>294</v>
      </c>
      <c r="B304" s="186">
        <f t="shared" ca="1" si="20"/>
        <v>90359.453921039923</v>
      </c>
      <c r="C304" s="187">
        <f t="shared" ca="1" si="21"/>
        <v>301.19817973679977</v>
      </c>
      <c r="D304" s="188">
        <f t="shared" si="22"/>
        <v>1909.6611818618378</v>
      </c>
      <c r="E304" s="186">
        <f t="shared" ca="1" si="23"/>
        <v>155</v>
      </c>
      <c r="F304" s="189">
        <f t="shared" ca="1" si="24"/>
        <v>88595.990918914889</v>
      </c>
    </row>
    <row r="305" spans="1:6" x14ac:dyDescent="0.35">
      <c r="A305" s="190">
        <v>295</v>
      </c>
      <c r="B305" s="186">
        <f t="shared" ca="1" si="20"/>
        <v>88595.990918914889</v>
      </c>
      <c r="C305" s="187">
        <f t="shared" ca="1" si="21"/>
        <v>295.31996972971632</v>
      </c>
      <c r="D305" s="188">
        <f t="shared" si="22"/>
        <v>1909.6611818618378</v>
      </c>
      <c r="E305" s="186">
        <f t="shared" ca="1" si="23"/>
        <v>0</v>
      </c>
      <c r="F305" s="189">
        <f t="shared" ca="1" si="24"/>
        <v>86981.649706782759</v>
      </c>
    </row>
    <row r="306" spans="1:6" x14ac:dyDescent="0.35">
      <c r="A306" s="190">
        <v>296</v>
      </c>
      <c r="B306" s="186">
        <f t="shared" ca="1" si="20"/>
        <v>86981.649706782759</v>
      </c>
      <c r="C306" s="187">
        <f t="shared" ca="1" si="21"/>
        <v>289.93883235594257</v>
      </c>
      <c r="D306" s="188">
        <f t="shared" si="22"/>
        <v>1909.6611818618378</v>
      </c>
      <c r="E306" s="186">
        <f t="shared" ca="1" si="23"/>
        <v>0</v>
      </c>
      <c r="F306" s="189">
        <f t="shared" ca="1" si="24"/>
        <v>85361.927357276858</v>
      </c>
    </row>
    <row r="307" spans="1:6" x14ac:dyDescent="0.35">
      <c r="A307" s="190">
        <v>297</v>
      </c>
      <c r="B307" s="186">
        <f t="shared" ca="1" si="20"/>
        <v>85361.927357276858</v>
      </c>
      <c r="C307" s="187">
        <f t="shared" ca="1" si="21"/>
        <v>284.53975785758956</v>
      </c>
      <c r="D307" s="188">
        <f t="shared" si="22"/>
        <v>1909.6611818618378</v>
      </c>
      <c r="E307" s="186">
        <f t="shared" ca="1" si="23"/>
        <v>138</v>
      </c>
      <c r="F307" s="189">
        <f t="shared" ca="1" si="24"/>
        <v>83598.805933272612</v>
      </c>
    </row>
    <row r="308" spans="1:6" x14ac:dyDescent="0.35">
      <c r="A308" s="190">
        <v>298</v>
      </c>
      <c r="B308" s="186">
        <f t="shared" ca="1" si="20"/>
        <v>83598.805933272612</v>
      </c>
      <c r="C308" s="187">
        <f t="shared" ca="1" si="21"/>
        <v>278.66268644424207</v>
      </c>
      <c r="D308" s="188">
        <f t="shared" si="22"/>
        <v>1909.6611818618378</v>
      </c>
      <c r="E308" s="186">
        <f t="shared" ca="1" si="23"/>
        <v>0</v>
      </c>
      <c r="F308" s="189">
        <f t="shared" ca="1" si="24"/>
        <v>81967.807437855008</v>
      </c>
    </row>
    <row r="309" spans="1:6" x14ac:dyDescent="0.35">
      <c r="A309" s="190">
        <v>299</v>
      </c>
      <c r="B309" s="186">
        <f t="shared" ca="1" si="20"/>
        <v>81967.807437855008</v>
      </c>
      <c r="C309" s="187">
        <f t="shared" ca="1" si="21"/>
        <v>273.22602479285007</v>
      </c>
      <c r="D309" s="188">
        <f t="shared" si="22"/>
        <v>1909.6611818618378</v>
      </c>
      <c r="E309" s="186">
        <f t="shared" ca="1" si="23"/>
        <v>0</v>
      </c>
      <c r="F309" s="189">
        <f t="shared" ca="1" si="24"/>
        <v>80331.372280786018</v>
      </c>
    </row>
    <row r="310" spans="1:6" x14ac:dyDescent="0.35">
      <c r="A310" s="190">
        <v>300</v>
      </c>
      <c r="B310" s="186">
        <f t="shared" ca="1" si="20"/>
        <v>80331.372280786018</v>
      </c>
      <c r="C310" s="187">
        <f t="shared" ca="1" si="21"/>
        <v>267.77124093595341</v>
      </c>
      <c r="D310" s="188">
        <f t="shared" si="22"/>
        <v>1909.6611818618378</v>
      </c>
      <c r="E310" s="186">
        <f t="shared" ca="1" si="23"/>
        <v>124</v>
      </c>
      <c r="F310" s="189">
        <f t="shared" ca="1" si="24"/>
        <v>78565.482339860129</v>
      </c>
    </row>
    <row r="311" spans="1:6" x14ac:dyDescent="0.35">
      <c r="A311" s="190">
        <v>301</v>
      </c>
      <c r="B311" s="186">
        <f t="shared" ca="1" si="20"/>
        <v>78565.482339860129</v>
      </c>
      <c r="C311" s="187">
        <f t="shared" ca="1" si="21"/>
        <v>261.88494113286714</v>
      </c>
      <c r="D311" s="188">
        <f t="shared" si="22"/>
        <v>1909.6611818618378</v>
      </c>
      <c r="E311" s="186">
        <f t="shared" ca="1" si="23"/>
        <v>0</v>
      </c>
      <c r="F311" s="189">
        <f t="shared" ca="1" si="24"/>
        <v>76917.706099131159</v>
      </c>
    </row>
    <row r="312" spans="1:6" x14ac:dyDescent="0.35">
      <c r="A312" s="190">
        <v>302</v>
      </c>
      <c r="B312" s="186">
        <f t="shared" ca="1" si="20"/>
        <v>76917.706099131159</v>
      </c>
      <c r="C312" s="187">
        <f t="shared" ca="1" si="21"/>
        <v>256.39235366377051</v>
      </c>
      <c r="D312" s="188">
        <f t="shared" si="22"/>
        <v>1909.6611818618378</v>
      </c>
      <c r="E312" s="186">
        <f t="shared" ca="1" si="23"/>
        <v>0</v>
      </c>
      <c r="F312" s="189">
        <f t="shared" ca="1" si="24"/>
        <v>75264.437270933093</v>
      </c>
    </row>
    <row r="313" spans="1:6" x14ac:dyDescent="0.35">
      <c r="A313" s="190">
        <v>303</v>
      </c>
      <c r="B313" s="186">
        <f t="shared" ca="1" si="20"/>
        <v>75264.437270933093</v>
      </c>
      <c r="C313" s="187">
        <f t="shared" ca="1" si="21"/>
        <v>250.88145756977698</v>
      </c>
      <c r="D313" s="188">
        <f t="shared" si="22"/>
        <v>1909.6611818618378</v>
      </c>
      <c r="E313" s="186">
        <f t="shared" ca="1" si="23"/>
        <v>193</v>
      </c>
      <c r="F313" s="189">
        <f t="shared" ca="1" si="24"/>
        <v>73412.657546641029</v>
      </c>
    </row>
    <row r="314" spans="1:6" x14ac:dyDescent="0.35">
      <c r="A314" s="190">
        <v>304</v>
      </c>
      <c r="B314" s="186">
        <f t="shared" ca="1" si="20"/>
        <v>73412.657546641029</v>
      </c>
      <c r="C314" s="187">
        <f t="shared" ca="1" si="21"/>
        <v>244.70885848880343</v>
      </c>
      <c r="D314" s="188">
        <f t="shared" si="22"/>
        <v>1909.6611818618378</v>
      </c>
      <c r="E314" s="186">
        <f t="shared" ca="1" si="23"/>
        <v>0</v>
      </c>
      <c r="F314" s="189">
        <f t="shared" ca="1" si="24"/>
        <v>71747.705223267985</v>
      </c>
    </row>
    <row r="315" spans="1:6" x14ac:dyDescent="0.35">
      <c r="A315" s="190">
        <v>305</v>
      </c>
      <c r="B315" s="186">
        <f t="shared" ca="1" si="20"/>
        <v>71747.705223267985</v>
      </c>
      <c r="C315" s="187">
        <f t="shared" ca="1" si="21"/>
        <v>239.15901741089328</v>
      </c>
      <c r="D315" s="188">
        <f t="shared" si="22"/>
        <v>1909.6611818618378</v>
      </c>
      <c r="E315" s="186">
        <f t="shared" ca="1" si="23"/>
        <v>0</v>
      </c>
      <c r="F315" s="189">
        <f t="shared" ca="1" si="24"/>
        <v>70077.203058817031</v>
      </c>
    </row>
    <row r="316" spans="1:6" x14ac:dyDescent="0.35">
      <c r="A316" s="190">
        <v>306</v>
      </c>
      <c r="B316" s="186">
        <f t="shared" ca="1" si="20"/>
        <v>70077.203058817031</v>
      </c>
      <c r="C316" s="187">
        <f t="shared" ca="1" si="21"/>
        <v>233.59067686272343</v>
      </c>
      <c r="D316" s="188">
        <f t="shared" si="22"/>
        <v>1909.6611818618378</v>
      </c>
      <c r="E316" s="186">
        <f t="shared" ca="1" si="23"/>
        <v>121</v>
      </c>
      <c r="F316" s="189">
        <f t="shared" ca="1" si="24"/>
        <v>68280.132553817908</v>
      </c>
    </row>
    <row r="317" spans="1:6" x14ac:dyDescent="0.35">
      <c r="A317" s="190">
        <v>307</v>
      </c>
      <c r="B317" s="186">
        <f t="shared" ca="1" si="20"/>
        <v>68280.132553817908</v>
      </c>
      <c r="C317" s="187">
        <f t="shared" ca="1" si="21"/>
        <v>227.60044184605968</v>
      </c>
      <c r="D317" s="188">
        <f t="shared" si="22"/>
        <v>1909.6611818618378</v>
      </c>
      <c r="E317" s="186">
        <f t="shared" ca="1" si="23"/>
        <v>0</v>
      </c>
      <c r="F317" s="189">
        <f t="shared" ca="1" si="24"/>
        <v>66598.071813802133</v>
      </c>
    </row>
    <row r="318" spans="1:6" x14ac:dyDescent="0.35">
      <c r="A318" s="190">
        <v>308</v>
      </c>
      <c r="B318" s="186">
        <f t="shared" ca="1" si="20"/>
        <v>66598.071813802133</v>
      </c>
      <c r="C318" s="187">
        <f t="shared" ca="1" si="21"/>
        <v>221.99357271267377</v>
      </c>
      <c r="D318" s="188">
        <f t="shared" si="22"/>
        <v>1909.6611818618378</v>
      </c>
      <c r="E318" s="186">
        <f t="shared" ca="1" si="23"/>
        <v>0</v>
      </c>
      <c r="F318" s="189">
        <f t="shared" ca="1" si="24"/>
        <v>64910.404204652965</v>
      </c>
    </row>
    <row r="319" spans="1:6" x14ac:dyDescent="0.35">
      <c r="A319" s="190">
        <v>309</v>
      </c>
      <c r="B319" s="186">
        <f t="shared" ca="1" si="20"/>
        <v>64910.404204652965</v>
      </c>
      <c r="C319" s="187">
        <f t="shared" ca="1" si="21"/>
        <v>216.36801401550989</v>
      </c>
      <c r="D319" s="188">
        <f t="shared" si="22"/>
        <v>1909.6611818618378</v>
      </c>
      <c r="E319" s="186">
        <f t="shared" ca="1" si="23"/>
        <v>134</v>
      </c>
      <c r="F319" s="189">
        <f t="shared" ca="1" si="24"/>
        <v>63083.111036806637</v>
      </c>
    </row>
    <row r="320" spans="1:6" x14ac:dyDescent="0.35">
      <c r="A320" s="190">
        <v>310</v>
      </c>
      <c r="B320" s="186">
        <f t="shared" ca="1" si="20"/>
        <v>63083.111036806637</v>
      </c>
      <c r="C320" s="187">
        <f t="shared" ca="1" si="21"/>
        <v>210.27703678935544</v>
      </c>
      <c r="D320" s="188">
        <f t="shared" si="22"/>
        <v>1909.6611818618378</v>
      </c>
      <c r="E320" s="186">
        <f t="shared" ca="1" si="23"/>
        <v>0</v>
      </c>
      <c r="F320" s="189">
        <f t="shared" ca="1" si="24"/>
        <v>61383.72689173415</v>
      </c>
    </row>
    <row r="321" spans="1:6" x14ac:dyDescent="0.35">
      <c r="A321" s="190">
        <v>311</v>
      </c>
      <c r="B321" s="186">
        <f t="shared" ca="1" si="20"/>
        <v>61383.72689173415</v>
      </c>
      <c r="C321" s="187">
        <f t="shared" ca="1" si="21"/>
        <v>204.61242297244715</v>
      </c>
      <c r="D321" s="188">
        <f t="shared" si="22"/>
        <v>1909.6611818618378</v>
      </c>
      <c r="E321" s="186">
        <f t="shared" ca="1" si="23"/>
        <v>0</v>
      </c>
      <c r="F321" s="189">
        <f t="shared" ca="1" si="24"/>
        <v>59678.678132844754</v>
      </c>
    </row>
    <row r="322" spans="1:6" x14ac:dyDescent="0.35">
      <c r="A322" s="190">
        <v>312</v>
      </c>
      <c r="B322" s="186">
        <f t="shared" ca="1" si="20"/>
        <v>59678.678132844754</v>
      </c>
      <c r="C322" s="187">
        <f t="shared" ca="1" si="21"/>
        <v>198.92892710948252</v>
      </c>
      <c r="D322" s="188">
        <f t="shared" si="22"/>
        <v>1909.6611818618378</v>
      </c>
      <c r="E322" s="186">
        <f t="shared" ca="1" si="23"/>
        <v>104</v>
      </c>
      <c r="F322" s="189">
        <f t="shared" ca="1" si="24"/>
        <v>57863.945878092396</v>
      </c>
    </row>
    <row r="323" spans="1:6" x14ac:dyDescent="0.35">
      <c r="A323" s="190">
        <v>313</v>
      </c>
      <c r="B323" s="186">
        <f t="shared" ca="1" si="20"/>
        <v>57863.945878092396</v>
      </c>
      <c r="C323" s="187">
        <f t="shared" ca="1" si="21"/>
        <v>192.87981959364132</v>
      </c>
      <c r="D323" s="188">
        <f t="shared" si="22"/>
        <v>1909.6611818618378</v>
      </c>
      <c r="E323" s="186">
        <f t="shared" ca="1" si="23"/>
        <v>0</v>
      </c>
      <c r="F323" s="189">
        <f t="shared" ca="1" si="24"/>
        <v>56147.164515824195</v>
      </c>
    </row>
    <row r="324" spans="1:6" x14ac:dyDescent="0.35">
      <c r="A324" s="190">
        <v>314</v>
      </c>
      <c r="B324" s="186">
        <f t="shared" ca="1" si="20"/>
        <v>56147.164515824195</v>
      </c>
      <c r="C324" s="187">
        <f t="shared" ca="1" si="21"/>
        <v>187.15721505274732</v>
      </c>
      <c r="D324" s="188">
        <f t="shared" si="22"/>
        <v>1909.6611818618378</v>
      </c>
      <c r="E324" s="186">
        <f t="shared" ca="1" si="23"/>
        <v>0</v>
      </c>
      <c r="F324" s="189">
        <f t="shared" ca="1" si="24"/>
        <v>54424.660549015105</v>
      </c>
    </row>
    <row r="325" spans="1:6" x14ac:dyDescent="0.35">
      <c r="A325" s="190">
        <v>315</v>
      </c>
      <c r="B325" s="186">
        <f t="shared" ca="1" si="20"/>
        <v>54424.660549015105</v>
      </c>
      <c r="C325" s="187">
        <f t="shared" ca="1" si="21"/>
        <v>181.41553516338368</v>
      </c>
      <c r="D325" s="188">
        <f t="shared" si="22"/>
        <v>1909.6611818618378</v>
      </c>
      <c r="E325" s="186">
        <f t="shared" ca="1" si="23"/>
        <v>165</v>
      </c>
      <c r="F325" s="189">
        <f t="shared" ca="1" si="24"/>
        <v>52531.414902316646</v>
      </c>
    </row>
    <row r="326" spans="1:6" x14ac:dyDescent="0.35">
      <c r="A326" s="190">
        <v>316</v>
      </c>
      <c r="B326" s="186">
        <f t="shared" ca="1" si="20"/>
        <v>52531.414902316646</v>
      </c>
      <c r="C326" s="187">
        <f t="shared" ca="1" si="21"/>
        <v>175.10471634105548</v>
      </c>
      <c r="D326" s="188">
        <f t="shared" si="22"/>
        <v>1909.6611818618378</v>
      </c>
      <c r="E326" s="186">
        <f t="shared" ca="1" si="23"/>
        <v>0</v>
      </c>
      <c r="F326" s="189">
        <f t="shared" ca="1" si="24"/>
        <v>50796.858436795861</v>
      </c>
    </row>
    <row r="327" spans="1:6" x14ac:dyDescent="0.35">
      <c r="A327" s="190">
        <v>317</v>
      </c>
      <c r="B327" s="186">
        <f t="shared" ca="1" si="20"/>
        <v>50796.858436795861</v>
      </c>
      <c r="C327" s="187">
        <f t="shared" ca="1" si="21"/>
        <v>169.32286145598621</v>
      </c>
      <c r="D327" s="188">
        <f t="shared" si="22"/>
        <v>1909.6611818618378</v>
      </c>
      <c r="E327" s="186">
        <f t="shared" ca="1" si="23"/>
        <v>0</v>
      </c>
      <c r="F327" s="189">
        <f t="shared" ca="1" si="24"/>
        <v>49056.520116390006</v>
      </c>
    </row>
    <row r="328" spans="1:6" x14ac:dyDescent="0.35">
      <c r="A328" s="190">
        <v>318</v>
      </c>
      <c r="B328" s="186">
        <f t="shared" ca="1" si="20"/>
        <v>49056.520116390006</v>
      </c>
      <c r="C328" s="187">
        <f t="shared" ca="1" si="21"/>
        <v>163.52173372130002</v>
      </c>
      <c r="D328" s="188">
        <f t="shared" si="22"/>
        <v>1909.6611818618378</v>
      </c>
      <c r="E328" s="186">
        <f t="shared" ca="1" si="23"/>
        <v>122</v>
      </c>
      <c r="F328" s="189">
        <f t="shared" ca="1" si="24"/>
        <v>47188.380668249469</v>
      </c>
    </row>
    <row r="329" spans="1:6" x14ac:dyDescent="0.35">
      <c r="A329" s="190">
        <v>319</v>
      </c>
      <c r="B329" s="186">
        <f t="shared" ca="1" si="20"/>
        <v>47188.380668249469</v>
      </c>
      <c r="C329" s="187">
        <f t="shared" ca="1" si="21"/>
        <v>157.29460222749825</v>
      </c>
      <c r="D329" s="188">
        <f t="shared" si="22"/>
        <v>1909.6611818618378</v>
      </c>
      <c r="E329" s="186">
        <f t="shared" ca="1" si="23"/>
        <v>0</v>
      </c>
      <c r="F329" s="189">
        <f t="shared" ca="1" si="24"/>
        <v>45436.014088615128</v>
      </c>
    </row>
    <row r="330" spans="1:6" x14ac:dyDescent="0.35">
      <c r="A330" s="190">
        <v>320</v>
      </c>
      <c r="B330" s="186">
        <f t="shared" ca="1" si="20"/>
        <v>45436.014088615128</v>
      </c>
      <c r="C330" s="187">
        <f t="shared" ca="1" si="21"/>
        <v>151.45338029538377</v>
      </c>
      <c r="D330" s="188">
        <f t="shared" si="22"/>
        <v>1909.6611818618378</v>
      </c>
      <c r="E330" s="186">
        <f t="shared" ca="1" si="23"/>
        <v>0</v>
      </c>
      <c r="F330" s="189">
        <f t="shared" ca="1" si="24"/>
        <v>43677.806287048668</v>
      </c>
    </row>
    <row r="331" spans="1:6" x14ac:dyDescent="0.35">
      <c r="A331" s="190">
        <v>321</v>
      </c>
      <c r="B331" s="186">
        <f t="shared" ca="1" si="20"/>
        <v>43677.806287048668</v>
      </c>
      <c r="C331" s="187">
        <f t="shared" ca="1" si="21"/>
        <v>145.59268762349555</v>
      </c>
      <c r="D331" s="188">
        <f t="shared" si="22"/>
        <v>1909.6611818618378</v>
      </c>
      <c r="E331" s="186">
        <f t="shared" ca="1" si="23"/>
        <v>192</v>
      </c>
      <c r="F331" s="189">
        <f t="shared" ca="1" si="24"/>
        <v>41721.737792810323</v>
      </c>
    </row>
    <row r="332" spans="1:6" x14ac:dyDescent="0.35">
      <c r="A332" s="190">
        <v>322</v>
      </c>
      <c r="B332" s="186">
        <f t="shared" ref="B332:B373" ca="1" si="25">F331</f>
        <v>41721.737792810323</v>
      </c>
      <c r="C332" s="187">
        <f t="shared" ref="C332:C373" ca="1" si="26">B332*$C$3/12</f>
        <v>139.07245930936776</v>
      </c>
      <c r="D332" s="188">
        <f t="shared" ref="D332:D373" si="27">$C$5</f>
        <v>1909.6611818618378</v>
      </c>
      <c r="E332" s="186">
        <f t="shared" ref="E332:E373" ca="1" si="28">IF(MOD(A332,3)=0,RANDBETWEEN(100,200),0)</f>
        <v>0</v>
      </c>
      <c r="F332" s="189">
        <f t="shared" ref="F332:F373" ca="1" si="29">B332+C332-D332-E332</f>
        <v>39951.149070257852</v>
      </c>
    </row>
    <row r="333" spans="1:6" x14ac:dyDescent="0.35">
      <c r="A333" s="190">
        <v>323</v>
      </c>
      <c r="B333" s="186">
        <f t="shared" ca="1" si="25"/>
        <v>39951.149070257852</v>
      </c>
      <c r="C333" s="187">
        <f t="shared" ca="1" si="26"/>
        <v>133.17049690085952</v>
      </c>
      <c r="D333" s="188">
        <f t="shared" si="27"/>
        <v>1909.6611818618378</v>
      </c>
      <c r="E333" s="186">
        <f t="shared" ca="1" si="28"/>
        <v>0</v>
      </c>
      <c r="F333" s="189">
        <f t="shared" ca="1" si="29"/>
        <v>38174.658385296869</v>
      </c>
    </row>
    <row r="334" spans="1:6" x14ac:dyDescent="0.35">
      <c r="A334" s="190">
        <v>324</v>
      </c>
      <c r="B334" s="186">
        <f t="shared" ca="1" si="25"/>
        <v>38174.658385296869</v>
      </c>
      <c r="C334" s="187">
        <f t="shared" ca="1" si="26"/>
        <v>127.2488612843229</v>
      </c>
      <c r="D334" s="188">
        <f t="shared" si="27"/>
        <v>1909.6611818618378</v>
      </c>
      <c r="E334" s="186">
        <f t="shared" ca="1" si="28"/>
        <v>147</v>
      </c>
      <c r="F334" s="189">
        <f t="shared" ca="1" si="29"/>
        <v>36245.246064719351</v>
      </c>
    </row>
    <row r="335" spans="1:6" x14ac:dyDescent="0.35">
      <c r="A335" s="190">
        <v>325</v>
      </c>
      <c r="B335" s="186">
        <f t="shared" ca="1" si="25"/>
        <v>36245.246064719351</v>
      </c>
      <c r="C335" s="187">
        <f t="shared" ca="1" si="26"/>
        <v>120.81748688239783</v>
      </c>
      <c r="D335" s="188">
        <f t="shared" si="27"/>
        <v>1909.6611818618378</v>
      </c>
      <c r="E335" s="186">
        <f t="shared" ca="1" si="28"/>
        <v>0</v>
      </c>
      <c r="F335" s="189">
        <f t="shared" ca="1" si="29"/>
        <v>34456.40236973991</v>
      </c>
    </row>
    <row r="336" spans="1:6" x14ac:dyDescent="0.35">
      <c r="A336" s="190">
        <v>326</v>
      </c>
      <c r="B336" s="186">
        <f t="shared" ca="1" si="25"/>
        <v>34456.40236973991</v>
      </c>
      <c r="C336" s="187">
        <f t="shared" ca="1" si="26"/>
        <v>114.8546745657997</v>
      </c>
      <c r="D336" s="188">
        <f t="shared" si="27"/>
        <v>1909.6611818618378</v>
      </c>
      <c r="E336" s="186">
        <f t="shared" ca="1" si="28"/>
        <v>0</v>
      </c>
      <c r="F336" s="189">
        <f t="shared" ca="1" si="29"/>
        <v>32661.595862443875</v>
      </c>
    </row>
    <row r="337" spans="1:6" x14ac:dyDescent="0.35">
      <c r="A337" s="190">
        <v>327</v>
      </c>
      <c r="B337" s="186">
        <f t="shared" ca="1" si="25"/>
        <v>32661.595862443875</v>
      </c>
      <c r="C337" s="187">
        <f t="shared" ca="1" si="26"/>
        <v>108.87198620814625</v>
      </c>
      <c r="D337" s="188">
        <f t="shared" si="27"/>
        <v>1909.6611818618378</v>
      </c>
      <c r="E337" s="186">
        <f t="shared" ca="1" si="28"/>
        <v>100</v>
      </c>
      <c r="F337" s="189">
        <f t="shared" ca="1" si="29"/>
        <v>30760.806666790184</v>
      </c>
    </row>
    <row r="338" spans="1:6" x14ac:dyDescent="0.35">
      <c r="A338" s="190">
        <v>328</v>
      </c>
      <c r="B338" s="186">
        <f t="shared" ca="1" si="25"/>
        <v>30760.806666790184</v>
      </c>
      <c r="C338" s="187">
        <f t="shared" ca="1" si="26"/>
        <v>102.53602222263395</v>
      </c>
      <c r="D338" s="188">
        <f t="shared" si="27"/>
        <v>1909.6611818618378</v>
      </c>
      <c r="E338" s="186">
        <f t="shared" ca="1" si="28"/>
        <v>0</v>
      </c>
      <c r="F338" s="189">
        <f t="shared" ca="1" si="29"/>
        <v>28953.681507150981</v>
      </c>
    </row>
    <row r="339" spans="1:6" x14ac:dyDescent="0.35">
      <c r="A339" s="190">
        <v>329</v>
      </c>
      <c r="B339" s="186">
        <f t="shared" ca="1" si="25"/>
        <v>28953.681507150981</v>
      </c>
      <c r="C339" s="187">
        <f t="shared" ca="1" si="26"/>
        <v>96.512271690503269</v>
      </c>
      <c r="D339" s="188">
        <f t="shared" si="27"/>
        <v>1909.6611818618378</v>
      </c>
      <c r="E339" s="186">
        <f t="shared" ca="1" si="28"/>
        <v>0</v>
      </c>
      <c r="F339" s="189">
        <f t="shared" ca="1" si="29"/>
        <v>27140.532596979647</v>
      </c>
    </row>
    <row r="340" spans="1:6" x14ac:dyDescent="0.35">
      <c r="A340" s="190">
        <v>330</v>
      </c>
      <c r="B340" s="186">
        <f t="shared" ca="1" si="25"/>
        <v>27140.532596979647</v>
      </c>
      <c r="C340" s="187">
        <f t="shared" ca="1" si="26"/>
        <v>90.46844198993216</v>
      </c>
      <c r="D340" s="188">
        <f t="shared" si="27"/>
        <v>1909.6611818618378</v>
      </c>
      <c r="E340" s="186">
        <f t="shared" ca="1" si="28"/>
        <v>152</v>
      </c>
      <c r="F340" s="189">
        <f t="shared" ca="1" si="29"/>
        <v>25169.339857107741</v>
      </c>
    </row>
    <row r="341" spans="1:6" x14ac:dyDescent="0.35">
      <c r="A341" s="190">
        <v>331</v>
      </c>
      <c r="B341" s="186">
        <f t="shared" ca="1" si="25"/>
        <v>25169.339857107741</v>
      </c>
      <c r="C341" s="187">
        <f t="shared" ca="1" si="26"/>
        <v>83.89779952369247</v>
      </c>
      <c r="D341" s="188">
        <f t="shared" si="27"/>
        <v>1909.6611818618378</v>
      </c>
      <c r="E341" s="186">
        <f t="shared" ca="1" si="28"/>
        <v>0</v>
      </c>
      <c r="F341" s="189">
        <f t="shared" ca="1" si="29"/>
        <v>23343.576474769598</v>
      </c>
    </row>
    <row r="342" spans="1:6" x14ac:dyDescent="0.35">
      <c r="A342" s="190">
        <v>332</v>
      </c>
      <c r="B342" s="186">
        <f t="shared" ca="1" si="25"/>
        <v>23343.576474769598</v>
      </c>
      <c r="C342" s="187">
        <f t="shared" ca="1" si="26"/>
        <v>77.811921582565319</v>
      </c>
      <c r="D342" s="188">
        <f t="shared" si="27"/>
        <v>1909.6611818618378</v>
      </c>
      <c r="E342" s="186">
        <f t="shared" ca="1" si="28"/>
        <v>0</v>
      </c>
      <c r="F342" s="189">
        <f t="shared" ca="1" si="29"/>
        <v>21511.727214490325</v>
      </c>
    </row>
    <row r="343" spans="1:6" x14ac:dyDescent="0.35">
      <c r="A343" s="190">
        <v>333</v>
      </c>
      <c r="B343" s="186">
        <f t="shared" ca="1" si="25"/>
        <v>21511.727214490325</v>
      </c>
      <c r="C343" s="187">
        <f t="shared" ca="1" si="26"/>
        <v>71.705757381634427</v>
      </c>
      <c r="D343" s="188">
        <f t="shared" si="27"/>
        <v>1909.6611818618378</v>
      </c>
      <c r="E343" s="186">
        <f t="shared" ca="1" si="28"/>
        <v>104</v>
      </c>
      <c r="F343" s="189">
        <f t="shared" ca="1" si="29"/>
        <v>19569.771790010123</v>
      </c>
    </row>
    <row r="344" spans="1:6" x14ac:dyDescent="0.35">
      <c r="A344" s="190">
        <v>334</v>
      </c>
      <c r="B344" s="186">
        <f t="shared" ca="1" si="25"/>
        <v>19569.771790010123</v>
      </c>
      <c r="C344" s="187">
        <f t="shared" ca="1" si="26"/>
        <v>65.23257263336707</v>
      </c>
      <c r="D344" s="188">
        <f t="shared" si="27"/>
        <v>1909.6611818618378</v>
      </c>
      <c r="E344" s="186">
        <f t="shared" ca="1" si="28"/>
        <v>0</v>
      </c>
      <c r="F344" s="189">
        <f t="shared" ca="1" si="29"/>
        <v>17725.343180781652</v>
      </c>
    </row>
    <row r="345" spans="1:6" x14ac:dyDescent="0.35">
      <c r="A345" s="190">
        <v>335</v>
      </c>
      <c r="B345" s="186">
        <f t="shared" ca="1" si="25"/>
        <v>17725.343180781652</v>
      </c>
      <c r="C345" s="187">
        <f t="shared" ca="1" si="26"/>
        <v>59.084477269272178</v>
      </c>
      <c r="D345" s="188">
        <f t="shared" si="27"/>
        <v>1909.6611818618378</v>
      </c>
      <c r="E345" s="186">
        <f t="shared" ca="1" si="28"/>
        <v>0</v>
      </c>
      <c r="F345" s="189">
        <f t="shared" ca="1" si="29"/>
        <v>15874.766476189086</v>
      </c>
    </row>
    <row r="346" spans="1:6" x14ac:dyDescent="0.35">
      <c r="A346" s="190">
        <v>336</v>
      </c>
      <c r="B346" s="186">
        <f t="shared" ca="1" si="25"/>
        <v>15874.766476189086</v>
      </c>
      <c r="C346" s="187">
        <f t="shared" ca="1" si="26"/>
        <v>52.915888253963622</v>
      </c>
      <c r="D346" s="188">
        <f t="shared" si="27"/>
        <v>1909.6611818618378</v>
      </c>
      <c r="E346" s="186">
        <f t="shared" ca="1" si="28"/>
        <v>182</v>
      </c>
      <c r="F346" s="189">
        <f t="shared" ca="1" si="29"/>
        <v>13836.021182581211</v>
      </c>
    </row>
    <row r="347" spans="1:6" x14ac:dyDescent="0.35">
      <c r="A347" s="190">
        <v>337</v>
      </c>
      <c r="B347" s="186">
        <f t="shared" ca="1" si="25"/>
        <v>13836.021182581211</v>
      </c>
      <c r="C347" s="187">
        <f t="shared" ca="1" si="26"/>
        <v>46.120070608604038</v>
      </c>
      <c r="D347" s="188">
        <f t="shared" si="27"/>
        <v>1909.6611818618378</v>
      </c>
      <c r="E347" s="186">
        <f t="shared" ca="1" si="28"/>
        <v>0</v>
      </c>
      <c r="F347" s="189">
        <f t="shared" ca="1" si="29"/>
        <v>11972.480071327976</v>
      </c>
    </row>
    <row r="348" spans="1:6" x14ac:dyDescent="0.35">
      <c r="A348" s="190">
        <v>338</v>
      </c>
      <c r="B348" s="186">
        <f t="shared" ca="1" si="25"/>
        <v>11972.480071327976</v>
      </c>
      <c r="C348" s="187">
        <f t="shared" ca="1" si="26"/>
        <v>39.90826690442659</v>
      </c>
      <c r="D348" s="188">
        <f t="shared" si="27"/>
        <v>1909.6611818618378</v>
      </c>
      <c r="E348" s="186">
        <f t="shared" ca="1" si="28"/>
        <v>0</v>
      </c>
      <c r="F348" s="189">
        <f t="shared" ca="1" si="29"/>
        <v>10102.727156370565</v>
      </c>
    </row>
    <row r="349" spans="1:6" x14ac:dyDescent="0.35">
      <c r="A349" s="190">
        <v>339</v>
      </c>
      <c r="B349" s="186">
        <f t="shared" ca="1" si="25"/>
        <v>10102.727156370565</v>
      </c>
      <c r="C349" s="187">
        <f t="shared" ca="1" si="26"/>
        <v>33.675757187901887</v>
      </c>
      <c r="D349" s="188">
        <f t="shared" si="27"/>
        <v>1909.6611818618378</v>
      </c>
      <c r="E349" s="186">
        <f t="shared" ca="1" si="28"/>
        <v>140</v>
      </c>
      <c r="F349" s="189">
        <f t="shared" ca="1" si="29"/>
        <v>8086.7417316966294</v>
      </c>
    </row>
    <row r="350" spans="1:6" x14ac:dyDescent="0.35">
      <c r="A350" s="190">
        <v>340</v>
      </c>
      <c r="B350" s="186">
        <f t="shared" ca="1" si="25"/>
        <v>8086.7417316966294</v>
      </c>
      <c r="C350" s="187">
        <f t="shared" ca="1" si="26"/>
        <v>26.955805772322098</v>
      </c>
      <c r="D350" s="188">
        <f t="shared" si="27"/>
        <v>1909.6611818618378</v>
      </c>
      <c r="E350" s="186">
        <f t="shared" ca="1" si="28"/>
        <v>0</v>
      </c>
      <c r="F350" s="189">
        <f t="shared" ca="1" si="29"/>
        <v>6204.0363556071143</v>
      </c>
    </row>
    <row r="351" spans="1:6" x14ac:dyDescent="0.35">
      <c r="A351" s="190">
        <v>341</v>
      </c>
      <c r="B351" s="186">
        <f t="shared" ca="1" si="25"/>
        <v>6204.0363556071143</v>
      </c>
      <c r="C351" s="187">
        <f t="shared" ca="1" si="26"/>
        <v>20.680121185357049</v>
      </c>
      <c r="D351" s="188">
        <f t="shared" si="27"/>
        <v>1909.6611818618378</v>
      </c>
      <c r="E351" s="186">
        <f t="shared" ca="1" si="28"/>
        <v>0</v>
      </c>
      <c r="F351" s="189">
        <f t="shared" ca="1" si="29"/>
        <v>4315.0552949306339</v>
      </c>
    </row>
    <row r="352" spans="1:6" x14ac:dyDescent="0.35">
      <c r="A352" s="190">
        <v>342</v>
      </c>
      <c r="B352" s="186">
        <f t="shared" ca="1" si="25"/>
        <v>4315.0552949306339</v>
      </c>
      <c r="C352" s="187">
        <f t="shared" ca="1" si="26"/>
        <v>14.383517649768779</v>
      </c>
      <c r="D352" s="188">
        <f t="shared" si="27"/>
        <v>1909.6611818618378</v>
      </c>
      <c r="E352" s="186">
        <f t="shared" ca="1" si="28"/>
        <v>103</v>
      </c>
      <c r="F352" s="189">
        <f t="shared" ca="1" si="29"/>
        <v>2316.777630718565</v>
      </c>
    </row>
    <row r="353" spans="1:6" x14ac:dyDescent="0.35">
      <c r="A353" s="190">
        <v>343</v>
      </c>
      <c r="B353" s="186">
        <f t="shared" ca="1" si="25"/>
        <v>2316.777630718565</v>
      </c>
      <c r="C353" s="187">
        <f t="shared" ca="1" si="26"/>
        <v>7.7225921023952173</v>
      </c>
      <c r="D353" s="188">
        <f t="shared" si="27"/>
        <v>1909.6611818618378</v>
      </c>
      <c r="E353" s="186">
        <f t="shared" ca="1" si="28"/>
        <v>0</v>
      </c>
      <c r="F353" s="189">
        <f t="shared" ca="1" si="29"/>
        <v>414.83904095912226</v>
      </c>
    </row>
    <row r="354" spans="1:6" x14ac:dyDescent="0.35">
      <c r="A354" s="190">
        <v>344</v>
      </c>
      <c r="B354" s="186">
        <f t="shared" ca="1" si="25"/>
        <v>414.83904095912226</v>
      </c>
      <c r="C354" s="187">
        <f t="shared" ca="1" si="26"/>
        <v>1.3827968031970741</v>
      </c>
      <c r="D354" s="188">
        <f t="shared" si="27"/>
        <v>1909.6611818618378</v>
      </c>
      <c r="E354" s="186">
        <f t="shared" ca="1" si="28"/>
        <v>0</v>
      </c>
      <c r="F354" s="189">
        <f t="shared" ca="1" si="29"/>
        <v>-1493.4393440995184</v>
      </c>
    </row>
    <row r="355" spans="1:6" x14ac:dyDescent="0.35">
      <c r="A355" s="190">
        <v>345</v>
      </c>
      <c r="B355" s="186">
        <f t="shared" ca="1" si="25"/>
        <v>-1493.4393440995184</v>
      </c>
      <c r="C355" s="187">
        <f t="shared" ca="1" si="26"/>
        <v>-4.9781311469983942</v>
      </c>
      <c r="D355" s="188">
        <f t="shared" si="27"/>
        <v>1909.6611818618378</v>
      </c>
      <c r="E355" s="186">
        <f t="shared" ca="1" si="28"/>
        <v>161</v>
      </c>
      <c r="F355" s="189">
        <f t="shared" ca="1" si="29"/>
        <v>-3569.0786571083545</v>
      </c>
    </row>
    <row r="356" spans="1:6" x14ac:dyDescent="0.35">
      <c r="A356" s="190">
        <v>346</v>
      </c>
      <c r="B356" s="186">
        <f t="shared" ca="1" si="25"/>
        <v>-3569.0786571083545</v>
      </c>
      <c r="C356" s="187">
        <f t="shared" ca="1" si="26"/>
        <v>-11.896928857027847</v>
      </c>
      <c r="D356" s="188">
        <f t="shared" si="27"/>
        <v>1909.6611818618378</v>
      </c>
      <c r="E356" s="186">
        <f t="shared" ca="1" si="28"/>
        <v>0</v>
      </c>
      <c r="F356" s="189">
        <f t="shared" ca="1" si="29"/>
        <v>-5490.63676782722</v>
      </c>
    </row>
    <row r="357" spans="1:6" x14ac:dyDescent="0.35">
      <c r="A357" s="190">
        <v>347</v>
      </c>
      <c r="B357" s="186">
        <f t="shared" ca="1" si="25"/>
        <v>-5490.63676782722</v>
      </c>
      <c r="C357" s="187">
        <f t="shared" ca="1" si="26"/>
        <v>-18.302122559424067</v>
      </c>
      <c r="D357" s="188">
        <f t="shared" si="27"/>
        <v>1909.6611818618378</v>
      </c>
      <c r="E357" s="186">
        <f t="shared" ca="1" si="28"/>
        <v>0</v>
      </c>
      <c r="F357" s="189">
        <f t="shared" ca="1" si="29"/>
        <v>-7418.6000722484814</v>
      </c>
    </row>
    <row r="358" spans="1:6" x14ac:dyDescent="0.35">
      <c r="A358" s="190">
        <v>348</v>
      </c>
      <c r="B358" s="186">
        <f t="shared" ca="1" si="25"/>
        <v>-7418.6000722484814</v>
      </c>
      <c r="C358" s="187">
        <f t="shared" ca="1" si="26"/>
        <v>-24.72866690749494</v>
      </c>
      <c r="D358" s="188">
        <f t="shared" si="27"/>
        <v>1909.6611818618378</v>
      </c>
      <c r="E358" s="186">
        <f t="shared" ca="1" si="28"/>
        <v>108</v>
      </c>
      <c r="F358" s="189">
        <f t="shared" ca="1" si="29"/>
        <v>-9460.9899210178137</v>
      </c>
    </row>
    <row r="359" spans="1:6" x14ac:dyDescent="0.35">
      <c r="A359" s="190">
        <v>349</v>
      </c>
      <c r="B359" s="186">
        <f t="shared" ca="1" si="25"/>
        <v>-9460.9899210178137</v>
      </c>
      <c r="C359" s="187">
        <f t="shared" ca="1" si="26"/>
        <v>-31.536633070059381</v>
      </c>
      <c r="D359" s="188">
        <f t="shared" si="27"/>
        <v>1909.6611818618378</v>
      </c>
      <c r="E359" s="186">
        <f t="shared" ca="1" si="28"/>
        <v>0</v>
      </c>
      <c r="F359" s="189">
        <f t="shared" ca="1" si="29"/>
        <v>-11402.187735949712</v>
      </c>
    </row>
    <row r="360" spans="1:6" x14ac:dyDescent="0.35">
      <c r="A360" s="190">
        <v>350</v>
      </c>
      <c r="B360" s="186">
        <f t="shared" ca="1" si="25"/>
        <v>-11402.187735949712</v>
      </c>
      <c r="C360" s="187">
        <f t="shared" ca="1" si="26"/>
        <v>-38.007292453165711</v>
      </c>
      <c r="D360" s="188">
        <f t="shared" si="27"/>
        <v>1909.6611818618378</v>
      </c>
      <c r="E360" s="186">
        <f t="shared" ca="1" si="28"/>
        <v>0</v>
      </c>
      <c r="F360" s="189">
        <f t="shared" ca="1" si="29"/>
        <v>-13349.856210264716</v>
      </c>
    </row>
    <row r="361" spans="1:6" x14ac:dyDescent="0.35">
      <c r="A361" s="190">
        <v>351</v>
      </c>
      <c r="B361" s="186">
        <f t="shared" ca="1" si="25"/>
        <v>-13349.856210264716</v>
      </c>
      <c r="C361" s="187">
        <f t="shared" ca="1" si="26"/>
        <v>-44.499520700882385</v>
      </c>
      <c r="D361" s="188">
        <f t="shared" si="27"/>
        <v>1909.6611818618378</v>
      </c>
      <c r="E361" s="186">
        <f t="shared" ca="1" si="28"/>
        <v>152</v>
      </c>
      <c r="F361" s="189">
        <f t="shared" ca="1" si="29"/>
        <v>-15456.016912827437</v>
      </c>
    </row>
    <row r="362" spans="1:6" x14ac:dyDescent="0.35">
      <c r="A362" s="190">
        <v>352</v>
      </c>
      <c r="B362" s="186">
        <f t="shared" ca="1" si="25"/>
        <v>-15456.016912827437</v>
      </c>
      <c r="C362" s="187">
        <f t="shared" ca="1" si="26"/>
        <v>-51.520056376091453</v>
      </c>
      <c r="D362" s="188">
        <f t="shared" si="27"/>
        <v>1909.6611818618378</v>
      </c>
      <c r="E362" s="186">
        <f t="shared" ca="1" si="28"/>
        <v>0</v>
      </c>
      <c r="F362" s="189">
        <f t="shared" ca="1" si="29"/>
        <v>-17417.198151065368</v>
      </c>
    </row>
    <row r="363" spans="1:6" x14ac:dyDescent="0.35">
      <c r="A363" s="190">
        <v>353</v>
      </c>
      <c r="B363" s="186">
        <f t="shared" ca="1" si="25"/>
        <v>-17417.198151065368</v>
      </c>
      <c r="C363" s="187">
        <f t="shared" ca="1" si="26"/>
        <v>-58.057327170217896</v>
      </c>
      <c r="D363" s="188">
        <f t="shared" si="27"/>
        <v>1909.6611818618378</v>
      </c>
      <c r="E363" s="186">
        <f t="shared" ca="1" si="28"/>
        <v>0</v>
      </c>
      <c r="F363" s="189">
        <f t="shared" ca="1" si="29"/>
        <v>-19384.916660097424</v>
      </c>
    </row>
    <row r="364" spans="1:6" x14ac:dyDescent="0.35">
      <c r="A364" s="190">
        <v>354</v>
      </c>
      <c r="B364" s="186">
        <f t="shared" ca="1" si="25"/>
        <v>-19384.916660097424</v>
      </c>
      <c r="C364" s="187">
        <f t="shared" ca="1" si="26"/>
        <v>-64.616388866991414</v>
      </c>
      <c r="D364" s="188">
        <f t="shared" si="27"/>
        <v>1909.6611818618378</v>
      </c>
      <c r="E364" s="186">
        <f t="shared" ca="1" si="28"/>
        <v>116</v>
      </c>
      <c r="F364" s="189">
        <f t="shared" ca="1" si="29"/>
        <v>-21475.194230826251</v>
      </c>
    </row>
    <row r="365" spans="1:6" x14ac:dyDescent="0.35">
      <c r="A365" s="190">
        <v>355</v>
      </c>
      <c r="B365" s="186">
        <f t="shared" ca="1" si="25"/>
        <v>-21475.194230826251</v>
      </c>
      <c r="C365" s="187">
        <f t="shared" ca="1" si="26"/>
        <v>-71.583980769420847</v>
      </c>
      <c r="D365" s="188">
        <f t="shared" si="27"/>
        <v>1909.6611818618378</v>
      </c>
      <c r="E365" s="186">
        <f t="shared" ca="1" si="28"/>
        <v>0</v>
      </c>
      <c r="F365" s="189">
        <f t="shared" ca="1" si="29"/>
        <v>-23456.439393457509</v>
      </c>
    </row>
    <row r="366" spans="1:6" x14ac:dyDescent="0.35">
      <c r="A366" s="190">
        <v>356</v>
      </c>
      <c r="B366" s="186">
        <f t="shared" ca="1" si="25"/>
        <v>-23456.439393457509</v>
      </c>
      <c r="C366" s="187">
        <f t="shared" ca="1" si="26"/>
        <v>-78.188131311525026</v>
      </c>
      <c r="D366" s="188">
        <f t="shared" si="27"/>
        <v>1909.6611818618378</v>
      </c>
      <c r="E366" s="186">
        <f t="shared" ca="1" si="28"/>
        <v>0</v>
      </c>
      <c r="F366" s="189">
        <f t="shared" ca="1" si="29"/>
        <v>-25444.288706630872</v>
      </c>
    </row>
    <row r="367" spans="1:6" x14ac:dyDescent="0.35">
      <c r="A367" s="190">
        <v>357</v>
      </c>
      <c r="B367" s="186">
        <f t="shared" ca="1" si="25"/>
        <v>-25444.288706630872</v>
      </c>
      <c r="C367" s="187">
        <f t="shared" ca="1" si="26"/>
        <v>-84.814295688769576</v>
      </c>
      <c r="D367" s="188">
        <f t="shared" si="27"/>
        <v>1909.6611818618378</v>
      </c>
      <c r="E367" s="186">
        <f t="shared" ca="1" si="28"/>
        <v>169</v>
      </c>
      <c r="F367" s="189">
        <f t="shared" ca="1" si="29"/>
        <v>-27607.76418418148</v>
      </c>
    </row>
    <row r="368" spans="1:6" x14ac:dyDescent="0.35">
      <c r="A368" s="190">
        <v>358</v>
      </c>
      <c r="B368" s="186">
        <f t="shared" ca="1" si="25"/>
        <v>-27607.76418418148</v>
      </c>
      <c r="C368" s="187">
        <f t="shared" ca="1" si="26"/>
        <v>-92.02588061393827</v>
      </c>
      <c r="D368" s="188">
        <f t="shared" si="27"/>
        <v>1909.6611818618378</v>
      </c>
      <c r="E368" s="186">
        <f t="shared" ca="1" si="28"/>
        <v>0</v>
      </c>
      <c r="F368" s="189">
        <f t="shared" ca="1" si="29"/>
        <v>-29609.451246657256</v>
      </c>
    </row>
    <row r="369" spans="1:6" x14ac:dyDescent="0.35">
      <c r="A369" s="190">
        <v>359</v>
      </c>
      <c r="B369" s="186">
        <f t="shared" ca="1" si="25"/>
        <v>-29609.451246657256</v>
      </c>
      <c r="C369" s="187">
        <f t="shared" ca="1" si="26"/>
        <v>-98.698170822190846</v>
      </c>
      <c r="D369" s="188">
        <f t="shared" si="27"/>
        <v>1909.6611818618378</v>
      </c>
      <c r="E369" s="186">
        <f t="shared" ca="1" si="28"/>
        <v>0</v>
      </c>
      <c r="F369" s="189">
        <f t="shared" ca="1" si="29"/>
        <v>-31617.810599341283</v>
      </c>
    </row>
    <row r="370" spans="1:6" ht="16" thickBot="1" x14ac:dyDescent="0.4">
      <c r="A370" s="194">
        <v>360</v>
      </c>
      <c r="B370" s="186">
        <f t="shared" ca="1" si="25"/>
        <v>-31617.810599341283</v>
      </c>
      <c r="C370" s="187">
        <f t="shared" ca="1" si="26"/>
        <v>-105.39270199780428</v>
      </c>
      <c r="D370" s="188">
        <f t="shared" si="27"/>
        <v>1909.6611818618378</v>
      </c>
      <c r="E370" s="186">
        <f t="shared" ca="1" si="28"/>
        <v>141</v>
      </c>
      <c r="F370" s="189">
        <f t="shared" ca="1" si="29"/>
        <v>-33773.864483200923</v>
      </c>
    </row>
    <row r="371" spans="1:6" ht="16" thickBot="1" x14ac:dyDescent="0.4">
      <c r="A371" s="194">
        <v>361</v>
      </c>
      <c r="B371" s="186">
        <f t="shared" ca="1" si="25"/>
        <v>-33773.864483200923</v>
      </c>
      <c r="C371" s="187">
        <f t="shared" ca="1" si="26"/>
        <v>-112.57954827733641</v>
      </c>
      <c r="D371" s="188">
        <f t="shared" si="27"/>
        <v>1909.6611818618378</v>
      </c>
      <c r="E371" s="186">
        <f t="shared" ca="1" si="28"/>
        <v>0</v>
      </c>
      <c r="F371" s="189">
        <f t="shared" ca="1" si="29"/>
        <v>-35796.105213340103</v>
      </c>
    </row>
    <row r="372" spans="1:6" ht="16" thickBot="1" x14ac:dyDescent="0.4">
      <c r="A372" s="194">
        <v>362</v>
      </c>
      <c r="B372" s="186">
        <f t="shared" ca="1" si="25"/>
        <v>-35796.105213340103</v>
      </c>
      <c r="C372" s="187">
        <f t="shared" ca="1" si="26"/>
        <v>-119.32035071113368</v>
      </c>
      <c r="D372" s="188">
        <f t="shared" si="27"/>
        <v>1909.6611818618378</v>
      </c>
      <c r="E372" s="186">
        <f t="shared" ca="1" si="28"/>
        <v>0</v>
      </c>
      <c r="F372" s="189">
        <f t="shared" ca="1" si="29"/>
        <v>-37825.086745913075</v>
      </c>
    </row>
    <row r="373" spans="1:6" ht="16" thickBot="1" x14ac:dyDescent="0.4">
      <c r="A373" s="194">
        <v>363</v>
      </c>
      <c r="B373" s="186">
        <f t="shared" ca="1" si="25"/>
        <v>-37825.086745913075</v>
      </c>
      <c r="C373" s="187">
        <f t="shared" ca="1" si="26"/>
        <v>-126.08362248637691</v>
      </c>
      <c r="D373" s="188">
        <f t="shared" si="27"/>
        <v>1909.6611818618378</v>
      </c>
      <c r="E373" s="186">
        <f t="shared" ca="1" si="28"/>
        <v>105</v>
      </c>
      <c r="F373" s="189">
        <f t="shared" ca="1" si="29"/>
        <v>-39965.83155026129</v>
      </c>
    </row>
    <row r="374" spans="1:6" x14ac:dyDescent="0.35">
      <c r="B374" s="195"/>
      <c r="C374" s="195"/>
      <c r="D374" s="164"/>
      <c r="F374" s="195"/>
    </row>
    <row r="375" spans="1:6" x14ac:dyDescent="0.35">
      <c r="B375" s="195"/>
      <c r="C375" s="195"/>
      <c r="D375" s="164"/>
      <c r="F375" s="195"/>
    </row>
    <row r="376" spans="1:6" x14ac:dyDescent="0.35">
      <c r="B376" s="195"/>
      <c r="C376" s="195"/>
      <c r="D376" s="164"/>
      <c r="F376" s="195"/>
    </row>
    <row r="377" spans="1:6" x14ac:dyDescent="0.35">
      <c r="B377" s="195"/>
      <c r="C377" s="195"/>
      <c r="D377" s="164"/>
      <c r="F377" s="195"/>
    </row>
    <row r="378" spans="1:6" x14ac:dyDescent="0.35">
      <c r="B378" s="195"/>
      <c r="C378" s="195"/>
      <c r="D378" s="164"/>
      <c r="F378" s="195"/>
    </row>
    <row r="379" spans="1:6" x14ac:dyDescent="0.35">
      <c r="B379" s="195"/>
      <c r="C379" s="195"/>
      <c r="D379" s="164"/>
      <c r="F379" s="195"/>
    </row>
    <row r="380" spans="1:6" x14ac:dyDescent="0.35">
      <c r="B380" s="195"/>
      <c r="C380" s="195"/>
      <c r="D380" s="164"/>
      <c r="F380" s="195"/>
    </row>
    <row r="381" spans="1:6" x14ac:dyDescent="0.35">
      <c r="B381" s="195"/>
      <c r="C381" s="195"/>
      <c r="D381" s="164"/>
      <c r="F381" s="195"/>
    </row>
    <row r="382" spans="1:6" x14ac:dyDescent="0.35">
      <c r="B382" s="195"/>
      <c r="C382" s="195"/>
      <c r="D382" s="164"/>
      <c r="F382" s="195"/>
    </row>
    <row r="383" spans="1:6" x14ac:dyDescent="0.35">
      <c r="B383" s="195"/>
      <c r="C383" s="195"/>
      <c r="D383" s="164"/>
      <c r="F383" s="195"/>
    </row>
    <row r="384" spans="1:6" x14ac:dyDescent="0.35">
      <c r="B384" s="195"/>
      <c r="C384" s="195"/>
      <c r="D384" s="164"/>
      <c r="F384" s="195"/>
    </row>
    <row r="385" spans="2:6" x14ac:dyDescent="0.35">
      <c r="B385" s="195"/>
      <c r="C385" s="195"/>
      <c r="D385" s="164"/>
      <c r="F385" s="195"/>
    </row>
    <row r="386" spans="2:6" x14ac:dyDescent="0.35">
      <c r="B386" s="195"/>
      <c r="C386" s="195"/>
      <c r="D386" s="164"/>
      <c r="F386" s="195"/>
    </row>
    <row r="387" spans="2:6" x14ac:dyDescent="0.35">
      <c r="B387" s="195"/>
      <c r="C387" s="195"/>
      <c r="D387" s="164"/>
      <c r="F387" s="195"/>
    </row>
    <row r="388" spans="2:6" x14ac:dyDescent="0.35">
      <c r="B388" s="195"/>
      <c r="C388" s="195"/>
      <c r="D388" s="164"/>
      <c r="F388" s="195"/>
    </row>
    <row r="389" spans="2:6" x14ac:dyDescent="0.35">
      <c r="B389" s="195"/>
      <c r="C389" s="195"/>
      <c r="D389" s="164"/>
      <c r="F389" s="195"/>
    </row>
    <row r="390" spans="2:6" x14ac:dyDescent="0.35">
      <c r="B390" s="195"/>
      <c r="C390" s="195"/>
      <c r="D390" s="164"/>
      <c r="F390" s="195"/>
    </row>
    <row r="391" spans="2:6" x14ac:dyDescent="0.35">
      <c r="B391" s="195"/>
      <c r="C391" s="195"/>
      <c r="D391" s="164"/>
      <c r="F391" s="195"/>
    </row>
    <row r="392" spans="2:6" x14ac:dyDescent="0.35">
      <c r="B392" s="195"/>
      <c r="C392" s="195"/>
      <c r="D392" s="164"/>
      <c r="F392" s="195"/>
    </row>
    <row r="393" spans="2:6" x14ac:dyDescent="0.35">
      <c r="B393" s="195"/>
      <c r="C393" s="195"/>
      <c r="D393" s="164"/>
      <c r="F393" s="195"/>
    </row>
    <row r="394" spans="2:6" x14ac:dyDescent="0.35">
      <c r="B394" s="195"/>
      <c r="C394" s="195"/>
      <c r="D394" s="164"/>
      <c r="F394" s="195"/>
    </row>
    <row r="395" spans="2:6" x14ac:dyDescent="0.35">
      <c r="B395" s="195"/>
      <c r="C395" s="195"/>
      <c r="D395" s="164"/>
      <c r="F395" s="195"/>
    </row>
    <row r="396" spans="2:6" x14ac:dyDescent="0.35">
      <c r="B396" s="195"/>
      <c r="C396" s="195"/>
      <c r="D396" s="164"/>
      <c r="F396" s="195"/>
    </row>
    <row r="397" spans="2:6" x14ac:dyDescent="0.35">
      <c r="B397" s="195"/>
      <c r="C397" s="195"/>
      <c r="D397" s="164"/>
      <c r="F397" s="195"/>
    </row>
    <row r="398" spans="2:6" x14ac:dyDescent="0.35">
      <c r="B398" s="195"/>
      <c r="C398" s="195"/>
      <c r="D398" s="164"/>
      <c r="F398" s="195"/>
    </row>
    <row r="399" spans="2:6" x14ac:dyDescent="0.35">
      <c r="B399" s="195"/>
      <c r="C399" s="195"/>
      <c r="D399" s="164"/>
      <c r="F399" s="195"/>
    </row>
    <row r="400" spans="2:6" x14ac:dyDescent="0.35">
      <c r="B400" s="195"/>
      <c r="C400" s="195"/>
      <c r="D400" s="164"/>
      <c r="F400" s="195"/>
    </row>
    <row r="401" spans="2:6" x14ac:dyDescent="0.35">
      <c r="B401" s="195"/>
      <c r="C401" s="195"/>
      <c r="D401" s="164"/>
      <c r="F401" s="195"/>
    </row>
    <row r="402" spans="2:6" x14ac:dyDescent="0.35">
      <c r="B402" s="195"/>
      <c r="C402" s="195"/>
      <c r="D402" s="164"/>
      <c r="F402" s="195"/>
    </row>
    <row r="403" spans="2:6" x14ac:dyDescent="0.35">
      <c r="B403" s="195"/>
      <c r="C403" s="195"/>
      <c r="D403" s="164"/>
      <c r="F403" s="195"/>
    </row>
    <row r="404" spans="2:6" x14ac:dyDescent="0.35">
      <c r="B404" s="195"/>
      <c r="C404" s="195"/>
      <c r="D404" s="164"/>
      <c r="F404" s="195"/>
    </row>
    <row r="405" spans="2:6" x14ac:dyDescent="0.35">
      <c r="B405" s="195"/>
      <c r="C405" s="195"/>
      <c r="D405" s="164"/>
      <c r="F405" s="195"/>
    </row>
    <row r="406" spans="2:6" x14ac:dyDescent="0.35">
      <c r="B406" s="195"/>
      <c r="C406" s="195"/>
      <c r="D406" s="164"/>
      <c r="F406" s="195"/>
    </row>
    <row r="407" spans="2:6" x14ac:dyDescent="0.35">
      <c r="B407" s="195"/>
      <c r="C407" s="195"/>
      <c r="D407" s="164"/>
      <c r="F407" s="195"/>
    </row>
    <row r="408" spans="2:6" x14ac:dyDescent="0.35">
      <c r="B408" s="195"/>
      <c r="C408" s="195"/>
      <c r="D408" s="164"/>
      <c r="F408" s="195"/>
    </row>
    <row r="409" spans="2:6" x14ac:dyDescent="0.35">
      <c r="B409" s="195"/>
      <c r="C409" s="195"/>
      <c r="D409" s="164"/>
      <c r="F409" s="195"/>
    </row>
    <row r="410" spans="2:6" x14ac:dyDescent="0.35">
      <c r="B410" s="195"/>
      <c r="C410" s="195"/>
      <c r="D410" s="164"/>
      <c r="F410" s="195"/>
    </row>
    <row r="411" spans="2:6" x14ac:dyDescent="0.35">
      <c r="B411" s="195"/>
      <c r="C411" s="195"/>
      <c r="D411" s="164"/>
      <c r="F411" s="195"/>
    </row>
    <row r="412" spans="2:6" x14ac:dyDescent="0.35">
      <c r="B412" s="195"/>
      <c r="C412" s="195"/>
      <c r="D412" s="164"/>
      <c r="F412" s="195"/>
    </row>
    <row r="413" spans="2:6" x14ac:dyDescent="0.35">
      <c r="B413" s="195"/>
      <c r="C413" s="195"/>
      <c r="D413" s="164"/>
      <c r="F413" s="195"/>
    </row>
    <row r="414" spans="2:6" x14ac:dyDescent="0.35">
      <c r="B414" s="195"/>
      <c r="C414" s="195"/>
      <c r="D414" s="164"/>
      <c r="F414" s="195"/>
    </row>
    <row r="415" spans="2:6" x14ac:dyDescent="0.35">
      <c r="B415" s="195"/>
      <c r="C415" s="195"/>
      <c r="D415" s="164"/>
      <c r="F415" s="195"/>
    </row>
    <row r="416" spans="2:6" x14ac:dyDescent="0.35">
      <c r="B416" s="195"/>
      <c r="C416" s="195"/>
      <c r="D416" s="164"/>
      <c r="F416" s="195"/>
    </row>
    <row r="417" spans="2:6" x14ac:dyDescent="0.35">
      <c r="B417" s="195"/>
      <c r="C417" s="195"/>
      <c r="D417" s="164"/>
      <c r="F417" s="195"/>
    </row>
    <row r="418" spans="2:6" x14ac:dyDescent="0.35">
      <c r="B418" s="195"/>
      <c r="C418" s="195"/>
      <c r="D418" s="164"/>
      <c r="F418" s="195"/>
    </row>
    <row r="419" spans="2:6" x14ac:dyDescent="0.35">
      <c r="B419" s="195"/>
      <c r="C419" s="195"/>
      <c r="D419" s="164"/>
      <c r="F419" s="195"/>
    </row>
    <row r="420" spans="2:6" x14ac:dyDescent="0.35">
      <c r="B420" s="195"/>
      <c r="C420" s="195"/>
      <c r="D420" s="164"/>
      <c r="F420" s="195"/>
    </row>
    <row r="421" spans="2:6" x14ac:dyDescent="0.35">
      <c r="B421" s="195"/>
      <c r="C421" s="195"/>
      <c r="D421" s="164"/>
      <c r="F421" s="195"/>
    </row>
    <row r="422" spans="2:6" x14ac:dyDescent="0.35">
      <c r="B422" s="195"/>
      <c r="C422" s="195"/>
      <c r="D422" s="164"/>
      <c r="F422" s="195"/>
    </row>
    <row r="423" spans="2:6" x14ac:dyDescent="0.35">
      <c r="B423" s="195"/>
      <c r="C423" s="195"/>
      <c r="D423" s="164"/>
      <c r="F423" s="195"/>
    </row>
    <row r="424" spans="2:6" x14ac:dyDescent="0.35">
      <c r="B424" s="195"/>
      <c r="C424" s="195"/>
      <c r="D424" s="164"/>
      <c r="F424" s="195"/>
    </row>
    <row r="425" spans="2:6" x14ac:dyDescent="0.35">
      <c r="B425" s="195"/>
      <c r="C425" s="195"/>
      <c r="D425" s="164"/>
      <c r="F425" s="195"/>
    </row>
    <row r="426" spans="2:6" x14ac:dyDescent="0.35">
      <c r="B426" s="195"/>
      <c r="C426" s="195"/>
      <c r="D426" s="164"/>
      <c r="F426" s="195"/>
    </row>
    <row r="427" spans="2:6" x14ac:dyDescent="0.35">
      <c r="B427" s="195"/>
      <c r="C427" s="195"/>
      <c r="D427" s="164"/>
      <c r="F427" s="195"/>
    </row>
    <row r="428" spans="2:6" x14ac:dyDescent="0.35">
      <c r="B428" s="195"/>
      <c r="C428" s="195"/>
      <c r="D428" s="164"/>
      <c r="F428" s="195"/>
    </row>
    <row r="429" spans="2:6" x14ac:dyDescent="0.35">
      <c r="B429" s="195"/>
      <c r="C429" s="195"/>
      <c r="D429" s="164"/>
      <c r="F429" s="195"/>
    </row>
    <row r="430" spans="2:6" x14ac:dyDescent="0.35">
      <c r="B430" s="195"/>
      <c r="C430" s="195"/>
      <c r="D430" s="164"/>
      <c r="F430" s="195"/>
    </row>
    <row r="431" spans="2:6" x14ac:dyDescent="0.35">
      <c r="B431" s="195"/>
      <c r="C431" s="195"/>
      <c r="D431" s="164"/>
      <c r="F431" s="195"/>
    </row>
    <row r="432" spans="2:6" x14ac:dyDescent="0.35">
      <c r="B432" s="195"/>
      <c r="C432" s="195"/>
      <c r="D432" s="164"/>
      <c r="F432" s="195"/>
    </row>
    <row r="433" spans="2:6" x14ac:dyDescent="0.35">
      <c r="B433" s="195"/>
      <c r="C433" s="195"/>
      <c r="D433" s="164"/>
      <c r="F433" s="195"/>
    </row>
    <row r="434" spans="2:6" x14ac:dyDescent="0.35">
      <c r="B434" s="195"/>
      <c r="C434" s="195"/>
      <c r="D434" s="164"/>
      <c r="F434" s="195"/>
    </row>
    <row r="435" spans="2:6" x14ac:dyDescent="0.35">
      <c r="B435" s="195"/>
      <c r="C435" s="195"/>
      <c r="D435" s="164"/>
      <c r="F435" s="195"/>
    </row>
    <row r="436" spans="2:6" x14ac:dyDescent="0.35">
      <c r="B436" s="195"/>
      <c r="C436" s="195"/>
      <c r="D436" s="164"/>
      <c r="F436" s="195"/>
    </row>
    <row r="437" spans="2:6" x14ac:dyDescent="0.35">
      <c r="B437" s="195"/>
      <c r="C437" s="195"/>
      <c r="D437" s="164"/>
      <c r="F437" s="195"/>
    </row>
    <row r="438" spans="2:6" x14ac:dyDescent="0.35">
      <c r="B438" s="195"/>
      <c r="C438" s="195"/>
      <c r="D438" s="164"/>
      <c r="F438" s="195"/>
    </row>
    <row r="439" spans="2:6" x14ac:dyDescent="0.35">
      <c r="B439" s="195"/>
      <c r="C439" s="195"/>
      <c r="D439" s="164"/>
      <c r="F439" s="195"/>
    </row>
    <row r="440" spans="2:6" x14ac:dyDescent="0.35">
      <c r="B440" s="195"/>
      <c r="C440" s="195"/>
      <c r="D440" s="164"/>
      <c r="F440" s="195"/>
    </row>
    <row r="441" spans="2:6" x14ac:dyDescent="0.35">
      <c r="B441" s="195"/>
      <c r="C441" s="195"/>
      <c r="D441" s="164"/>
      <c r="F441" s="195"/>
    </row>
    <row r="442" spans="2:6" x14ac:dyDescent="0.35">
      <c r="B442" s="195"/>
      <c r="C442" s="195"/>
      <c r="D442" s="164"/>
      <c r="F442" s="195"/>
    </row>
    <row r="443" spans="2:6" x14ac:dyDescent="0.35">
      <c r="B443" s="195"/>
      <c r="C443" s="195"/>
      <c r="D443" s="164"/>
      <c r="F443" s="195"/>
    </row>
    <row r="444" spans="2:6" x14ac:dyDescent="0.35">
      <c r="B444" s="195"/>
      <c r="C444" s="195"/>
      <c r="D444" s="164"/>
      <c r="F444" s="195"/>
    </row>
    <row r="445" spans="2:6" x14ac:dyDescent="0.35">
      <c r="B445" s="195"/>
      <c r="C445" s="195"/>
      <c r="D445" s="164"/>
      <c r="F445" s="195"/>
    </row>
    <row r="446" spans="2:6" x14ac:dyDescent="0.35">
      <c r="B446" s="195"/>
      <c r="C446" s="195"/>
      <c r="D446" s="164"/>
      <c r="F446" s="195"/>
    </row>
    <row r="447" spans="2:6" x14ac:dyDescent="0.35">
      <c r="B447" s="195"/>
      <c r="C447" s="195"/>
      <c r="D447" s="164"/>
      <c r="F447" s="195"/>
    </row>
    <row r="448" spans="2:6" x14ac:dyDescent="0.35">
      <c r="B448" s="195"/>
      <c r="C448" s="195"/>
      <c r="D448" s="164"/>
      <c r="F448" s="195"/>
    </row>
    <row r="449" spans="2:6" x14ac:dyDescent="0.35">
      <c r="B449" s="195"/>
      <c r="C449" s="195"/>
      <c r="D449" s="164"/>
      <c r="F449" s="195"/>
    </row>
  </sheetData>
  <mergeCells count="1">
    <mergeCell ref="A8:F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0A9EB-CE88-4022-B696-0A053BFCDEA7}">
  <sheetPr codeName="Sheet11"/>
  <dimension ref="A1:E401"/>
  <sheetViews>
    <sheetView zoomScale="117" zoomScaleNormal="130" workbookViewId="0">
      <selection activeCell="B4" sqref="B4"/>
    </sheetView>
  </sheetViews>
  <sheetFormatPr defaultRowHeight="15.5" x14ac:dyDescent="0.35"/>
  <sheetData>
    <row r="1" spans="1:5" x14ac:dyDescent="0.35">
      <c r="A1" s="53" t="s">
        <v>1746</v>
      </c>
      <c r="B1" s="53" t="s">
        <v>1747</v>
      </c>
      <c r="E1" t="s">
        <v>1748</v>
      </c>
    </row>
    <row r="2" spans="1:5" x14ac:dyDescent="0.35">
      <c r="A2" s="53">
        <v>28.6</v>
      </c>
      <c r="B2" s="53">
        <f>LOG(A2)</f>
        <v>1.4563660331290431</v>
      </c>
      <c r="C2">
        <f>LOG(A2,5)</f>
        <v>2.0835887435720606</v>
      </c>
      <c r="E2" t="s">
        <v>1749</v>
      </c>
    </row>
    <row r="3" spans="1:5" x14ac:dyDescent="0.35">
      <c r="A3" s="53">
        <v>32.299999999999997</v>
      </c>
      <c r="B3" s="53">
        <f t="shared" ref="B3:B66" si="0">LOG(A3)</f>
        <v>1.5092025223311027</v>
      </c>
      <c r="C3">
        <f t="shared" ref="C3:C66" si="1">LOG(A3,5)</f>
        <v>2.1591806700843454</v>
      </c>
      <c r="E3" t="s">
        <v>1750</v>
      </c>
    </row>
    <row r="4" spans="1:5" x14ac:dyDescent="0.35">
      <c r="A4" s="53">
        <v>51.3</v>
      </c>
      <c r="B4" s="53">
        <f t="shared" si="0"/>
        <v>1.7101173651118162</v>
      </c>
      <c r="C4">
        <f t="shared" si="1"/>
        <v>2.4466248258197134</v>
      </c>
    </row>
    <row r="5" spans="1:5" x14ac:dyDescent="0.35">
      <c r="A5" s="53">
        <v>56.6</v>
      </c>
      <c r="B5" s="53">
        <f t="shared" si="0"/>
        <v>1.7528164311882715</v>
      </c>
      <c r="C5">
        <f t="shared" si="1"/>
        <v>2.5077133787069248</v>
      </c>
    </row>
    <row r="6" spans="1:5" x14ac:dyDescent="0.35">
      <c r="A6" s="53">
        <v>69.3</v>
      </c>
      <c r="B6" s="53">
        <f t="shared" si="0"/>
        <v>1.8407332346118068</v>
      </c>
      <c r="C6">
        <f t="shared" si="1"/>
        <v>2.6334938884257233</v>
      </c>
    </row>
    <row r="7" spans="1:5" x14ac:dyDescent="0.35">
      <c r="A7" s="53">
        <v>84.8</v>
      </c>
      <c r="B7" s="53">
        <f t="shared" si="0"/>
        <v>1.9283958522567137</v>
      </c>
      <c r="C7">
        <f t="shared" si="1"/>
        <v>2.7589107405096427</v>
      </c>
      <c r="D7">
        <f>SKEW(B2:B401)</f>
        <v>-6.2051934214410326E-2</v>
      </c>
    </row>
    <row r="8" spans="1:5" x14ac:dyDescent="0.35">
      <c r="A8" s="53">
        <v>92.3</v>
      </c>
      <c r="B8" s="53">
        <f t="shared" si="0"/>
        <v>1.965201701025912</v>
      </c>
      <c r="C8">
        <f t="shared" si="1"/>
        <v>2.8115680055437293</v>
      </c>
    </row>
    <row r="9" spans="1:5" x14ac:dyDescent="0.35">
      <c r="A9" s="53">
        <v>122.1</v>
      </c>
      <c r="B9" s="53">
        <f t="shared" si="0"/>
        <v>2.0867156639448825</v>
      </c>
      <c r="C9">
        <f t="shared" si="1"/>
        <v>2.9854151837704994</v>
      </c>
    </row>
    <row r="10" spans="1:5" x14ac:dyDescent="0.35">
      <c r="A10" s="53">
        <v>124.2</v>
      </c>
      <c r="B10" s="53">
        <f t="shared" si="0"/>
        <v>2.0941215958405612</v>
      </c>
      <c r="C10">
        <f t="shared" si="1"/>
        <v>2.9960106769243358</v>
      </c>
    </row>
    <row r="11" spans="1:5" x14ac:dyDescent="0.35">
      <c r="A11" s="53">
        <v>126.5</v>
      </c>
      <c r="B11" s="53">
        <f t="shared" si="0"/>
        <v>2.1020905255118367</v>
      </c>
      <c r="C11">
        <f t="shared" si="1"/>
        <v>3.0074116377979649</v>
      </c>
    </row>
    <row r="12" spans="1:5" x14ac:dyDescent="0.35">
      <c r="A12" s="53">
        <v>137.6</v>
      </c>
      <c r="B12" s="53">
        <f t="shared" si="0"/>
        <v>2.1386184338994925</v>
      </c>
      <c r="C12">
        <f t="shared" si="1"/>
        <v>3.0596712600436362</v>
      </c>
    </row>
    <row r="13" spans="1:5" x14ac:dyDescent="0.35">
      <c r="A13" s="53">
        <v>164.3</v>
      </c>
      <c r="B13" s="53">
        <f t="shared" si="0"/>
        <v>2.2156375634350618</v>
      </c>
      <c r="C13">
        <f t="shared" si="1"/>
        <v>3.1698607231933935</v>
      </c>
    </row>
    <row r="14" spans="1:5" x14ac:dyDescent="0.35">
      <c r="A14" s="53">
        <v>187</v>
      </c>
      <c r="B14" s="53">
        <f t="shared" si="0"/>
        <v>2.271841606536499</v>
      </c>
      <c r="C14">
        <f t="shared" si="1"/>
        <v>3.2502705301275663</v>
      </c>
    </row>
    <row r="15" spans="1:5" x14ac:dyDescent="0.35">
      <c r="A15" s="53">
        <v>195.4</v>
      </c>
      <c r="B15" s="53">
        <f t="shared" si="0"/>
        <v>2.2909245593827543</v>
      </c>
      <c r="C15">
        <f t="shared" si="1"/>
        <v>3.2775720634235239</v>
      </c>
    </row>
    <row r="16" spans="1:5" x14ac:dyDescent="0.35">
      <c r="A16" s="53">
        <v>197</v>
      </c>
      <c r="B16" s="53">
        <f t="shared" si="0"/>
        <v>2.2944662261615929</v>
      </c>
      <c r="C16">
        <f t="shared" si="1"/>
        <v>3.2826390430605152</v>
      </c>
    </row>
    <row r="17" spans="1:3" x14ac:dyDescent="0.35">
      <c r="A17" s="53">
        <v>204</v>
      </c>
      <c r="B17" s="53">
        <f t="shared" si="0"/>
        <v>2.3096301674258988</v>
      </c>
      <c r="C17">
        <f t="shared" si="1"/>
        <v>3.3043337383553593</v>
      </c>
    </row>
    <row r="18" spans="1:3" x14ac:dyDescent="0.35">
      <c r="A18" s="53">
        <v>205.1</v>
      </c>
      <c r="B18" s="53">
        <f t="shared" si="0"/>
        <v>2.3119656603683665</v>
      </c>
      <c r="C18">
        <f t="shared" si="1"/>
        <v>3.307675073359694</v>
      </c>
    </row>
    <row r="19" spans="1:3" x14ac:dyDescent="0.35">
      <c r="A19" s="53">
        <v>205.7</v>
      </c>
      <c r="B19" s="53">
        <f t="shared" si="0"/>
        <v>2.3132342916947239</v>
      </c>
      <c r="C19">
        <f t="shared" si="1"/>
        <v>3.3094900744591511</v>
      </c>
    </row>
    <row r="20" spans="1:3" x14ac:dyDescent="0.35">
      <c r="A20" s="53">
        <v>260.89999999999998</v>
      </c>
      <c r="B20" s="53">
        <f t="shared" si="0"/>
        <v>2.4164740791002206</v>
      </c>
      <c r="C20">
        <f t="shared" si="1"/>
        <v>3.4571928181606761</v>
      </c>
    </row>
    <row r="21" spans="1:3" x14ac:dyDescent="0.35">
      <c r="A21" s="53">
        <v>270.7</v>
      </c>
      <c r="B21" s="53">
        <f t="shared" si="0"/>
        <v>2.4324882557705063</v>
      </c>
      <c r="C21">
        <f t="shared" si="1"/>
        <v>3.4801039253196997</v>
      </c>
    </row>
    <row r="22" spans="1:3" x14ac:dyDescent="0.35">
      <c r="A22" s="53">
        <v>278.89999999999998</v>
      </c>
      <c r="B22" s="53">
        <f t="shared" si="0"/>
        <v>2.44544851426605</v>
      </c>
      <c r="C22">
        <f t="shared" si="1"/>
        <v>3.4986458633358453</v>
      </c>
    </row>
    <row r="23" spans="1:3" x14ac:dyDescent="0.35">
      <c r="A23" s="53">
        <v>313.7</v>
      </c>
      <c r="B23" s="53">
        <f t="shared" si="0"/>
        <v>2.4965145186977451</v>
      </c>
      <c r="C23">
        <f t="shared" si="1"/>
        <v>3.5717047987907438</v>
      </c>
    </row>
    <row r="24" spans="1:3" x14ac:dyDescent="0.35">
      <c r="A24" s="53">
        <v>324.10000000000002</v>
      </c>
      <c r="B24" s="53">
        <f t="shared" si="0"/>
        <v>2.5106790310322098</v>
      </c>
      <c r="C24">
        <f t="shared" si="1"/>
        <v>3.591969634544204</v>
      </c>
    </row>
    <row r="25" spans="1:3" x14ac:dyDescent="0.35">
      <c r="A25" s="53">
        <v>330.7</v>
      </c>
      <c r="B25" s="53">
        <f t="shared" si="0"/>
        <v>2.5194341949137029</v>
      </c>
      <c r="C25">
        <f t="shared" si="1"/>
        <v>3.6044954422715465</v>
      </c>
    </row>
    <row r="26" spans="1:3" x14ac:dyDescent="0.35">
      <c r="A26" s="53">
        <v>346.1</v>
      </c>
      <c r="B26" s="53">
        <f t="shared" si="0"/>
        <v>2.5392015992941279</v>
      </c>
      <c r="C26">
        <f t="shared" si="1"/>
        <v>3.6327762043325782</v>
      </c>
    </row>
    <row r="27" spans="1:3" x14ac:dyDescent="0.35">
      <c r="A27" s="53">
        <v>349.1</v>
      </c>
      <c r="B27" s="53">
        <f t="shared" si="0"/>
        <v>2.5429498488141786</v>
      </c>
      <c r="C27">
        <f t="shared" si="1"/>
        <v>3.6381387370547249</v>
      </c>
    </row>
    <row r="28" spans="1:3" x14ac:dyDescent="0.35">
      <c r="A28" s="53">
        <v>359.4</v>
      </c>
      <c r="B28" s="53">
        <f t="shared" si="0"/>
        <v>2.5555780727729549</v>
      </c>
      <c r="C28">
        <f t="shared" si="1"/>
        <v>3.6562056410426469</v>
      </c>
    </row>
    <row r="29" spans="1:3" x14ac:dyDescent="0.35">
      <c r="A29" s="53">
        <v>362.1</v>
      </c>
      <c r="B29" s="53">
        <f t="shared" si="0"/>
        <v>2.5588285248170117</v>
      </c>
      <c r="C29">
        <f t="shared" si="1"/>
        <v>3.6608559865852204</v>
      </c>
    </row>
    <row r="30" spans="1:3" x14ac:dyDescent="0.35">
      <c r="A30" s="53">
        <v>363.3</v>
      </c>
      <c r="B30" s="53">
        <f t="shared" si="0"/>
        <v>2.5602653978627146</v>
      </c>
      <c r="C30">
        <f t="shared" si="1"/>
        <v>3.6629116871686351</v>
      </c>
    </row>
    <row r="31" spans="1:3" x14ac:dyDescent="0.35">
      <c r="A31" s="53">
        <v>364.2</v>
      </c>
      <c r="B31" s="53">
        <f t="shared" si="0"/>
        <v>2.5613399414589013</v>
      </c>
      <c r="C31">
        <f t="shared" si="1"/>
        <v>3.6644490115023274</v>
      </c>
    </row>
    <row r="32" spans="1:3" x14ac:dyDescent="0.35">
      <c r="A32" s="53">
        <v>366.7</v>
      </c>
      <c r="B32" s="53">
        <f t="shared" si="0"/>
        <v>2.5643109099606027</v>
      </c>
      <c r="C32">
        <f t="shared" si="1"/>
        <v>3.6686995064924854</v>
      </c>
    </row>
    <row r="33" spans="1:3" x14ac:dyDescent="0.35">
      <c r="A33" s="53">
        <v>377.2</v>
      </c>
      <c r="B33" s="53">
        <f t="shared" si="0"/>
        <v>2.5765716840652906</v>
      </c>
      <c r="C33">
        <f t="shared" si="1"/>
        <v>3.6862407085878965</v>
      </c>
    </row>
    <row r="34" spans="1:3" x14ac:dyDescent="0.35">
      <c r="A34" s="53">
        <v>405.4</v>
      </c>
      <c r="B34" s="53">
        <f t="shared" si="0"/>
        <v>2.60788374435699</v>
      </c>
      <c r="C34">
        <f t="shared" si="1"/>
        <v>3.7310381392322109</v>
      </c>
    </row>
    <row r="35" spans="1:3" x14ac:dyDescent="0.35">
      <c r="A35" s="53">
        <v>410.2</v>
      </c>
      <c r="B35" s="53">
        <f t="shared" si="0"/>
        <v>2.6129956560323473</v>
      </c>
      <c r="C35">
        <f t="shared" si="1"/>
        <v>3.7383516314330869</v>
      </c>
    </row>
    <row r="36" spans="1:3" x14ac:dyDescent="0.35">
      <c r="A36" s="53">
        <v>425.5</v>
      </c>
      <c r="B36" s="53">
        <f t="shared" si="0"/>
        <v>2.6288995644206068</v>
      </c>
      <c r="C36">
        <f t="shared" si="1"/>
        <v>3.761104980345916</v>
      </c>
    </row>
    <row r="37" spans="1:3" x14ac:dyDescent="0.35">
      <c r="A37" s="53">
        <v>426.4</v>
      </c>
      <c r="B37" s="53">
        <f t="shared" si="0"/>
        <v>2.6298171960185157</v>
      </c>
      <c r="C37">
        <f t="shared" si="1"/>
        <v>3.7624178143619917</v>
      </c>
    </row>
    <row r="38" spans="1:3" x14ac:dyDescent="0.35">
      <c r="A38" s="53">
        <v>430.3</v>
      </c>
      <c r="B38" s="53">
        <f t="shared" si="0"/>
        <v>2.6337713460825554</v>
      </c>
      <c r="C38">
        <f t="shared" si="1"/>
        <v>3.7680749241657181</v>
      </c>
    </row>
    <row r="39" spans="1:3" x14ac:dyDescent="0.35">
      <c r="A39" s="53">
        <v>439.5</v>
      </c>
      <c r="B39" s="53">
        <f t="shared" si="0"/>
        <v>2.6429588794097909</v>
      </c>
      <c r="C39">
        <f t="shared" si="1"/>
        <v>3.7812193127235112</v>
      </c>
    </row>
    <row r="40" spans="1:3" x14ac:dyDescent="0.35">
      <c r="A40" s="53">
        <v>443.3</v>
      </c>
      <c r="B40" s="53">
        <f t="shared" si="0"/>
        <v>2.6466977312993345</v>
      </c>
      <c r="C40">
        <f t="shared" si="1"/>
        <v>3.7865684004759905</v>
      </c>
    </row>
    <row r="41" spans="1:3" x14ac:dyDescent="0.35">
      <c r="A41" s="53">
        <v>455.6</v>
      </c>
      <c r="B41" s="53">
        <f t="shared" si="0"/>
        <v>2.6585837154070626</v>
      </c>
      <c r="C41">
        <f t="shared" si="1"/>
        <v>3.8035733993085499</v>
      </c>
    </row>
    <row r="42" spans="1:3" x14ac:dyDescent="0.35">
      <c r="A42" s="53">
        <v>459.5</v>
      </c>
      <c r="B42" s="53">
        <f t="shared" si="0"/>
        <v>2.6622855157221301</v>
      </c>
      <c r="C42">
        <f t="shared" si="1"/>
        <v>3.8088694782419852</v>
      </c>
    </row>
    <row r="43" spans="1:3" x14ac:dyDescent="0.35">
      <c r="A43" s="53">
        <v>463.8</v>
      </c>
      <c r="B43" s="53">
        <f t="shared" si="0"/>
        <v>2.6663307443019684</v>
      </c>
      <c r="C43">
        <f t="shared" si="1"/>
        <v>3.8146568919432084</v>
      </c>
    </row>
    <row r="44" spans="1:3" x14ac:dyDescent="0.35">
      <c r="A44" s="53">
        <v>470.6</v>
      </c>
      <c r="B44" s="53">
        <f t="shared" si="0"/>
        <v>2.6726519228400023</v>
      </c>
      <c r="C44">
        <f t="shared" si="1"/>
        <v>3.8237004538969703</v>
      </c>
    </row>
    <row r="45" spans="1:3" x14ac:dyDescent="0.35">
      <c r="A45" s="53">
        <v>485.3</v>
      </c>
      <c r="B45" s="53">
        <f t="shared" si="0"/>
        <v>2.6860102913152857</v>
      </c>
      <c r="C45">
        <f t="shared" si="1"/>
        <v>3.8428119585286646</v>
      </c>
    </row>
    <row r="46" spans="1:3" x14ac:dyDescent="0.35">
      <c r="A46" s="53">
        <v>485.8</v>
      </c>
      <c r="B46" s="53">
        <f t="shared" si="0"/>
        <v>2.6864575104691117</v>
      </c>
      <c r="C46">
        <f t="shared" si="1"/>
        <v>3.8434517844883653</v>
      </c>
    </row>
    <row r="47" spans="1:3" x14ac:dyDescent="0.35">
      <c r="A47" s="53">
        <v>503.2</v>
      </c>
      <c r="B47" s="53">
        <f t="shared" si="0"/>
        <v>2.7017406324372124</v>
      </c>
      <c r="C47">
        <f t="shared" si="1"/>
        <v>3.8653169888223031</v>
      </c>
    </row>
    <row r="48" spans="1:3" x14ac:dyDescent="0.35">
      <c r="A48" s="53">
        <v>509.2</v>
      </c>
      <c r="B48" s="53">
        <f t="shared" si="0"/>
        <v>2.7068883949816178</v>
      </c>
      <c r="C48">
        <f t="shared" si="1"/>
        <v>3.8726817720211124</v>
      </c>
    </row>
    <row r="49" spans="1:3" x14ac:dyDescent="0.35">
      <c r="A49" s="53">
        <v>512.9</v>
      </c>
      <c r="B49" s="53">
        <f t="shared" si="0"/>
        <v>2.7100326990657537</v>
      </c>
      <c r="C49">
        <f t="shared" si="1"/>
        <v>3.8771802541657396</v>
      </c>
    </row>
    <row r="50" spans="1:3" x14ac:dyDescent="0.35">
      <c r="A50" s="53">
        <v>518</v>
      </c>
      <c r="B50" s="53">
        <f t="shared" si="0"/>
        <v>2.7143297597452332</v>
      </c>
      <c r="C50">
        <f t="shared" si="1"/>
        <v>3.8833279581484899</v>
      </c>
    </row>
    <row r="51" spans="1:3" x14ac:dyDescent="0.35">
      <c r="A51" s="53">
        <v>525.4</v>
      </c>
      <c r="B51" s="53">
        <f t="shared" si="0"/>
        <v>2.7204900684500513</v>
      </c>
      <c r="C51">
        <f t="shared" si="1"/>
        <v>3.8921413674029695</v>
      </c>
    </row>
    <row r="52" spans="1:3" x14ac:dyDescent="0.35">
      <c r="A52" s="53">
        <v>536.4</v>
      </c>
      <c r="B52" s="53">
        <f t="shared" si="0"/>
        <v>2.7294887691795613</v>
      </c>
      <c r="C52">
        <f t="shared" si="1"/>
        <v>3.9050155975897969</v>
      </c>
    </row>
    <row r="53" spans="1:3" x14ac:dyDescent="0.35">
      <c r="A53" s="53">
        <v>542.9</v>
      </c>
      <c r="B53" s="53">
        <f t="shared" si="0"/>
        <v>2.7347198416556799</v>
      </c>
      <c r="C53">
        <f t="shared" si="1"/>
        <v>3.9124995703549623</v>
      </c>
    </row>
    <row r="54" spans="1:3" x14ac:dyDescent="0.35">
      <c r="A54" s="53">
        <v>547.1</v>
      </c>
      <c r="B54" s="53">
        <f t="shared" si="0"/>
        <v>2.7380667147774691</v>
      </c>
      <c r="C54">
        <f t="shared" si="1"/>
        <v>3.9172878632731529</v>
      </c>
    </row>
    <row r="55" spans="1:3" x14ac:dyDescent="0.35">
      <c r="A55" s="53">
        <v>560.1</v>
      </c>
      <c r="B55" s="53">
        <f t="shared" si="0"/>
        <v>2.7482655726687408</v>
      </c>
      <c r="C55">
        <f t="shared" si="1"/>
        <v>3.9318791301773168</v>
      </c>
    </row>
    <row r="56" spans="1:3" x14ac:dyDescent="0.35">
      <c r="A56" s="53">
        <v>598.29999999999995</v>
      </c>
      <c r="B56" s="53">
        <f t="shared" si="0"/>
        <v>2.7769190028420465</v>
      </c>
      <c r="C56">
        <f t="shared" si="1"/>
        <v>3.9728729210346581</v>
      </c>
    </row>
    <row r="57" spans="1:3" x14ac:dyDescent="0.35">
      <c r="A57" s="53">
        <v>604</v>
      </c>
      <c r="B57" s="53">
        <f t="shared" si="0"/>
        <v>2.7810369386211318</v>
      </c>
      <c r="C57">
        <f t="shared" si="1"/>
        <v>3.9787643552214473</v>
      </c>
    </row>
    <row r="58" spans="1:3" x14ac:dyDescent="0.35">
      <c r="A58" s="53">
        <v>610.9</v>
      </c>
      <c r="B58" s="53">
        <f t="shared" si="0"/>
        <v>2.7859701251320095</v>
      </c>
      <c r="C58">
        <f t="shared" si="1"/>
        <v>3.9858221495191639</v>
      </c>
    </row>
    <row r="59" spans="1:3" x14ac:dyDescent="0.35">
      <c r="A59" s="53">
        <v>618.5</v>
      </c>
      <c r="B59" s="53">
        <f t="shared" si="0"/>
        <v>2.7913397039651393</v>
      </c>
      <c r="C59">
        <f t="shared" si="1"/>
        <v>3.9935042800824503</v>
      </c>
    </row>
    <row r="60" spans="1:3" x14ac:dyDescent="0.35">
      <c r="A60" s="53">
        <v>683.6</v>
      </c>
      <c r="B60" s="53">
        <f t="shared" si="0"/>
        <v>2.8348020540486991</v>
      </c>
      <c r="C60">
        <f t="shared" si="1"/>
        <v>4.0556848455057777</v>
      </c>
    </row>
    <row r="61" spans="1:3" x14ac:dyDescent="0.35">
      <c r="A61" s="53">
        <v>693.1</v>
      </c>
      <c r="B61" s="53">
        <f t="shared" si="0"/>
        <v>2.8407958988470936</v>
      </c>
      <c r="C61">
        <f t="shared" si="1"/>
        <v>4.0642600987515713</v>
      </c>
    </row>
    <row r="62" spans="1:3" x14ac:dyDescent="0.35">
      <c r="A62" s="53">
        <v>717.6</v>
      </c>
      <c r="B62" s="53">
        <f t="shared" si="0"/>
        <v>2.8558824300360355</v>
      </c>
      <c r="C62">
        <f t="shared" si="1"/>
        <v>4.0858440452662332</v>
      </c>
    </row>
    <row r="63" spans="1:3" x14ac:dyDescent="0.35">
      <c r="A63" s="53">
        <v>733.4</v>
      </c>
      <c r="B63" s="53">
        <f t="shared" si="0"/>
        <v>2.865340905624584</v>
      </c>
      <c r="C63">
        <f t="shared" si="1"/>
        <v>4.0993760645658783</v>
      </c>
    </row>
    <row r="64" spans="1:3" x14ac:dyDescent="0.35">
      <c r="A64" s="53">
        <v>742.6</v>
      </c>
      <c r="B64" s="53">
        <f t="shared" si="0"/>
        <v>2.8707549448901402</v>
      </c>
      <c r="C64">
        <f t="shared" si="1"/>
        <v>4.1071218036275985</v>
      </c>
    </row>
    <row r="65" spans="1:3" x14ac:dyDescent="0.35">
      <c r="A65" s="53">
        <v>743.7</v>
      </c>
      <c r="B65" s="53">
        <f t="shared" si="0"/>
        <v>2.871397781487484</v>
      </c>
      <c r="C65">
        <f t="shared" si="1"/>
        <v>4.1080414948780906</v>
      </c>
    </row>
    <row r="66" spans="1:3" x14ac:dyDescent="0.35">
      <c r="A66" s="53">
        <v>751.1</v>
      </c>
      <c r="B66" s="53">
        <f t="shared" si="0"/>
        <v>2.875697761980208</v>
      </c>
      <c r="C66">
        <f t="shared" si="1"/>
        <v>4.1141933761692036</v>
      </c>
    </row>
    <row r="67" spans="1:3" x14ac:dyDescent="0.35">
      <c r="A67" s="53">
        <v>751.4</v>
      </c>
      <c r="B67" s="53">
        <f t="shared" ref="B67:B130" si="2">LOG(A67)</f>
        <v>2.875871190727366</v>
      </c>
      <c r="C67">
        <f t="shared" ref="C67:C130" si="3">LOG(A67,5)</f>
        <v>4.1144414966122582</v>
      </c>
    </row>
    <row r="68" spans="1:3" x14ac:dyDescent="0.35">
      <c r="A68" s="53">
        <v>773.2</v>
      </c>
      <c r="B68" s="53">
        <f t="shared" si="2"/>
        <v>2.8882918453565156</v>
      </c>
      <c r="C68">
        <f t="shared" si="3"/>
        <v>4.1322114360261084</v>
      </c>
    </row>
    <row r="69" spans="1:3" x14ac:dyDescent="0.35">
      <c r="A69" s="53">
        <v>787.2</v>
      </c>
      <c r="B69" s="53">
        <f t="shared" si="2"/>
        <v>2.8960850854232851</v>
      </c>
      <c r="C69">
        <f t="shared" si="3"/>
        <v>4.1433610419010742</v>
      </c>
    </row>
    <row r="70" spans="1:3" x14ac:dyDescent="0.35">
      <c r="A70" s="53">
        <v>787.5</v>
      </c>
      <c r="B70" s="53">
        <f t="shared" si="2"/>
        <v>2.8962505624616379</v>
      </c>
      <c r="C70">
        <f t="shared" si="3"/>
        <v>4.1435977860207451</v>
      </c>
    </row>
    <row r="71" spans="1:3" x14ac:dyDescent="0.35">
      <c r="A71" s="53">
        <v>794.7</v>
      </c>
      <c r="B71" s="53">
        <f t="shared" si="2"/>
        <v>2.9002032130168933</v>
      </c>
      <c r="C71">
        <f t="shared" si="3"/>
        <v>4.1492527505124048</v>
      </c>
    </row>
    <row r="72" spans="1:3" x14ac:dyDescent="0.35">
      <c r="A72" s="53">
        <v>798.5</v>
      </c>
      <c r="B72" s="53">
        <f t="shared" si="2"/>
        <v>2.9022749204745018</v>
      </c>
      <c r="C72">
        <f t="shared" si="3"/>
        <v>4.1522166938071905</v>
      </c>
    </row>
    <row r="73" spans="1:3" x14ac:dyDescent="0.35">
      <c r="A73" s="53">
        <v>803.3</v>
      </c>
      <c r="B73" s="53">
        <f t="shared" si="2"/>
        <v>2.9048777669634047</v>
      </c>
      <c r="C73">
        <f t="shared" si="3"/>
        <v>4.1559405252631283</v>
      </c>
    </row>
    <row r="74" spans="1:3" x14ac:dyDescent="0.35">
      <c r="A74" s="53">
        <v>812.8</v>
      </c>
      <c r="B74" s="53">
        <f t="shared" si="2"/>
        <v>2.9099836949398439</v>
      </c>
      <c r="C74">
        <f t="shared" si="3"/>
        <v>4.1632454567262309</v>
      </c>
    </row>
    <row r="75" spans="1:3" x14ac:dyDescent="0.35">
      <c r="A75" s="53">
        <v>821.1</v>
      </c>
      <c r="B75" s="53">
        <f t="shared" si="2"/>
        <v>2.9143960521297863</v>
      </c>
      <c r="C75">
        <f t="shared" si="3"/>
        <v>4.1695581127237276</v>
      </c>
    </row>
    <row r="76" spans="1:3" x14ac:dyDescent="0.35">
      <c r="A76" s="53">
        <v>836.6</v>
      </c>
      <c r="B76" s="53">
        <f t="shared" si="2"/>
        <v>2.9225178602446116</v>
      </c>
      <c r="C76">
        <f t="shared" si="3"/>
        <v>4.1811777932027789</v>
      </c>
    </row>
    <row r="77" spans="1:3" x14ac:dyDescent="0.35">
      <c r="A77" s="53">
        <v>838.5</v>
      </c>
      <c r="B77" s="53">
        <f t="shared" si="2"/>
        <v>2.9235030669421045</v>
      </c>
      <c r="C77">
        <f t="shared" si="3"/>
        <v>4.1825873053297391</v>
      </c>
    </row>
    <row r="78" spans="1:3" x14ac:dyDescent="0.35">
      <c r="A78" s="53">
        <v>848.8</v>
      </c>
      <c r="B78" s="53">
        <f t="shared" si="2"/>
        <v>2.9288053708932842</v>
      </c>
      <c r="C78">
        <f t="shared" si="3"/>
        <v>4.1901731872964714</v>
      </c>
    </row>
    <row r="79" spans="1:3" x14ac:dyDescent="0.35">
      <c r="A79" s="53">
        <v>856.5</v>
      </c>
      <c r="B79" s="53">
        <f t="shared" si="2"/>
        <v>2.9327273673015295</v>
      </c>
      <c r="C79">
        <f t="shared" si="3"/>
        <v>4.1957842956185951</v>
      </c>
    </row>
    <row r="80" spans="1:3" x14ac:dyDescent="0.35">
      <c r="A80" s="53">
        <v>862.3</v>
      </c>
      <c r="B80" s="53">
        <f t="shared" si="2"/>
        <v>2.9356583861006342</v>
      </c>
      <c r="C80">
        <f t="shared" si="3"/>
        <v>4.1999776355057481</v>
      </c>
    </row>
    <row r="81" spans="1:3" x14ac:dyDescent="0.35">
      <c r="A81" s="53">
        <v>875</v>
      </c>
      <c r="B81" s="53">
        <f t="shared" si="2"/>
        <v>2.9420080530223132</v>
      </c>
      <c r="C81">
        <f t="shared" si="3"/>
        <v>4.2090619551221673</v>
      </c>
    </row>
    <row r="82" spans="1:3" x14ac:dyDescent="0.35">
      <c r="A82" s="53">
        <v>875.6</v>
      </c>
      <c r="B82" s="53">
        <f t="shared" si="2"/>
        <v>2.9423057528958942</v>
      </c>
      <c r="C82">
        <f t="shared" si="3"/>
        <v>4.2094878673526415</v>
      </c>
    </row>
    <row r="83" spans="1:3" x14ac:dyDescent="0.35">
      <c r="A83" s="53">
        <v>886.8</v>
      </c>
      <c r="B83" s="53">
        <f t="shared" si="2"/>
        <v>2.9478256844424506</v>
      </c>
      <c r="C83">
        <f t="shared" si="3"/>
        <v>4.2173851040184696</v>
      </c>
    </row>
    <row r="84" spans="1:3" x14ac:dyDescent="0.35">
      <c r="A84" s="53">
        <v>912.2</v>
      </c>
      <c r="B84" s="53">
        <f t="shared" si="2"/>
        <v>2.9600900679049196</v>
      </c>
      <c r="C84">
        <f t="shared" si="3"/>
        <v>4.2349314699374467</v>
      </c>
    </row>
    <row r="85" spans="1:3" x14ac:dyDescent="0.35">
      <c r="A85" s="53">
        <v>933.8</v>
      </c>
      <c r="B85" s="53">
        <f t="shared" si="2"/>
        <v>2.9702538695947869</v>
      </c>
      <c r="C85">
        <f t="shared" si="3"/>
        <v>4.2494725827560469</v>
      </c>
    </row>
    <row r="86" spans="1:3" x14ac:dyDescent="0.35">
      <c r="A86" s="53">
        <v>973.2</v>
      </c>
      <c r="B86" s="53">
        <f t="shared" si="2"/>
        <v>2.9882021002587811</v>
      </c>
      <c r="C86">
        <f t="shared" si="3"/>
        <v>4.2751506956259169</v>
      </c>
    </row>
    <row r="87" spans="1:3" x14ac:dyDescent="0.35">
      <c r="A87" s="53">
        <v>975.2</v>
      </c>
      <c r="B87" s="53">
        <f t="shared" si="2"/>
        <v>2.9890936926103255</v>
      </c>
      <c r="C87">
        <f t="shared" si="3"/>
        <v>4.2764262759026295</v>
      </c>
    </row>
    <row r="88" spans="1:3" x14ac:dyDescent="0.35">
      <c r="A88" s="53">
        <v>975.9</v>
      </c>
      <c r="B88" s="53">
        <f t="shared" si="2"/>
        <v>2.9894053180015159</v>
      </c>
      <c r="C88">
        <f t="shared" si="3"/>
        <v>4.2768721110447059</v>
      </c>
    </row>
    <row r="89" spans="1:3" x14ac:dyDescent="0.35">
      <c r="A89" s="53">
        <v>978.7</v>
      </c>
      <c r="B89" s="53">
        <f t="shared" si="2"/>
        <v>2.9906495883188544</v>
      </c>
      <c r="C89">
        <f t="shared" si="3"/>
        <v>4.278652259419629</v>
      </c>
    </row>
    <row r="90" spans="1:3" x14ac:dyDescent="0.35">
      <c r="A90" s="53">
        <v>979.6</v>
      </c>
      <c r="B90" s="53">
        <f t="shared" si="2"/>
        <v>2.9910487764526765</v>
      </c>
      <c r="C90">
        <f t="shared" si="3"/>
        <v>4.2792233685249492</v>
      </c>
    </row>
    <row r="91" spans="1:3" x14ac:dyDescent="0.35">
      <c r="A91" s="53">
        <v>990.1</v>
      </c>
      <c r="B91" s="53">
        <f t="shared" si="2"/>
        <v>2.9956790605116224</v>
      </c>
      <c r="C91">
        <f t="shared" si="3"/>
        <v>4.2858478073853039</v>
      </c>
    </row>
    <row r="92" spans="1:3" x14ac:dyDescent="0.35">
      <c r="A92" s="53">
        <v>991.2</v>
      </c>
      <c r="B92" s="53">
        <f t="shared" si="2"/>
        <v>2.9961612933680071</v>
      </c>
      <c r="C92">
        <f t="shared" si="3"/>
        <v>4.2865377266284659</v>
      </c>
    </row>
    <row r="93" spans="1:3" x14ac:dyDescent="0.35">
      <c r="A93" s="53">
        <v>995.4</v>
      </c>
      <c r="B93" s="53">
        <f t="shared" si="2"/>
        <v>2.9979976364080043</v>
      </c>
      <c r="C93">
        <f t="shared" si="3"/>
        <v>4.2891649395683711</v>
      </c>
    </row>
    <row r="94" spans="1:3" x14ac:dyDescent="0.35">
      <c r="A94" s="53">
        <v>1003.1</v>
      </c>
      <c r="B94" s="53">
        <f t="shared" si="2"/>
        <v>3.0013442304116014</v>
      </c>
      <c r="C94">
        <f t="shared" si="3"/>
        <v>4.2939528331587065</v>
      </c>
    </row>
    <row r="95" spans="1:3" x14ac:dyDescent="0.35">
      <c r="A95" s="53">
        <v>1014.2</v>
      </c>
      <c r="B95" s="53">
        <f t="shared" si="2"/>
        <v>3.0061236062118546</v>
      </c>
      <c r="C95">
        <f t="shared" si="3"/>
        <v>4.3007905740783521</v>
      </c>
    </row>
    <row r="96" spans="1:3" x14ac:dyDescent="0.35">
      <c r="A96" s="53">
        <v>1033.3</v>
      </c>
      <c r="B96" s="53">
        <f t="shared" si="2"/>
        <v>3.0142264293892294</v>
      </c>
      <c r="C96">
        <f t="shared" si="3"/>
        <v>4.3123830932524365</v>
      </c>
    </row>
    <row r="97" spans="1:3" x14ac:dyDescent="0.35">
      <c r="A97" s="53">
        <v>1040.9000000000001</v>
      </c>
      <c r="B97" s="53">
        <f t="shared" si="2"/>
        <v>3.0174090085362111</v>
      </c>
      <c r="C97">
        <f t="shared" si="3"/>
        <v>4.3169363346322358</v>
      </c>
    </row>
    <row r="98" spans="1:3" x14ac:dyDescent="0.35">
      <c r="A98" s="53">
        <v>1045.7</v>
      </c>
      <c r="B98" s="53">
        <f t="shared" si="2"/>
        <v>3.0194071080188833</v>
      </c>
      <c r="C98">
        <f t="shared" si="3"/>
        <v>4.3197949687227943</v>
      </c>
    </row>
    <row r="99" spans="1:3" x14ac:dyDescent="0.35">
      <c r="A99" s="53">
        <v>1068</v>
      </c>
      <c r="B99" s="53">
        <f t="shared" si="2"/>
        <v>3.0285712526925375</v>
      </c>
      <c r="C99">
        <f t="shared" si="3"/>
        <v>4.3329058956821846</v>
      </c>
    </row>
    <row r="100" spans="1:3" x14ac:dyDescent="0.35">
      <c r="A100" s="53">
        <v>1081.9000000000001</v>
      </c>
      <c r="B100" s="53">
        <f t="shared" si="2"/>
        <v>3.0341871207934528</v>
      </c>
      <c r="C100">
        <f t="shared" si="3"/>
        <v>4.3409403865273957</v>
      </c>
    </row>
    <row r="101" spans="1:3" x14ac:dyDescent="0.35">
      <c r="A101" s="53">
        <v>1087.8</v>
      </c>
      <c r="B101" s="53">
        <f t="shared" si="2"/>
        <v>3.0365490544791522</v>
      </c>
      <c r="C101">
        <f t="shared" si="3"/>
        <v>4.3443195496832496</v>
      </c>
    </row>
    <row r="102" spans="1:3" x14ac:dyDescent="0.35">
      <c r="A102" s="53">
        <v>1088.9000000000001</v>
      </c>
      <c r="B102" s="53">
        <f t="shared" si="2"/>
        <v>3.0369879978069059</v>
      </c>
      <c r="C102">
        <f t="shared" si="3"/>
        <v>4.3449475356125902</v>
      </c>
    </row>
    <row r="103" spans="1:3" x14ac:dyDescent="0.35">
      <c r="A103" s="53">
        <v>1099.0999999999999</v>
      </c>
      <c r="B103" s="53">
        <f t="shared" si="2"/>
        <v>3.0410372078670282</v>
      </c>
      <c r="C103">
        <f t="shared" si="3"/>
        <v>4.350740645524322</v>
      </c>
    </row>
    <row r="104" spans="1:3" x14ac:dyDescent="0.35">
      <c r="A104" s="53">
        <v>1108.4000000000001</v>
      </c>
      <c r="B104" s="53">
        <f t="shared" si="2"/>
        <v>3.0446965171101943</v>
      </c>
      <c r="C104">
        <f t="shared" si="3"/>
        <v>4.3559759334772608</v>
      </c>
    </row>
    <row r="105" spans="1:3" x14ac:dyDescent="0.35">
      <c r="A105" s="53">
        <v>1110.5999999999999</v>
      </c>
      <c r="B105" s="53">
        <f t="shared" si="2"/>
        <v>3.0455576691365476</v>
      </c>
      <c r="C105">
        <f t="shared" si="3"/>
        <v>4.3572079634943019</v>
      </c>
    </row>
    <row r="106" spans="1:3" x14ac:dyDescent="0.35">
      <c r="A106" s="53">
        <v>1127.3</v>
      </c>
      <c r="B106" s="53">
        <f t="shared" si="2"/>
        <v>3.0520395070014721</v>
      </c>
      <c r="C106">
        <f t="shared" si="3"/>
        <v>4.3664813769808815</v>
      </c>
    </row>
    <row r="107" spans="1:3" x14ac:dyDescent="0.35">
      <c r="A107" s="53">
        <v>1130.3</v>
      </c>
      <c r="B107" s="53">
        <f t="shared" si="2"/>
        <v>3.0531937276008696</v>
      </c>
      <c r="C107">
        <f t="shared" si="3"/>
        <v>4.3681326933352853</v>
      </c>
    </row>
    <row r="108" spans="1:3" x14ac:dyDescent="0.35">
      <c r="A108" s="53">
        <v>1133.8</v>
      </c>
      <c r="B108" s="53">
        <f t="shared" si="2"/>
        <v>3.0545364526549514</v>
      </c>
      <c r="C108">
        <f t="shared" si="3"/>
        <v>4.3700536985940976</v>
      </c>
    </row>
    <row r="109" spans="1:3" x14ac:dyDescent="0.35">
      <c r="A109" s="53">
        <v>1153.5</v>
      </c>
      <c r="B109" s="53">
        <f t="shared" si="2"/>
        <v>3.0620175988571123</v>
      </c>
      <c r="C109">
        <f t="shared" si="3"/>
        <v>4.3807567990930494</v>
      </c>
    </row>
    <row r="110" spans="1:3" x14ac:dyDescent="0.35">
      <c r="A110" s="53">
        <v>1167.3</v>
      </c>
      <c r="B110" s="53">
        <f t="shared" si="2"/>
        <v>3.0671824855234049</v>
      </c>
      <c r="C110">
        <f t="shared" si="3"/>
        <v>4.3881460813716195</v>
      </c>
    </row>
    <row r="111" spans="1:3" x14ac:dyDescent="0.35">
      <c r="A111" s="53">
        <v>1170.9000000000001</v>
      </c>
      <c r="B111" s="53">
        <f t="shared" si="2"/>
        <v>3.0685198060009111</v>
      </c>
      <c r="C111">
        <f t="shared" si="3"/>
        <v>4.39005935442942</v>
      </c>
    </row>
    <row r="112" spans="1:3" x14ac:dyDescent="0.35">
      <c r="A112" s="53">
        <v>1184.9000000000001</v>
      </c>
      <c r="B112" s="53">
        <f t="shared" si="2"/>
        <v>3.0736816994762832</v>
      </c>
      <c r="C112">
        <f t="shared" si="3"/>
        <v>4.3974443544199069</v>
      </c>
    </row>
    <row r="113" spans="1:3" x14ac:dyDescent="0.35">
      <c r="A113" s="53">
        <v>1185.4000000000001</v>
      </c>
      <c r="B113" s="53">
        <f t="shared" si="2"/>
        <v>3.0738649229029993</v>
      </c>
      <c r="C113">
        <f t="shared" si="3"/>
        <v>4.3977064878813987</v>
      </c>
    </row>
    <row r="114" spans="1:3" x14ac:dyDescent="0.35">
      <c r="A114" s="53">
        <v>1187.9000000000001</v>
      </c>
      <c r="B114" s="53">
        <f t="shared" si="2"/>
        <v>3.0747798823319328</v>
      </c>
      <c r="C114">
        <f t="shared" si="3"/>
        <v>4.3990154988879624</v>
      </c>
    </row>
    <row r="115" spans="1:3" x14ac:dyDescent="0.35">
      <c r="A115" s="53">
        <v>1231.8</v>
      </c>
      <c r="B115" s="53">
        <f t="shared" si="2"/>
        <v>3.0905401997542357</v>
      </c>
      <c r="C115">
        <f t="shared" si="3"/>
        <v>4.4215634155718462</v>
      </c>
    </row>
    <row r="116" spans="1:3" x14ac:dyDescent="0.35">
      <c r="A116" s="53">
        <v>1241.4000000000001</v>
      </c>
      <c r="B116" s="53">
        <f t="shared" si="2"/>
        <v>3.0939117410493782</v>
      </c>
      <c r="C116">
        <f t="shared" si="3"/>
        <v>4.4263870006673836</v>
      </c>
    </row>
    <row r="117" spans="1:3" x14ac:dyDescent="0.35">
      <c r="A117" s="53">
        <v>1243.9000000000001</v>
      </c>
      <c r="B117" s="53">
        <f t="shared" si="2"/>
        <v>3.0947854678195585</v>
      </c>
      <c r="C117">
        <f t="shared" si="3"/>
        <v>4.4276370210756415</v>
      </c>
    </row>
    <row r="118" spans="1:3" x14ac:dyDescent="0.35">
      <c r="A118" s="53">
        <v>1274.0999999999999</v>
      </c>
      <c r="B118" s="53">
        <f t="shared" si="2"/>
        <v>3.1052035157103419</v>
      </c>
      <c r="C118">
        <f t="shared" si="3"/>
        <v>4.4425418779738717</v>
      </c>
    </row>
    <row r="119" spans="1:3" x14ac:dyDescent="0.35">
      <c r="A119" s="53">
        <v>1287.2</v>
      </c>
      <c r="B119" s="53">
        <f t="shared" si="2"/>
        <v>3.109646031090973</v>
      </c>
      <c r="C119">
        <f t="shared" si="3"/>
        <v>4.4488976805878213</v>
      </c>
    </row>
    <row r="120" spans="1:3" x14ac:dyDescent="0.35">
      <c r="A120" s="53">
        <v>1311</v>
      </c>
      <c r="B120" s="53">
        <f t="shared" si="2"/>
        <v>3.1176026916900841</v>
      </c>
      <c r="C120">
        <f t="shared" si="3"/>
        <v>4.4602810883875152</v>
      </c>
    </row>
    <row r="121" spans="1:3" x14ac:dyDescent="0.35">
      <c r="A121" s="53">
        <v>1330.1</v>
      </c>
      <c r="B121" s="53">
        <f t="shared" si="2"/>
        <v>3.1238842934600077</v>
      </c>
      <c r="C121">
        <f t="shared" si="3"/>
        <v>4.4692680287868969</v>
      </c>
    </row>
    <row r="122" spans="1:3" x14ac:dyDescent="0.35">
      <c r="A122" s="53">
        <v>1331.2</v>
      </c>
      <c r="B122" s="53">
        <f t="shared" si="2"/>
        <v>3.1242433089466486</v>
      </c>
      <c r="C122">
        <f t="shared" si="3"/>
        <v>4.4697816638276198</v>
      </c>
    </row>
    <row r="123" spans="1:3" x14ac:dyDescent="0.35">
      <c r="A123" s="53">
        <v>1339</v>
      </c>
      <c r="B123" s="53">
        <f t="shared" si="2"/>
        <v>3.126780577012009</v>
      </c>
      <c r="C123">
        <f t="shared" si="3"/>
        <v>4.4734116737702792</v>
      </c>
    </row>
    <row r="124" spans="1:3" x14ac:dyDescent="0.35">
      <c r="A124" s="53">
        <v>1348</v>
      </c>
      <c r="B124" s="53">
        <f t="shared" si="2"/>
        <v>3.129689892199301</v>
      </c>
      <c r="C124">
        <f t="shared" si="3"/>
        <v>4.4775739628087852</v>
      </c>
    </row>
    <row r="125" spans="1:3" x14ac:dyDescent="0.35">
      <c r="A125" s="53">
        <v>1364.5</v>
      </c>
      <c r="B125" s="53">
        <f t="shared" si="2"/>
        <v>3.1349735400059155</v>
      </c>
      <c r="C125">
        <f t="shared" si="3"/>
        <v>4.4851331538668235</v>
      </c>
    </row>
    <row r="126" spans="1:3" x14ac:dyDescent="0.35">
      <c r="A126" s="53">
        <v>1365.9</v>
      </c>
      <c r="B126" s="53">
        <f t="shared" si="2"/>
        <v>3.1354189050278523</v>
      </c>
      <c r="C126">
        <f t="shared" si="3"/>
        <v>4.485770327163495</v>
      </c>
    </row>
    <row r="127" spans="1:3" x14ac:dyDescent="0.35">
      <c r="A127" s="53">
        <v>1377.2</v>
      </c>
      <c r="B127" s="53">
        <f t="shared" si="2"/>
        <v>3.1389970140326358</v>
      </c>
      <c r="C127">
        <f t="shared" si="3"/>
        <v>4.4908894438388698</v>
      </c>
    </row>
    <row r="128" spans="1:3" x14ac:dyDescent="0.35">
      <c r="A128" s="53">
        <v>1381.8</v>
      </c>
      <c r="B128" s="53">
        <f t="shared" si="2"/>
        <v>3.1404451883478748</v>
      </c>
      <c r="C128">
        <f t="shared" si="3"/>
        <v>4.4929613128836863</v>
      </c>
    </row>
    <row r="129" spans="1:3" x14ac:dyDescent="0.35">
      <c r="A129" s="53">
        <v>1397.4</v>
      </c>
      <c r="B129" s="53">
        <f t="shared" si="2"/>
        <v>3.1453207389183242</v>
      </c>
      <c r="C129">
        <f t="shared" si="3"/>
        <v>4.4999366487925299</v>
      </c>
    </row>
    <row r="130" spans="1:3" x14ac:dyDescent="0.35">
      <c r="A130" s="53">
        <v>1432.1</v>
      </c>
      <c r="B130" s="53">
        <f t="shared" si="2"/>
        <v>3.1559733447399019</v>
      </c>
      <c r="C130">
        <f t="shared" si="3"/>
        <v>4.5151770822238575</v>
      </c>
    </row>
    <row r="131" spans="1:3" x14ac:dyDescent="0.35">
      <c r="A131" s="53">
        <v>1447.7</v>
      </c>
      <c r="B131" s="53">
        <f t="shared" ref="B131:B194" si="4">LOG(A131)</f>
        <v>3.1606785744003849</v>
      </c>
      <c r="C131">
        <f t="shared" ref="C131:C194" si="5">LOG(A131,5)</f>
        <v>4.5219087439994619</v>
      </c>
    </row>
    <row r="132" spans="1:3" x14ac:dyDescent="0.35">
      <c r="A132" s="53">
        <v>1468.1</v>
      </c>
      <c r="B132" s="53">
        <f t="shared" si="4"/>
        <v>3.1667556386652378</v>
      </c>
      <c r="C132">
        <f t="shared" si="5"/>
        <v>4.5306030573850915</v>
      </c>
    </row>
    <row r="133" spans="1:3" x14ac:dyDescent="0.35">
      <c r="A133" s="53">
        <v>1491.8</v>
      </c>
      <c r="B133" s="53">
        <f t="shared" si="4"/>
        <v>3.1737106028159108</v>
      </c>
      <c r="C133">
        <f t="shared" si="5"/>
        <v>4.5405533615577012</v>
      </c>
    </row>
    <row r="134" spans="1:3" x14ac:dyDescent="0.35">
      <c r="A134" s="53">
        <v>1556.5</v>
      </c>
      <c r="B134" s="53">
        <f t="shared" si="4"/>
        <v>3.1921491250185339</v>
      </c>
      <c r="C134">
        <f t="shared" si="5"/>
        <v>4.5669329230385101</v>
      </c>
    </row>
    <row r="135" spans="1:3" x14ac:dyDescent="0.35">
      <c r="A135" s="53">
        <v>1563</v>
      </c>
      <c r="B135" s="53">
        <f t="shared" si="4"/>
        <v>3.1939589780191868</v>
      </c>
      <c r="C135">
        <f t="shared" si="5"/>
        <v>4.5695222373001032</v>
      </c>
    </row>
    <row r="136" spans="1:3" x14ac:dyDescent="0.35">
      <c r="A136" s="53">
        <v>1563.4</v>
      </c>
      <c r="B136" s="53">
        <f t="shared" si="4"/>
        <v>3.1940701076210991</v>
      </c>
      <c r="C136">
        <f t="shared" si="5"/>
        <v>4.5696812278164662</v>
      </c>
    </row>
    <row r="137" spans="1:3" x14ac:dyDescent="0.35">
      <c r="A137" s="53">
        <v>1566.6</v>
      </c>
      <c r="B137" s="53">
        <f t="shared" si="4"/>
        <v>3.1949581222065881</v>
      </c>
      <c r="C137">
        <f t="shared" si="5"/>
        <v>4.5709516894671527</v>
      </c>
    </row>
    <row r="138" spans="1:3" x14ac:dyDescent="0.35">
      <c r="A138" s="53">
        <v>1571.9</v>
      </c>
      <c r="B138" s="53">
        <f t="shared" si="4"/>
        <v>3.1964249139491954</v>
      </c>
      <c r="C138">
        <f t="shared" si="5"/>
        <v>4.5730501940288768</v>
      </c>
    </row>
    <row r="139" spans="1:3" x14ac:dyDescent="0.35">
      <c r="A139" s="53">
        <v>1574.7</v>
      </c>
      <c r="B139" s="53">
        <f t="shared" si="4"/>
        <v>3.1971978274878032</v>
      </c>
      <c r="C139">
        <f t="shared" si="5"/>
        <v>4.5741559833099803</v>
      </c>
    </row>
    <row r="140" spans="1:3" x14ac:dyDescent="0.35">
      <c r="A140" s="53">
        <v>1611.6</v>
      </c>
      <c r="B140" s="53">
        <f t="shared" si="4"/>
        <v>3.2072572587163402</v>
      </c>
      <c r="C140">
        <f t="shared" si="5"/>
        <v>4.5885477757561999</v>
      </c>
    </row>
    <row r="141" spans="1:3" x14ac:dyDescent="0.35">
      <c r="A141" s="53">
        <v>1631.8</v>
      </c>
      <c r="B141" s="53">
        <f t="shared" si="4"/>
        <v>3.2126669287934235</v>
      </c>
      <c r="C141">
        <f t="shared" si="5"/>
        <v>4.5962872639223935</v>
      </c>
    </row>
    <row r="142" spans="1:3" x14ac:dyDescent="0.35">
      <c r="A142" s="53">
        <v>1654.8</v>
      </c>
      <c r="B142" s="53">
        <f t="shared" si="4"/>
        <v>3.2187455122234745</v>
      </c>
      <c r="C142">
        <f t="shared" si="5"/>
        <v>4.6049837507420612</v>
      </c>
    </row>
    <row r="143" spans="1:3" x14ac:dyDescent="0.35">
      <c r="A143" s="53">
        <v>1662.2</v>
      </c>
      <c r="B143" s="53">
        <f t="shared" si="4"/>
        <v>3.2206832779743455</v>
      </c>
      <c r="C143">
        <f t="shared" si="5"/>
        <v>4.6077560667768696</v>
      </c>
    </row>
    <row r="144" spans="1:3" x14ac:dyDescent="0.35">
      <c r="A144" s="53">
        <v>1735.2</v>
      </c>
      <c r="B144" s="53">
        <f t="shared" si="4"/>
        <v>3.2393495390061369</v>
      </c>
      <c r="C144">
        <f t="shared" si="5"/>
        <v>4.6344614488619325</v>
      </c>
    </row>
    <row r="145" spans="1:3" x14ac:dyDescent="0.35">
      <c r="A145" s="53">
        <v>1764.3</v>
      </c>
      <c r="B145" s="53">
        <f t="shared" si="4"/>
        <v>3.2465724341216999</v>
      </c>
      <c r="C145">
        <f t="shared" si="5"/>
        <v>4.6447950755851917</v>
      </c>
    </row>
    <row r="146" spans="1:3" x14ac:dyDescent="0.35">
      <c r="A146" s="53">
        <v>1780.5</v>
      </c>
      <c r="B146" s="53">
        <f t="shared" si="4"/>
        <v>3.2505419780102724</v>
      </c>
      <c r="C146">
        <f t="shared" si="5"/>
        <v>4.6504742089728159</v>
      </c>
    </row>
    <row r="147" spans="1:3" x14ac:dyDescent="0.35">
      <c r="A147" s="53">
        <v>1805.1</v>
      </c>
      <c r="B147" s="53">
        <f t="shared" si="4"/>
        <v>3.2565012662113184</v>
      </c>
      <c r="C147">
        <f t="shared" si="5"/>
        <v>4.6590000229048556</v>
      </c>
    </row>
    <row r="148" spans="1:3" x14ac:dyDescent="0.35">
      <c r="A148" s="53">
        <v>1822.2</v>
      </c>
      <c r="B148" s="53">
        <f t="shared" si="4"/>
        <v>3.2605960423019087</v>
      </c>
      <c r="C148">
        <f t="shared" si="5"/>
        <v>4.6648583230682226</v>
      </c>
    </row>
    <row r="149" spans="1:3" x14ac:dyDescent="0.35">
      <c r="A149" s="53">
        <v>1841.3</v>
      </c>
      <c r="B149" s="53">
        <f t="shared" si="4"/>
        <v>3.2651245531591808</v>
      </c>
      <c r="C149">
        <f t="shared" si="5"/>
        <v>4.6713371573947029</v>
      </c>
    </row>
    <row r="150" spans="1:3" x14ac:dyDescent="0.35">
      <c r="A150" s="53">
        <v>1843.5</v>
      </c>
      <c r="B150" s="53">
        <f t="shared" si="4"/>
        <v>3.2656431419421352</v>
      </c>
      <c r="C150">
        <f t="shared" si="5"/>
        <v>4.6720790902097553</v>
      </c>
    </row>
    <row r="151" spans="1:3" x14ac:dyDescent="0.35">
      <c r="A151" s="53">
        <v>1885.3</v>
      </c>
      <c r="B151" s="53">
        <f t="shared" si="4"/>
        <v>3.2753804675274338</v>
      </c>
      <c r="C151">
        <f t="shared" si="5"/>
        <v>4.6860100536629705</v>
      </c>
    </row>
    <row r="152" spans="1:3" x14ac:dyDescent="0.35">
      <c r="A152" s="53">
        <v>1887.8</v>
      </c>
      <c r="B152" s="53">
        <f t="shared" si="4"/>
        <v>3.2759559817537438</v>
      </c>
      <c r="C152">
        <f t="shared" si="5"/>
        <v>4.6868334283753894</v>
      </c>
    </row>
    <row r="153" spans="1:3" x14ac:dyDescent="0.35">
      <c r="A153" s="53">
        <v>1922.1</v>
      </c>
      <c r="B153" s="53">
        <f t="shared" si="4"/>
        <v>3.2837759787115228</v>
      </c>
      <c r="C153">
        <f t="shared" si="5"/>
        <v>4.6980213147070895</v>
      </c>
    </row>
    <row r="154" spans="1:3" x14ac:dyDescent="0.35">
      <c r="A154" s="53">
        <v>1990.7</v>
      </c>
      <c r="B154" s="53">
        <f t="shared" si="4"/>
        <v>3.2990058164506371</v>
      </c>
      <c r="C154">
        <f t="shared" si="5"/>
        <v>4.7198102865437015</v>
      </c>
    </row>
    <row r="155" spans="1:3" x14ac:dyDescent="0.35">
      <c r="A155" s="53">
        <v>2011.7</v>
      </c>
      <c r="B155" s="53">
        <f t="shared" si="4"/>
        <v>3.3035632159172486</v>
      </c>
      <c r="C155">
        <f t="shared" si="5"/>
        <v>4.7263304511263584</v>
      </c>
    </row>
    <row r="156" spans="1:3" x14ac:dyDescent="0.35">
      <c r="A156" s="53">
        <v>2022.2</v>
      </c>
      <c r="B156" s="53">
        <f t="shared" si="4"/>
        <v>3.3058241060526932</v>
      </c>
      <c r="C156">
        <f t="shared" si="5"/>
        <v>4.729565053643519</v>
      </c>
    </row>
    <row r="157" spans="1:3" x14ac:dyDescent="0.35">
      <c r="A157" s="53">
        <v>2035.7</v>
      </c>
      <c r="B157" s="53">
        <f t="shared" si="4"/>
        <v>3.3087137766390038</v>
      </c>
      <c r="C157">
        <f t="shared" si="5"/>
        <v>4.7336992376119076</v>
      </c>
    </row>
    <row r="158" spans="1:3" x14ac:dyDescent="0.35">
      <c r="A158" s="53">
        <v>2067.1999999999998</v>
      </c>
      <c r="B158" s="53">
        <f t="shared" si="4"/>
        <v>3.31538249631499</v>
      </c>
      <c r="C158">
        <f t="shared" si="5"/>
        <v>4.7432400185247037</v>
      </c>
    </row>
    <row r="159" spans="1:3" x14ac:dyDescent="0.35">
      <c r="A159" s="53">
        <v>2068.9</v>
      </c>
      <c r="B159" s="53">
        <f t="shared" si="4"/>
        <v>3.3157394996083389</v>
      </c>
      <c r="C159">
        <f t="shared" si="5"/>
        <v>4.7437507747676531</v>
      </c>
    </row>
    <row r="160" spans="1:3" x14ac:dyDescent="0.35">
      <c r="A160" s="53">
        <v>2086.9</v>
      </c>
      <c r="B160" s="53">
        <f t="shared" si="4"/>
        <v>3.3195016390564942</v>
      </c>
      <c r="C160">
        <f t="shared" si="5"/>
        <v>4.7491331794843319</v>
      </c>
    </row>
    <row r="161" spans="1:3" x14ac:dyDescent="0.35">
      <c r="A161" s="53">
        <v>2094.5</v>
      </c>
      <c r="B161" s="53">
        <f t="shared" si="4"/>
        <v>3.3210803646972384</v>
      </c>
      <c r="C161">
        <f t="shared" si="5"/>
        <v>4.7513918252501739</v>
      </c>
    </row>
    <row r="162" spans="1:3" x14ac:dyDescent="0.35">
      <c r="A162" s="53">
        <v>2102.4</v>
      </c>
      <c r="B162" s="53">
        <f t="shared" si="4"/>
        <v>3.3227153478796869</v>
      </c>
      <c r="C162">
        <f t="shared" si="5"/>
        <v>4.7537309573621469</v>
      </c>
    </row>
    <row r="163" spans="1:3" x14ac:dyDescent="0.35">
      <c r="A163" s="53">
        <v>2115.4</v>
      </c>
      <c r="B163" s="53">
        <f t="shared" si="4"/>
        <v>3.3253925000172635</v>
      </c>
      <c r="C163">
        <f t="shared" si="5"/>
        <v>4.7575610961677741</v>
      </c>
    </row>
    <row r="164" spans="1:3" x14ac:dyDescent="0.35">
      <c r="A164" s="53">
        <v>2121.3000000000002</v>
      </c>
      <c r="B164" s="53">
        <f t="shared" si="4"/>
        <v>3.3266020919636485</v>
      </c>
      <c r="C164">
        <f t="shared" si="5"/>
        <v>4.7592916310103019</v>
      </c>
    </row>
    <row r="165" spans="1:3" x14ac:dyDescent="0.35">
      <c r="A165" s="53">
        <v>2142.9</v>
      </c>
      <c r="B165" s="53">
        <f t="shared" si="4"/>
        <v>3.3310019048442046</v>
      </c>
      <c r="C165">
        <f t="shared" si="5"/>
        <v>4.7655863401584231</v>
      </c>
    </row>
    <row r="166" spans="1:3" x14ac:dyDescent="0.35">
      <c r="A166" s="53">
        <v>2148.1999999999998</v>
      </c>
      <c r="B166" s="53">
        <f t="shared" si="4"/>
        <v>3.3320747122476861</v>
      </c>
      <c r="C166">
        <f t="shared" si="5"/>
        <v>4.7671211805619116</v>
      </c>
    </row>
    <row r="167" spans="1:3" x14ac:dyDescent="0.35">
      <c r="A167" s="53">
        <v>2236.1</v>
      </c>
      <c r="B167" s="53">
        <f t="shared" si="4"/>
        <v>3.3494912216102164</v>
      </c>
      <c r="C167">
        <f t="shared" si="5"/>
        <v>4.7920385722303491</v>
      </c>
    </row>
    <row r="168" spans="1:3" x14ac:dyDescent="0.35">
      <c r="A168" s="53">
        <v>2307.9</v>
      </c>
      <c r="B168" s="53">
        <f t="shared" si="4"/>
        <v>3.36321698715741</v>
      </c>
      <c r="C168">
        <f t="shared" si="5"/>
        <v>4.8116757032403301</v>
      </c>
    </row>
    <row r="169" spans="1:3" x14ac:dyDescent="0.35">
      <c r="A169" s="53">
        <v>2330</v>
      </c>
      <c r="B169" s="53">
        <f t="shared" si="4"/>
        <v>3.3673559210260189</v>
      </c>
      <c r="C169">
        <f t="shared" si="5"/>
        <v>4.8175971789015657</v>
      </c>
    </row>
    <row r="170" spans="1:3" x14ac:dyDescent="0.35">
      <c r="A170" s="53">
        <v>2331.4</v>
      </c>
      <c r="B170" s="53">
        <f t="shared" si="4"/>
        <v>3.3676167921346756</v>
      </c>
      <c r="C170">
        <f t="shared" si="5"/>
        <v>4.8179704010813991</v>
      </c>
    </row>
    <row r="171" spans="1:3" x14ac:dyDescent="0.35">
      <c r="A171" s="53">
        <v>2334.6</v>
      </c>
      <c r="B171" s="53">
        <f t="shared" si="4"/>
        <v>3.3682124811873861</v>
      </c>
      <c r="C171">
        <f t="shared" si="5"/>
        <v>4.8188226394450124</v>
      </c>
    </row>
    <row r="172" spans="1:3" x14ac:dyDescent="0.35">
      <c r="A172" s="53">
        <v>2388.4</v>
      </c>
      <c r="B172" s="53">
        <f t="shared" si="4"/>
        <v>3.3781070625097422</v>
      </c>
      <c r="C172">
        <f t="shared" si="5"/>
        <v>4.8329785849948586</v>
      </c>
    </row>
    <row r="173" spans="1:3" x14ac:dyDescent="0.35">
      <c r="A173" s="53">
        <v>2418.6999999999998</v>
      </c>
      <c r="B173" s="53">
        <f t="shared" si="4"/>
        <v>3.3835820046064842</v>
      </c>
      <c r="C173">
        <f t="shared" si="5"/>
        <v>4.8408114563094768</v>
      </c>
    </row>
    <row r="174" spans="1:3" x14ac:dyDescent="0.35">
      <c r="A174" s="53">
        <v>2428.3000000000002</v>
      </c>
      <c r="B174" s="53">
        <f t="shared" si="4"/>
        <v>3.3853023398563167</v>
      </c>
      <c r="C174">
        <f t="shared" si="5"/>
        <v>4.8432726996234399</v>
      </c>
    </row>
    <row r="175" spans="1:3" x14ac:dyDescent="0.35">
      <c r="A175" s="53">
        <v>2435</v>
      </c>
      <c r="B175" s="53">
        <f t="shared" si="4"/>
        <v>3.3864989655506532</v>
      </c>
      <c r="C175">
        <f t="shared" si="5"/>
        <v>4.8449846839531148</v>
      </c>
    </row>
    <row r="176" spans="1:3" x14ac:dyDescent="0.35">
      <c r="A176" s="53">
        <v>2462</v>
      </c>
      <c r="B176" s="53">
        <f t="shared" si="4"/>
        <v>3.3912880485952974</v>
      </c>
      <c r="C176">
        <f t="shared" si="5"/>
        <v>4.8518363127997546</v>
      </c>
    </row>
    <row r="177" spans="1:3" x14ac:dyDescent="0.35">
      <c r="A177" s="53">
        <v>2494.6</v>
      </c>
      <c r="B177" s="53">
        <f t="shared" si="4"/>
        <v>3.3970009180076959</v>
      </c>
      <c r="C177">
        <f t="shared" si="5"/>
        <v>4.8600095811474073</v>
      </c>
    </row>
    <row r="178" spans="1:3" x14ac:dyDescent="0.35">
      <c r="A178" s="53">
        <v>2519.8000000000002</v>
      </c>
      <c r="B178" s="53">
        <f t="shared" si="4"/>
        <v>3.401366071597677</v>
      </c>
      <c r="C178">
        <f t="shared" si="5"/>
        <v>4.8662547040609834</v>
      </c>
    </row>
    <row r="179" spans="1:3" x14ac:dyDescent="0.35">
      <c r="A179" s="53">
        <v>2527.6999999999998</v>
      </c>
      <c r="B179" s="53">
        <f t="shared" si="4"/>
        <v>3.4027255284410836</v>
      </c>
      <c r="C179">
        <f t="shared" si="5"/>
        <v>4.8681996470985567</v>
      </c>
    </row>
    <row r="180" spans="1:3" x14ac:dyDescent="0.35">
      <c r="A180" s="53">
        <v>2529.6999999999998</v>
      </c>
      <c r="B180" s="53">
        <f t="shared" si="4"/>
        <v>3.403069020752977</v>
      </c>
      <c r="C180">
        <f t="shared" si="5"/>
        <v>4.8686910734970619</v>
      </c>
    </row>
    <row r="181" spans="1:3" x14ac:dyDescent="0.35">
      <c r="A181" s="53">
        <v>2538.5</v>
      </c>
      <c r="B181" s="53">
        <f t="shared" si="4"/>
        <v>3.4045771677406238</v>
      </c>
      <c r="C181">
        <f t="shared" si="5"/>
        <v>4.8708487440384172</v>
      </c>
    </row>
    <row r="182" spans="1:3" x14ac:dyDescent="0.35">
      <c r="A182" s="53">
        <v>2577.5</v>
      </c>
      <c r="B182" s="53">
        <f t="shared" si="4"/>
        <v>3.4111986739555542</v>
      </c>
      <c r="C182">
        <f t="shared" si="5"/>
        <v>4.8803219777592552</v>
      </c>
    </row>
    <row r="183" spans="1:3" x14ac:dyDescent="0.35">
      <c r="A183" s="53">
        <v>2606.1</v>
      </c>
      <c r="B183" s="53">
        <f t="shared" si="4"/>
        <v>3.4159910762326491</v>
      </c>
      <c r="C183">
        <f t="shared" si="5"/>
        <v>4.8871783553539521</v>
      </c>
    </row>
    <row r="184" spans="1:3" x14ac:dyDescent="0.35">
      <c r="A184" s="53">
        <v>2630.3</v>
      </c>
      <c r="B184" s="53">
        <f t="shared" si="4"/>
        <v>3.4200052849590512</v>
      </c>
      <c r="C184">
        <f t="shared" si="5"/>
        <v>4.8929213896780297</v>
      </c>
    </row>
    <row r="185" spans="1:3" x14ac:dyDescent="0.35">
      <c r="A185" s="53">
        <v>2652.8</v>
      </c>
      <c r="B185" s="53">
        <f t="shared" si="4"/>
        <v>3.4237045088701796</v>
      </c>
      <c r="C185">
        <f t="shared" si="5"/>
        <v>4.8982137826107452</v>
      </c>
    </row>
    <row r="186" spans="1:3" x14ac:dyDescent="0.35">
      <c r="A186" s="53">
        <v>2699.9</v>
      </c>
      <c r="B186" s="53">
        <f t="shared" si="4"/>
        <v>3.4313476788802988</v>
      </c>
      <c r="C186">
        <f t="shared" si="5"/>
        <v>4.9091486867735927</v>
      </c>
    </row>
    <row r="187" spans="1:3" x14ac:dyDescent="0.35">
      <c r="A187" s="53">
        <v>2727</v>
      </c>
      <c r="B187" s="53">
        <f t="shared" si="4"/>
        <v>3.43568513794163</v>
      </c>
      <c r="C187">
        <f t="shared" si="5"/>
        <v>4.9153541877742422</v>
      </c>
    </row>
    <row r="188" spans="1:3" x14ac:dyDescent="0.35">
      <c r="A188" s="53">
        <v>2739.6</v>
      </c>
      <c r="B188" s="53">
        <f t="shared" si="4"/>
        <v>3.43768715753786</v>
      </c>
      <c r="C188">
        <f t="shared" si="5"/>
        <v>4.9182184302793717</v>
      </c>
    </row>
    <row r="189" spans="1:3" x14ac:dyDescent="0.35">
      <c r="A189" s="53">
        <v>2749.4</v>
      </c>
      <c r="B189" s="53">
        <f t="shared" si="4"/>
        <v>3.4392379283321444</v>
      </c>
      <c r="C189">
        <f t="shared" si="5"/>
        <v>4.9204370817016994</v>
      </c>
    </row>
    <row r="190" spans="1:3" x14ac:dyDescent="0.35">
      <c r="A190" s="53">
        <v>2825.9</v>
      </c>
      <c r="B190" s="53">
        <f t="shared" si="4"/>
        <v>3.4511567894245712</v>
      </c>
      <c r="C190">
        <f t="shared" si="5"/>
        <v>4.9374891168655681</v>
      </c>
    </row>
    <row r="191" spans="1:3" x14ac:dyDescent="0.35">
      <c r="A191" s="53">
        <v>2831.4</v>
      </c>
      <c r="B191" s="53">
        <f t="shared" si="4"/>
        <v>3.4520012277265928</v>
      </c>
      <c r="C191">
        <f t="shared" si="5"/>
        <v>4.9386972349490099</v>
      </c>
    </row>
    <row r="192" spans="1:3" x14ac:dyDescent="0.35">
      <c r="A192" s="53">
        <v>2848.7</v>
      </c>
      <c r="B192" s="53">
        <f t="shared" si="4"/>
        <v>3.454646715576879</v>
      </c>
      <c r="C192">
        <f t="shared" si="5"/>
        <v>4.9424820724010816</v>
      </c>
    </row>
    <row r="193" spans="1:3" x14ac:dyDescent="0.35">
      <c r="A193" s="53">
        <v>2877.9</v>
      </c>
      <c r="B193" s="53">
        <f t="shared" si="4"/>
        <v>3.4590756991896359</v>
      </c>
      <c r="C193">
        <f t="shared" si="5"/>
        <v>4.9488185154319444</v>
      </c>
    </row>
    <row r="194" spans="1:3" x14ac:dyDescent="0.35">
      <c r="A194" s="53">
        <v>2918.8</v>
      </c>
      <c r="B194" s="53">
        <f t="shared" si="4"/>
        <v>3.4652043375806301</v>
      </c>
      <c r="C194">
        <f t="shared" si="5"/>
        <v>4.9575866147108476</v>
      </c>
    </row>
    <row r="195" spans="1:3" x14ac:dyDescent="0.35">
      <c r="A195" s="53">
        <v>2926.2</v>
      </c>
      <c r="B195" s="53">
        <f t="shared" ref="B195:B258" si="6">LOG(A195)</f>
        <v>3.4663040059752102</v>
      </c>
      <c r="C195">
        <f t="shared" ref="C195:C258" si="7">LOG(A195,5)</f>
        <v>4.9591598845046274</v>
      </c>
    </row>
    <row r="196" spans="1:3" x14ac:dyDescent="0.35">
      <c r="A196" s="53">
        <v>2940.4</v>
      </c>
      <c r="B196" s="53">
        <f t="shared" si="6"/>
        <v>3.4684064140775641</v>
      </c>
      <c r="C196">
        <f t="shared" si="7"/>
        <v>4.9621677504921697</v>
      </c>
    </row>
    <row r="197" spans="1:3" x14ac:dyDescent="0.35">
      <c r="A197" s="53">
        <v>2967.8</v>
      </c>
      <c r="B197" s="53">
        <f t="shared" si="6"/>
        <v>3.4724346304941105</v>
      </c>
      <c r="C197">
        <f t="shared" si="7"/>
        <v>4.9679308252901686</v>
      </c>
    </row>
    <row r="198" spans="1:3" x14ac:dyDescent="0.35">
      <c r="A198" s="53">
        <v>3059.5</v>
      </c>
      <c r="B198" s="53">
        <f t="shared" si="6"/>
        <v>3.4856504575326674</v>
      </c>
      <c r="C198">
        <f t="shared" si="7"/>
        <v>4.9868383992297849</v>
      </c>
    </row>
    <row r="199" spans="1:3" x14ac:dyDescent="0.35">
      <c r="A199" s="53">
        <v>3127.3</v>
      </c>
      <c r="B199" s="53">
        <f t="shared" si="6"/>
        <v>3.4951695448486673</v>
      </c>
      <c r="C199">
        <f t="shared" si="7"/>
        <v>5.0004571343070392</v>
      </c>
    </row>
    <row r="200" spans="1:3" x14ac:dyDescent="0.35">
      <c r="A200" s="53">
        <v>3171</v>
      </c>
      <c r="B200" s="53">
        <f t="shared" si="6"/>
        <v>3.5011962420270888</v>
      </c>
      <c r="C200">
        <f t="shared" si="7"/>
        <v>5.0090793886828147</v>
      </c>
    </row>
    <row r="201" spans="1:3" x14ac:dyDescent="0.35">
      <c r="A201" s="53">
        <v>3171</v>
      </c>
      <c r="B201" s="53">
        <f t="shared" si="6"/>
        <v>3.5011962420270888</v>
      </c>
      <c r="C201">
        <f t="shared" si="7"/>
        <v>5.0090793886828147</v>
      </c>
    </row>
    <row r="202" spans="1:3" x14ac:dyDescent="0.35">
      <c r="A202" s="53">
        <v>3210.2</v>
      </c>
      <c r="B202" s="53">
        <f t="shared" si="6"/>
        <v>3.5065320904081769</v>
      </c>
      <c r="C202">
        <f t="shared" si="7"/>
        <v>5.0167132618790706</v>
      </c>
    </row>
    <row r="203" spans="1:3" x14ac:dyDescent="0.35">
      <c r="A203" s="53">
        <v>3259.7</v>
      </c>
      <c r="B203" s="53">
        <f t="shared" si="6"/>
        <v>3.5131776324790427</v>
      </c>
      <c r="C203">
        <f t="shared" si="7"/>
        <v>5.0262208831355499</v>
      </c>
    </row>
    <row r="204" spans="1:3" x14ac:dyDescent="0.35">
      <c r="A204" s="53">
        <v>3269.1</v>
      </c>
      <c r="B204" s="53">
        <f t="shared" si="6"/>
        <v>3.514428205616754</v>
      </c>
      <c r="C204">
        <f t="shared" si="7"/>
        <v>5.0280100488078281</v>
      </c>
    </row>
    <row r="205" spans="1:3" x14ac:dyDescent="0.35">
      <c r="A205" s="53">
        <v>3280.7</v>
      </c>
      <c r="B205" s="53">
        <f t="shared" si="6"/>
        <v>3.5159665186209068</v>
      </c>
      <c r="C205">
        <f t="shared" si="7"/>
        <v>5.0302108771618501</v>
      </c>
    </row>
    <row r="206" spans="1:3" x14ac:dyDescent="0.35">
      <c r="A206" s="53">
        <v>3311.1</v>
      </c>
      <c r="B206" s="53">
        <f t="shared" si="6"/>
        <v>3.5199722972704519</v>
      </c>
      <c r="C206">
        <f t="shared" si="7"/>
        <v>5.0359418507725842</v>
      </c>
    </row>
    <row r="207" spans="1:3" x14ac:dyDescent="0.35">
      <c r="A207" s="53">
        <v>3397.9</v>
      </c>
      <c r="B207" s="53">
        <f t="shared" si="6"/>
        <v>3.5312105934596758</v>
      </c>
      <c r="C207">
        <f t="shared" si="7"/>
        <v>5.0520202176831921</v>
      </c>
    </row>
    <row r="208" spans="1:3" x14ac:dyDescent="0.35">
      <c r="A208" s="53">
        <v>3419.1</v>
      </c>
      <c r="B208" s="53">
        <f t="shared" si="6"/>
        <v>3.5339118029940453</v>
      </c>
      <c r="C208">
        <f t="shared" si="7"/>
        <v>5.0558847748424594</v>
      </c>
    </row>
    <row r="209" spans="1:3" x14ac:dyDescent="0.35">
      <c r="A209" s="53">
        <v>3427.8</v>
      </c>
      <c r="B209" s="53">
        <f t="shared" si="6"/>
        <v>3.5350154744441928</v>
      </c>
      <c r="C209">
        <f t="shared" si="7"/>
        <v>5.0574637717140005</v>
      </c>
    </row>
    <row r="210" spans="1:3" x14ac:dyDescent="0.35">
      <c r="A210" s="53">
        <v>3456</v>
      </c>
      <c r="B210" s="53">
        <f t="shared" si="6"/>
        <v>3.5385737338068557</v>
      </c>
      <c r="C210">
        <f t="shared" si="7"/>
        <v>5.0625544899717081</v>
      </c>
    </row>
    <row r="211" spans="1:3" x14ac:dyDescent="0.35">
      <c r="A211" s="53">
        <v>3457.2</v>
      </c>
      <c r="B211" s="53">
        <f t="shared" si="6"/>
        <v>3.5387245043280378</v>
      </c>
      <c r="C211">
        <f t="shared" si="7"/>
        <v>5.0627701938220113</v>
      </c>
    </row>
    <row r="212" spans="1:3" x14ac:dyDescent="0.35">
      <c r="A212" s="53">
        <v>3488.8</v>
      </c>
      <c r="B212" s="53">
        <f t="shared" si="6"/>
        <v>3.54267607366537</v>
      </c>
      <c r="C212">
        <f t="shared" si="7"/>
        <v>5.0684236114405339</v>
      </c>
    </row>
    <row r="213" spans="1:3" x14ac:dyDescent="0.35">
      <c r="A213" s="53">
        <v>3500.5</v>
      </c>
      <c r="B213" s="53">
        <f t="shared" si="6"/>
        <v>3.5441300819879644</v>
      </c>
      <c r="C213">
        <f t="shared" si="7"/>
        <v>5.0705038270629137</v>
      </c>
    </row>
    <row r="214" spans="1:3" x14ac:dyDescent="0.35">
      <c r="A214" s="53">
        <v>3540.8</v>
      </c>
      <c r="B214" s="53">
        <f t="shared" si="6"/>
        <v>3.5491013965831826</v>
      </c>
      <c r="C214">
        <f t="shared" si="7"/>
        <v>5.0776161703171008</v>
      </c>
    </row>
    <row r="215" spans="1:3" x14ac:dyDescent="0.35">
      <c r="A215" s="53">
        <v>3562.9</v>
      </c>
      <c r="B215" s="53">
        <f t="shared" si="6"/>
        <v>3.5518036331684018</v>
      </c>
      <c r="C215">
        <f t="shared" si="7"/>
        <v>5.0814821968539414</v>
      </c>
    </row>
    <row r="216" spans="1:3" x14ac:dyDescent="0.35">
      <c r="A216" s="53">
        <v>3629</v>
      </c>
      <c r="B216" s="53">
        <f t="shared" si="6"/>
        <v>3.5597869682005565</v>
      </c>
      <c r="C216">
        <f t="shared" si="7"/>
        <v>5.0929037671396911</v>
      </c>
    </row>
    <row r="217" spans="1:3" x14ac:dyDescent="0.35">
      <c r="A217" s="53">
        <v>3672.6</v>
      </c>
      <c r="B217" s="53">
        <f t="shared" si="6"/>
        <v>3.564973629882831</v>
      </c>
      <c r="C217">
        <f t="shared" si="7"/>
        <v>5.1003242024231792</v>
      </c>
    </row>
    <row r="218" spans="1:3" x14ac:dyDescent="0.35">
      <c r="A218" s="53">
        <v>3694.4</v>
      </c>
      <c r="B218" s="53">
        <f t="shared" si="6"/>
        <v>3.567543915573101</v>
      </c>
      <c r="C218">
        <f t="shared" si="7"/>
        <v>5.1040014499078001</v>
      </c>
    </row>
    <row r="219" spans="1:3" x14ac:dyDescent="0.35">
      <c r="A219" s="53">
        <v>3718.9</v>
      </c>
      <c r="B219" s="53">
        <f t="shared" si="6"/>
        <v>3.5704145004799495</v>
      </c>
      <c r="C219">
        <f t="shared" si="7"/>
        <v>5.108108328441987</v>
      </c>
    </row>
    <row r="220" spans="1:3" x14ac:dyDescent="0.35">
      <c r="A220" s="53">
        <v>3725.8</v>
      </c>
      <c r="B220" s="53">
        <f t="shared" si="6"/>
        <v>3.5712195383681626</v>
      </c>
      <c r="C220">
        <f t="shared" si="7"/>
        <v>5.1092600772770149</v>
      </c>
    </row>
    <row r="221" spans="1:3" x14ac:dyDescent="0.35">
      <c r="A221" s="53">
        <v>3737.9</v>
      </c>
      <c r="B221" s="53">
        <f t="shared" si="6"/>
        <v>3.5726276785224496</v>
      </c>
      <c r="C221">
        <f t="shared" si="7"/>
        <v>5.1112746703862353</v>
      </c>
    </row>
    <row r="222" spans="1:3" x14ac:dyDescent="0.35">
      <c r="A222" s="53">
        <v>3814.2</v>
      </c>
      <c r="B222" s="53">
        <f t="shared" si="6"/>
        <v>3.5814034618141006</v>
      </c>
      <c r="C222">
        <f t="shared" si="7"/>
        <v>5.123829977820332</v>
      </c>
    </row>
    <row r="223" spans="1:3" x14ac:dyDescent="0.35">
      <c r="A223" s="53">
        <v>3850.8</v>
      </c>
      <c r="B223" s="53">
        <f t="shared" si="6"/>
        <v>3.5855509631431288</v>
      </c>
      <c r="C223">
        <f t="shared" si="7"/>
        <v>5.1297637107463521</v>
      </c>
    </row>
    <row r="224" spans="1:3" x14ac:dyDescent="0.35">
      <c r="A224" s="53">
        <v>4055.3</v>
      </c>
      <c r="B224" s="53">
        <f t="shared" si="6"/>
        <v>3.6080229876532819</v>
      </c>
      <c r="C224">
        <f t="shared" si="7"/>
        <v>5.1619139094254782</v>
      </c>
    </row>
    <row r="225" spans="1:3" x14ac:dyDescent="0.35">
      <c r="A225" s="53">
        <v>4134.6000000000004</v>
      </c>
      <c r="B225" s="53">
        <f t="shared" si="6"/>
        <v>3.6164335002983323</v>
      </c>
      <c r="C225">
        <f t="shared" si="7"/>
        <v>5.173946632708132</v>
      </c>
    </row>
    <row r="226" spans="1:3" x14ac:dyDescent="0.35">
      <c r="A226" s="53">
        <v>4156.5</v>
      </c>
      <c r="B226" s="53">
        <f t="shared" si="6"/>
        <v>3.6187277848379131</v>
      </c>
      <c r="C226">
        <f t="shared" si="7"/>
        <v>5.1772290118164594</v>
      </c>
    </row>
    <row r="227" spans="1:3" x14ac:dyDescent="0.35">
      <c r="A227" s="53">
        <v>4170.7</v>
      </c>
      <c r="B227" s="53">
        <f t="shared" si="6"/>
        <v>3.6202089520059122</v>
      </c>
      <c r="C227">
        <f t="shared" si="7"/>
        <v>5.1793480829623038</v>
      </c>
    </row>
    <row r="228" spans="1:3" x14ac:dyDescent="0.35">
      <c r="A228" s="53">
        <v>4198.8</v>
      </c>
      <c r="B228" s="53">
        <f t="shared" si="6"/>
        <v>3.6231251885305311</v>
      </c>
      <c r="C228">
        <f t="shared" si="7"/>
        <v>5.1835202741958746</v>
      </c>
    </row>
    <row r="229" spans="1:3" x14ac:dyDescent="0.35">
      <c r="A229" s="53">
        <v>4315.3999999999996</v>
      </c>
      <c r="B229" s="53">
        <f t="shared" si="6"/>
        <v>3.6350210572334878</v>
      </c>
      <c r="C229">
        <f t="shared" si="7"/>
        <v>5.2005394146871122</v>
      </c>
    </row>
    <row r="230" spans="1:3" x14ac:dyDescent="0.35">
      <c r="A230" s="53">
        <v>4329.7</v>
      </c>
      <c r="B230" s="53">
        <f t="shared" si="6"/>
        <v>3.6364578056239814</v>
      </c>
      <c r="C230">
        <f t="shared" si="7"/>
        <v>5.2025949369292421</v>
      </c>
    </row>
    <row r="231" spans="1:3" x14ac:dyDescent="0.35">
      <c r="A231" s="53">
        <v>4579.1000000000004</v>
      </c>
      <c r="B231" s="53">
        <f t="shared" si="6"/>
        <v>3.6607801279072505</v>
      </c>
      <c r="C231">
        <f t="shared" si="7"/>
        <v>5.2373923132578204</v>
      </c>
    </row>
    <row r="232" spans="1:3" x14ac:dyDescent="0.35">
      <c r="A232" s="53">
        <v>4614.8999999999996</v>
      </c>
      <c r="B232" s="53">
        <f t="shared" si="6"/>
        <v>3.664162294761991</v>
      </c>
      <c r="C232">
        <f t="shared" si="7"/>
        <v>5.2422311000923907</v>
      </c>
    </row>
    <row r="233" spans="1:3" x14ac:dyDescent="0.35">
      <c r="A233" s="53">
        <v>4651.5</v>
      </c>
      <c r="B233" s="53">
        <f t="shared" si="6"/>
        <v>3.6675930252930078</v>
      </c>
      <c r="C233">
        <f t="shared" si="7"/>
        <v>5.2471393658401828</v>
      </c>
    </row>
    <row r="234" spans="1:3" x14ac:dyDescent="0.35">
      <c r="A234" s="53">
        <v>4884.8</v>
      </c>
      <c r="B234" s="53">
        <f t="shared" si="6"/>
        <v>3.6888467869545867</v>
      </c>
      <c r="C234">
        <f t="shared" si="7"/>
        <v>5.2775466244202827</v>
      </c>
    </row>
    <row r="235" spans="1:3" x14ac:dyDescent="0.35">
      <c r="A235" s="53">
        <v>4922.8</v>
      </c>
      <c r="B235" s="53">
        <f t="shared" si="6"/>
        <v>3.6922121919253503</v>
      </c>
      <c r="C235">
        <f t="shared" si="7"/>
        <v>5.2823614304203783</v>
      </c>
    </row>
    <row r="236" spans="1:3" x14ac:dyDescent="0.35">
      <c r="A236" s="53">
        <v>4933.6000000000004</v>
      </c>
      <c r="B236" s="53">
        <f t="shared" si="6"/>
        <v>3.6931639354182484</v>
      </c>
      <c r="C236">
        <f t="shared" si="7"/>
        <v>5.2837230675249662</v>
      </c>
    </row>
    <row r="237" spans="1:3" x14ac:dyDescent="0.35">
      <c r="A237" s="53">
        <v>4983</v>
      </c>
      <c r="B237" s="53">
        <f t="shared" si="6"/>
        <v>3.6974908871710568</v>
      </c>
      <c r="C237">
        <f t="shared" si="7"/>
        <v>5.2899135359656251</v>
      </c>
    </row>
    <row r="238" spans="1:3" x14ac:dyDescent="0.35">
      <c r="A238" s="53">
        <v>4989.7</v>
      </c>
      <c r="B238" s="53">
        <f t="shared" si="6"/>
        <v>3.6980744349498003</v>
      </c>
      <c r="C238">
        <f t="shared" si="7"/>
        <v>5.290748404093188</v>
      </c>
    </row>
    <row r="239" spans="1:3" x14ac:dyDescent="0.35">
      <c r="A239" s="53">
        <v>5015.8999999999996</v>
      </c>
      <c r="B239" s="53">
        <f t="shared" si="6"/>
        <v>3.7003488695529021</v>
      </c>
      <c r="C239">
        <f t="shared" si="7"/>
        <v>5.2940023843627175</v>
      </c>
    </row>
    <row r="240" spans="1:3" x14ac:dyDescent="0.35">
      <c r="A240" s="53">
        <v>5116.7</v>
      </c>
      <c r="B240" s="53">
        <f t="shared" si="6"/>
        <v>3.7089899543643394</v>
      </c>
      <c r="C240">
        <f t="shared" si="7"/>
        <v>5.3063649818387644</v>
      </c>
    </row>
    <row r="241" spans="1:3" x14ac:dyDescent="0.35">
      <c r="A241" s="53">
        <v>5140.6000000000004</v>
      </c>
      <c r="B241" s="53">
        <f t="shared" si="6"/>
        <v>3.7110138118905227</v>
      </c>
      <c r="C241">
        <f t="shared" si="7"/>
        <v>5.3092604673583548</v>
      </c>
    </row>
    <row r="242" spans="1:3" x14ac:dyDescent="0.35">
      <c r="A242" s="53">
        <v>5271.2</v>
      </c>
      <c r="B242" s="53">
        <f t="shared" si="6"/>
        <v>3.7219094945394802</v>
      </c>
      <c r="C242">
        <f t="shared" si="7"/>
        <v>5.3248486651084255</v>
      </c>
    </row>
    <row r="243" spans="1:3" x14ac:dyDescent="0.35">
      <c r="A243" s="53">
        <v>5336.1</v>
      </c>
      <c r="B243" s="53">
        <f t="shared" si="6"/>
        <v>3.7272239597842884</v>
      </c>
      <c r="C243">
        <f t="shared" si="7"/>
        <v>5.3324519459528688</v>
      </c>
    </row>
    <row r="244" spans="1:3" x14ac:dyDescent="0.35">
      <c r="A244" s="53">
        <v>5405.9</v>
      </c>
      <c r="B244" s="53">
        <f t="shared" si="6"/>
        <v>3.7328680077241803</v>
      </c>
      <c r="C244">
        <f t="shared" si="7"/>
        <v>5.3405267530331137</v>
      </c>
    </row>
    <row r="245" spans="1:3" x14ac:dyDescent="0.35">
      <c r="A245" s="53">
        <v>5429.5</v>
      </c>
      <c r="B245" s="53">
        <f t="shared" si="6"/>
        <v>3.7347598374637756</v>
      </c>
      <c r="C245">
        <f t="shared" si="7"/>
        <v>5.3432333494934197</v>
      </c>
    </row>
    <row r="246" spans="1:3" x14ac:dyDescent="0.35">
      <c r="A246" s="53">
        <v>5431.5</v>
      </c>
      <c r="B246" s="53">
        <f t="shared" si="6"/>
        <v>3.7349197838726931</v>
      </c>
      <c r="C246">
        <f t="shared" si="7"/>
        <v>5.3434621810712057</v>
      </c>
    </row>
    <row r="247" spans="1:3" x14ac:dyDescent="0.35">
      <c r="A247" s="53">
        <v>5491.4</v>
      </c>
      <c r="B247" s="53">
        <f t="shared" si="6"/>
        <v>3.7396830793796925</v>
      </c>
      <c r="C247">
        <f t="shared" si="7"/>
        <v>5.3502769162922466</v>
      </c>
    </row>
    <row r="248" spans="1:3" x14ac:dyDescent="0.35">
      <c r="A248" s="53">
        <v>5704.6</v>
      </c>
      <c r="B248" s="53">
        <f t="shared" si="6"/>
        <v>3.7562251975915579</v>
      </c>
      <c r="C248">
        <f t="shared" si="7"/>
        <v>5.373943337038841</v>
      </c>
    </row>
    <row r="249" spans="1:3" x14ac:dyDescent="0.35">
      <c r="A249" s="53">
        <v>5729.1</v>
      </c>
      <c r="B249" s="53">
        <f t="shared" si="6"/>
        <v>3.7580864028167555</v>
      </c>
      <c r="C249">
        <f t="shared" si="7"/>
        <v>5.3766061197242951</v>
      </c>
    </row>
    <row r="250" spans="1:3" x14ac:dyDescent="0.35">
      <c r="A250" s="53">
        <v>5757.4</v>
      </c>
      <c r="B250" s="53">
        <f t="shared" si="6"/>
        <v>3.7602264034620871</v>
      </c>
      <c r="C250">
        <f t="shared" si="7"/>
        <v>5.3796677684818333</v>
      </c>
    </row>
    <row r="251" spans="1:3" x14ac:dyDescent="0.35">
      <c r="A251" s="53">
        <v>5807.9</v>
      </c>
      <c r="B251" s="53">
        <f t="shared" si="6"/>
        <v>3.7640191301055927</v>
      </c>
      <c r="C251">
        <f t="shared" si="7"/>
        <v>5.3850939335818762</v>
      </c>
    </row>
    <row r="252" spans="1:3" x14ac:dyDescent="0.35">
      <c r="A252" s="53">
        <v>5816.7</v>
      </c>
      <c r="B252" s="53">
        <f t="shared" si="6"/>
        <v>3.7646766653619976</v>
      </c>
      <c r="C252">
        <f t="shared" si="7"/>
        <v>5.3860346538593218</v>
      </c>
    </row>
    <row r="253" spans="1:3" x14ac:dyDescent="0.35">
      <c r="A253" s="53">
        <v>6040.3</v>
      </c>
      <c r="B253" s="53">
        <f t="shared" si="6"/>
        <v>3.7810585090034232</v>
      </c>
      <c r="C253">
        <f t="shared" si="7"/>
        <v>5.4094717735351336</v>
      </c>
    </row>
    <row r="254" spans="1:3" x14ac:dyDescent="0.35">
      <c r="A254" s="53">
        <v>6148.5</v>
      </c>
      <c r="B254" s="53">
        <f t="shared" si="6"/>
        <v>3.788769177372183</v>
      </c>
      <c r="C254">
        <f t="shared" si="7"/>
        <v>5.4205032460173959</v>
      </c>
    </row>
    <row r="255" spans="1:3" x14ac:dyDescent="0.35">
      <c r="A255" s="53">
        <v>6185.1</v>
      </c>
      <c r="B255" s="53">
        <f t="shared" si="6"/>
        <v>3.791346725646159</v>
      </c>
      <c r="C255">
        <f t="shared" si="7"/>
        <v>5.4241908839102759</v>
      </c>
    </row>
    <row r="256" spans="1:3" x14ac:dyDescent="0.35">
      <c r="A256" s="53">
        <v>6185.9</v>
      </c>
      <c r="B256" s="53">
        <f t="shared" si="6"/>
        <v>3.7914028950077316</v>
      </c>
      <c r="C256">
        <f t="shared" si="7"/>
        <v>5.4242712440991605</v>
      </c>
    </row>
    <row r="257" spans="1:3" x14ac:dyDescent="0.35">
      <c r="A257" s="53">
        <v>6199.5</v>
      </c>
      <c r="B257" s="53">
        <f t="shared" si="6"/>
        <v>3.7923566643373894</v>
      </c>
      <c r="C257">
        <f t="shared" si="7"/>
        <v>5.4256357795209107</v>
      </c>
    </row>
    <row r="258" spans="1:3" x14ac:dyDescent="0.35">
      <c r="A258" s="53">
        <v>6220.4</v>
      </c>
      <c r="B258" s="53">
        <f t="shared" si="6"/>
        <v>3.7938183126984102</v>
      </c>
      <c r="C258">
        <f t="shared" si="7"/>
        <v>5.4277269255671694</v>
      </c>
    </row>
    <row r="259" spans="1:3" x14ac:dyDescent="0.35">
      <c r="A259" s="53">
        <v>6327.8</v>
      </c>
      <c r="B259" s="53">
        <f t="shared" ref="B259:B322" si="8">LOG(A259)</f>
        <v>3.8012527441512791</v>
      </c>
      <c r="C259">
        <f t="shared" ref="C259:C322" si="9">LOG(A259,5)</f>
        <v>5.4383631923693923</v>
      </c>
    </row>
    <row r="260" spans="1:3" x14ac:dyDescent="0.35">
      <c r="A260" s="53">
        <v>6355.1</v>
      </c>
      <c r="B260" s="53">
        <f t="shared" si="8"/>
        <v>3.803122388738414</v>
      </c>
      <c r="C260">
        <f t="shared" si="9"/>
        <v>5.4410380490521355</v>
      </c>
    </row>
    <row r="261" spans="1:3" x14ac:dyDescent="0.35">
      <c r="A261" s="53">
        <v>6361.7</v>
      </c>
      <c r="B261" s="53">
        <f t="shared" si="8"/>
        <v>3.8035731851396974</v>
      </c>
      <c r="C261">
        <f t="shared" si="9"/>
        <v>5.4416829928959149</v>
      </c>
    </row>
    <row r="262" spans="1:3" x14ac:dyDescent="0.35">
      <c r="A262" s="53">
        <v>6444.5</v>
      </c>
      <c r="B262" s="53">
        <f t="shared" si="8"/>
        <v>3.8091892280254225</v>
      </c>
      <c r="C262">
        <f t="shared" si="9"/>
        <v>5.4497177338016565</v>
      </c>
    </row>
    <row r="263" spans="1:3" x14ac:dyDescent="0.35">
      <c r="A263" s="53">
        <v>6494.6</v>
      </c>
      <c r="B263" s="53">
        <f t="shared" si="8"/>
        <v>3.8125524081969977</v>
      </c>
      <c r="C263">
        <f t="shared" si="9"/>
        <v>5.4545293568337074</v>
      </c>
    </row>
    <row r="264" spans="1:3" x14ac:dyDescent="0.35">
      <c r="A264" s="53">
        <v>6557.2</v>
      </c>
      <c r="B264" s="53">
        <f t="shared" si="8"/>
        <v>3.8167184302078807</v>
      </c>
      <c r="C264">
        <f t="shared" si="9"/>
        <v>5.4604895868650951</v>
      </c>
    </row>
    <row r="265" spans="1:3" x14ac:dyDescent="0.35">
      <c r="A265" s="53">
        <v>6645.3</v>
      </c>
      <c r="B265" s="53">
        <f t="shared" si="8"/>
        <v>3.822514591810521</v>
      </c>
      <c r="C265">
        <f t="shared" si="9"/>
        <v>5.4687820193967971</v>
      </c>
    </row>
    <row r="266" spans="1:3" x14ac:dyDescent="0.35">
      <c r="A266" s="53">
        <v>6647.9</v>
      </c>
      <c r="B266" s="53">
        <f t="shared" si="8"/>
        <v>3.822684478018108</v>
      </c>
      <c r="C266">
        <f t="shared" si="9"/>
        <v>5.4690250716115321</v>
      </c>
    </row>
    <row r="267" spans="1:3" x14ac:dyDescent="0.35">
      <c r="A267" s="53">
        <v>6792.6</v>
      </c>
      <c r="B267" s="53">
        <f t="shared" si="8"/>
        <v>3.8320360407783358</v>
      </c>
      <c r="C267">
        <f t="shared" si="9"/>
        <v>5.4824041332339419</v>
      </c>
    </row>
    <row r="268" spans="1:3" x14ac:dyDescent="0.35">
      <c r="A268" s="53">
        <v>6840</v>
      </c>
      <c r="B268" s="53">
        <f t="shared" si="8"/>
        <v>3.8350561017201161</v>
      </c>
      <c r="C268">
        <f t="shared" si="9"/>
        <v>5.4867248636273009</v>
      </c>
    </row>
    <row r="269" spans="1:3" x14ac:dyDescent="0.35">
      <c r="A269" s="53">
        <v>6880.4</v>
      </c>
      <c r="B269" s="53">
        <f t="shared" si="8"/>
        <v>3.8376136871807178</v>
      </c>
      <c r="C269">
        <f t="shared" si="9"/>
        <v>5.4903839411910527</v>
      </c>
    </row>
    <row r="270" spans="1:3" x14ac:dyDescent="0.35">
      <c r="A270" s="53">
        <v>6894.2</v>
      </c>
      <c r="B270" s="53">
        <f t="shared" si="8"/>
        <v>3.8384838780908561</v>
      </c>
      <c r="C270">
        <f t="shared" si="9"/>
        <v>5.4916289029272356</v>
      </c>
    </row>
    <row r="271" spans="1:3" x14ac:dyDescent="0.35">
      <c r="A271" s="53">
        <v>6967.8</v>
      </c>
      <c r="B271" s="53">
        <f t="shared" si="8"/>
        <v>3.8430956764222612</v>
      </c>
      <c r="C271">
        <f t="shared" si="9"/>
        <v>5.4982268946905393</v>
      </c>
    </row>
    <row r="272" spans="1:3" x14ac:dyDescent="0.35">
      <c r="A272" s="53">
        <v>7353.6</v>
      </c>
      <c r="B272" s="53">
        <f t="shared" si="8"/>
        <v>3.8665000026721725</v>
      </c>
      <c r="C272">
        <f t="shared" si="9"/>
        <v>5.5317109156137887</v>
      </c>
    </row>
    <row r="273" spans="1:3" x14ac:dyDescent="0.35">
      <c r="A273" s="53">
        <v>7383</v>
      </c>
      <c r="B273" s="53">
        <f t="shared" si="8"/>
        <v>3.8682328684224649</v>
      </c>
      <c r="C273">
        <f t="shared" si="9"/>
        <v>5.5341900860210211</v>
      </c>
    </row>
    <row r="274" spans="1:3" x14ac:dyDescent="0.35">
      <c r="A274" s="53">
        <v>7497.2</v>
      </c>
      <c r="B274" s="53">
        <f t="shared" si="8"/>
        <v>3.8748990965120882</v>
      </c>
      <c r="C274">
        <f t="shared" si="9"/>
        <v>5.5437273022796152</v>
      </c>
    </row>
    <row r="275" spans="1:3" x14ac:dyDescent="0.35">
      <c r="A275" s="53">
        <v>7554.6</v>
      </c>
      <c r="B275" s="53">
        <f t="shared" si="8"/>
        <v>3.8782114743147962</v>
      </c>
      <c r="C275">
        <f t="shared" si="9"/>
        <v>5.548466243553432</v>
      </c>
    </row>
    <row r="276" spans="1:3" x14ac:dyDescent="0.35">
      <c r="A276" s="53">
        <v>7601.1</v>
      </c>
      <c r="B276" s="53">
        <f t="shared" si="8"/>
        <v>3.8808764461441205</v>
      </c>
      <c r="C276">
        <f t="shared" si="9"/>
        <v>5.5522789562775721</v>
      </c>
    </row>
    <row r="277" spans="1:3" x14ac:dyDescent="0.35">
      <c r="A277" s="53">
        <v>7887.2</v>
      </c>
      <c r="B277" s="53">
        <f t="shared" si="8"/>
        <v>3.8969228536059299</v>
      </c>
      <c r="C277">
        <f t="shared" si="9"/>
        <v>5.575236175274477</v>
      </c>
    </row>
    <row r="278" spans="1:3" x14ac:dyDescent="0.35">
      <c r="A278" s="53">
        <v>7914</v>
      </c>
      <c r="B278" s="53">
        <f t="shared" si="8"/>
        <v>3.8983960459300091</v>
      </c>
      <c r="C278">
        <f t="shared" si="9"/>
        <v>5.5773438369980708</v>
      </c>
    </row>
    <row r="279" spans="1:3" x14ac:dyDescent="0.35">
      <c r="A279" s="53">
        <v>8044.6</v>
      </c>
      <c r="B279" s="53">
        <f t="shared" si="8"/>
        <v>3.9055044546362221</v>
      </c>
      <c r="C279">
        <f t="shared" si="9"/>
        <v>5.5875136706992539</v>
      </c>
    </row>
    <row r="280" spans="1:3" x14ac:dyDescent="0.35">
      <c r="A280" s="53">
        <v>8067.7</v>
      </c>
      <c r="B280" s="53">
        <f t="shared" si="8"/>
        <v>3.9067497404620282</v>
      </c>
      <c r="C280">
        <f t="shared" si="9"/>
        <v>5.5892952719383366</v>
      </c>
    </row>
    <row r="281" spans="1:3" x14ac:dyDescent="0.35">
      <c r="A281" s="53">
        <v>8090.8</v>
      </c>
      <c r="B281" s="53">
        <f t="shared" si="8"/>
        <v>3.9079914657912753</v>
      </c>
      <c r="C281">
        <f t="shared" si="9"/>
        <v>5.5910717792584554</v>
      </c>
    </row>
    <row r="282" spans="1:3" x14ac:dyDescent="0.35">
      <c r="A282" s="53">
        <v>8100.1</v>
      </c>
      <c r="B282" s="53">
        <f t="shared" si="8"/>
        <v>3.9084903805058238</v>
      </c>
      <c r="C282">
        <f t="shared" si="9"/>
        <v>5.5917855648450381</v>
      </c>
    </row>
    <row r="283" spans="1:3" x14ac:dyDescent="0.35">
      <c r="A283" s="53">
        <v>8234</v>
      </c>
      <c r="B283" s="53">
        <f t="shared" si="8"/>
        <v>3.9156108626614672</v>
      </c>
      <c r="C283">
        <f t="shared" si="9"/>
        <v>5.6019726717472977</v>
      </c>
    </row>
    <row r="284" spans="1:3" x14ac:dyDescent="0.35">
      <c r="A284" s="53">
        <v>8259</v>
      </c>
      <c r="B284" s="53">
        <f t="shared" si="8"/>
        <v>3.9169274661129925</v>
      </c>
      <c r="C284">
        <f t="shared" si="9"/>
        <v>5.6038563054416741</v>
      </c>
    </row>
    <row r="285" spans="1:3" x14ac:dyDescent="0.35">
      <c r="A285" s="53">
        <v>8263.7999999999993</v>
      </c>
      <c r="B285" s="53">
        <f t="shared" si="8"/>
        <v>3.917179797869327</v>
      </c>
      <c r="C285">
        <f t="shared" si="9"/>
        <v>5.6042173105703181</v>
      </c>
    </row>
    <row r="286" spans="1:3" x14ac:dyDescent="0.35">
      <c r="A286" s="53">
        <v>8431.1</v>
      </c>
      <c r="B286" s="53">
        <f t="shared" si="8"/>
        <v>3.9258842404331142</v>
      </c>
      <c r="C286">
        <f t="shared" si="9"/>
        <v>5.6166705524974248</v>
      </c>
    </row>
    <row r="287" spans="1:3" x14ac:dyDescent="0.35">
      <c r="A287" s="53">
        <v>8584.4</v>
      </c>
      <c r="B287" s="53">
        <f t="shared" si="8"/>
        <v>3.9337099458807057</v>
      </c>
      <c r="C287">
        <f t="shared" si="9"/>
        <v>5.6278666058316817</v>
      </c>
    </row>
    <row r="288" spans="1:3" x14ac:dyDescent="0.35">
      <c r="A288" s="53">
        <v>8618.6</v>
      </c>
      <c r="B288" s="53">
        <f t="shared" si="8"/>
        <v>3.9354367250295206</v>
      </c>
      <c r="C288">
        <f t="shared" si="9"/>
        <v>5.6303370682808609</v>
      </c>
    </row>
    <row r="289" spans="1:3" x14ac:dyDescent="0.35">
      <c r="A289" s="53">
        <v>8622.4</v>
      </c>
      <c r="B289" s="53">
        <f t="shared" si="8"/>
        <v>3.9356281662519503</v>
      </c>
      <c r="C289">
        <f t="shared" si="9"/>
        <v>5.6306109587500401</v>
      </c>
    </row>
    <row r="290" spans="1:3" x14ac:dyDescent="0.35">
      <c r="A290" s="53">
        <v>8799.2000000000007</v>
      </c>
      <c r="B290" s="53">
        <f t="shared" si="8"/>
        <v>3.944443189038918</v>
      </c>
      <c r="C290">
        <f t="shared" si="9"/>
        <v>5.6432224052102375</v>
      </c>
    </row>
    <row r="291" spans="1:3" x14ac:dyDescent="0.35">
      <c r="A291" s="53">
        <v>9187.4</v>
      </c>
      <c r="B291" s="53">
        <f t="shared" si="8"/>
        <v>3.9631926250517568</v>
      </c>
      <c r="C291">
        <f t="shared" si="9"/>
        <v>5.6700467837909025</v>
      </c>
    </row>
    <row r="292" spans="1:3" x14ac:dyDescent="0.35">
      <c r="A292" s="53">
        <v>9250.6</v>
      </c>
      <c r="B292" s="53">
        <f t="shared" si="8"/>
        <v>3.9661699022783159</v>
      </c>
      <c r="C292">
        <f t="shared" si="9"/>
        <v>5.6743063045258273</v>
      </c>
    </row>
    <row r="293" spans="1:3" x14ac:dyDescent="0.35">
      <c r="A293" s="53">
        <v>9368.9</v>
      </c>
      <c r="B293" s="53">
        <f t="shared" si="8"/>
        <v>3.9716886034839667</v>
      </c>
      <c r="C293">
        <f t="shared" si="9"/>
        <v>5.6822017809717638</v>
      </c>
    </row>
    <row r="294" spans="1:3" x14ac:dyDescent="0.35">
      <c r="A294" s="53">
        <v>9438.4</v>
      </c>
      <c r="B294" s="53">
        <f t="shared" si="8"/>
        <v>3.9748983788250722</v>
      </c>
      <c r="C294">
        <f t="shared" si="9"/>
        <v>5.6867939313089648</v>
      </c>
    </row>
    <row r="295" spans="1:3" x14ac:dyDescent="0.35">
      <c r="A295" s="53">
        <v>9508.6</v>
      </c>
      <c r="B295" s="53">
        <f t="shared" si="8"/>
        <v>3.97811657823785</v>
      </c>
      <c r="C295">
        <f t="shared" si="9"/>
        <v>5.6913981337680308</v>
      </c>
    </row>
    <row r="296" spans="1:3" x14ac:dyDescent="0.35">
      <c r="A296" s="53">
        <v>9643.9</v>
      </c>
      <c r="B296" s="53">
        <f t="shared" si="8"/>
        <v>3.984252698421161</v>
      </c>
      <c r="C296">
        <f t="shared" si="9"/>
        <v>5.7001769370718156</v>
      </c>
    </row>
    <row r="297" spans="1:3" x14ac:dyDescent="0.35">
      <c r="A297" s="53">
        <v>9765.2999999999993</v>
      </c>
      <c r="B297" s="53">
        <f t="shared" si="8"/>
        <v>3.9896855897993215</v>
      </c>
      <c r="C297">
        <f t="shared" si="9"/>
        <v>5.7079496474091087</v>
      </c>
    </row>
    <row r="298" spans="1:3" x14ac:dyDescent="0.35">
      <c r="A298" s="53">
        <v>9906.2999999999993</v>
      </c>
      <c r="B298" s="53">
        <f t="shared" si="8"/>
        <v>3.995911475914935</v>
      </c>
      <c r="C298">
        <f t="shared" si="9"/>
        <v>5.7168568767279515</v>
      </c>
    </row>
    <row r="299" spans="1:3" x14ac:dyDescent="0.35">
      <c r="A299" s="53">
        <v>9914.1</v>
      </c>
      <c r="B299" s="53">
        <f t="shared" si="8"/>
        <v>3.9962532951651744</v>
      </c>
      <c r="C299">
        <f t="shared" si="9"/>
        <v>5.717345909516367</v>
      </c>
    </row>
    <row r="300" spans="1:3" x14ac:dyDescent="0.35">
      <c r="A300" s="53">
        <v>10174.9</v>
      </c>
      <c r="B300" s="53">
        <f t="shared" si="8"/>
        <v>4.0075301496258469</v>
      </c>
      <c r="C300">
        <f t="shared" si="9"/>
        <v>5.7334794408420562</v>
      </c>
    </row>
    <row r="301" spans="1:3" x14ac:dyDescent="0.35">
      <c r="A301" s="53">
        <v>10345.200000000001</v>
      </c>
      <c r="B301" s="53">
        <f t="shared" si="8"/>
        <v>4.014738891140639</v>
      </c>
      <c r="C301">
        <f t="shared" si="9"/>
        <v>5.7437928183404798</v>
      </c>
    </row>
    <row r="302" spans="1:3" x14ac:dyDescent="0.35">
      <c r="A302" s="53">
        <v>10443</v>
      </c>
      <c r="B302" s="53">
        <f t="shared" si="8"/>
        <v>4.0188252780039511</v>
      </c>
      <c r="C302">
        <f t="shared" si="9"/>
        <v>5.7496391162330394</v>
      </c>
    </row>
    <row r="303" spans="1:3" x14ac:dyDescent="0.35">
      <c r="A303" s="53">
        <v>10507.9</v>
      </c>
      <c r="B303" s="53">
        <f t="shared" si="8"/>
        <v>4.0215159311053874</v>
      </c>
      <c r="C303">
        <f t="shared" si="9"/>
        <v>5.7534885705511734</v>
      </c>
    </row>
    <row r="304" spans="1:3" x14ac:dyDescent="0.35">
      <c r="A304" s="53">
        <v>10578.6</v>
      </c>
      <c r="B304" s="53">
        <f t="shared" si="8"/>
        <v>4.0244281958177046</v>
      </c>
      <c r="C304">
        <f t="shared" si="9"/>
        <v>5.7576550794059891</v>
      </c>
    </row>
    <row r="305" spans="1:3" x14ac:dyDescent="0.35">
      <c r="A305" s="53">
        <v>10602.9</v>
      </c>
      <c r="B305" s="53">
        <f t="shared" si="8"/>
        <v>4.0254246654294059</v>
      </c>
      <c r="C305">
        <f t="shared" si="9"/>
        <v>5.7590807051202821</v>
      </c>
    </row>
    <row r="306" spans="1:3" x14ac:dyDescent="0.35">
      <c r="A306" s="53">
        <v>10608.2</v>
      </c>
      <c r="B306" s="53">
        <f t="shared" si="8"/>
        <v>4.0256416990393538</v>
      </c>
      <c r="C306">
        <f t="shared" si="9"/>
        <v>5.7593912100183493</v>
      </c>
    </row>
    <row r="307" spans="1:3" x14ac:dyDescent="0.35">
      <c r="A307" s="53">
        <v>10644.8</v>
      </c>
      <c r="B307" s="53">
        <f t="shared" si="8"/>
        <v>4.0271375061019743</v>
      </c>
      <c r="C307">
        <f t="shared" si="9"/>
        <v>5.7615312261182394</v>
      </c>
    </row>
    <row r="308" spans="1:3" x14ac:dyDescent="0.35">
      <c r="A308" s="53">
        <v>10674.7</v>
      </c>
      <c r="B308" s="53">
        <f t="shared" si="8"/>
        <v>4.0283556785284098</v>
      </c>
      <c r="C308">
        <f t="shared" si="9"/>
        <v>5.763274036852434</v>
      </c>
    </row>
    <row r="309" spans="1:3" x14ac:dyDescent="0.35">
      <c r="A309" s="53">
        <v>10806.1</v>
      </c>
      <c r="B309" s="53">
        <f t="shared" si="8"/>
        <v>4.0336689821969989</v>
      </c>
      <c r="C309">
        <f t="shared" si="9"/>
        <v>5.7708756558570098</v>
      </c>
    </row>
    <row r="310" spans="1:3" x14ac:dyDescent="0.35">
      <c r="A310" s="53">
        <v>10887.2</v>
      </c>
      <c r="B310" s="53">
        <f t="shared" si="8"/>
        <v>4.0369162010683377</v>
      </c>
      <c r="C310">
        <f t="shared" si="9"/>
        <v>5.7755213757751669</v>
      </c>
    </row>
    <row r="311" spans="1:3" x14ac:dyDescent="0.35">
      <c r="A311" s="53">
        <v>10940</v>
      </c>
      <c r="B311" s="53">
        <f t="shared" si="8"/>
        <v>4.0390173219974121</v>
      </c>
      <c r="C311">
        <f t="shared" si="9"/>
        <v>5.7785274002340712</v>
      </c>
    </row>
    <row r="312" spans="1:3" x14ac:dyDescent="0.35">
      <c r="A312" s="53">
        <v>11112.1</v>
      </c>
      <c r="B312" s="53">
        <f t="shared" si="8"/>
        <v>4.0457961410496432</v>
      </c>
      <c r="C312">
        <f t="shared" si="9"/>
        <v>5.7882256977435205</v>
      </c>
    </row>
    <row r="313" spans="1:3" x14ac:dyDescent="0.35">
      <c r="A313" s="53">
        <v>11181.7</v>
      </c>
      <c r="B313" s="53">
        <f t="shared" si="8"/>
        <v>4.0485078361526359</v>
      </c>
      <c r="C313">
        <f t="shared" si="9"/>
        <v>5.7921052563600135</v>
      </c>
    </row>
    <row r="314" spans="1:3" x14ac:dyDescent="0.35">
      <c r="A314" s="53">
        <v>11208.3</v>
      </c>
      <c r="B314" s="53">
        <f t="shared" si="8"/>
        <v>4.0495397467067793</v>
      </c>
      <c r="C314">
        <f t="shared" si="9"/>
        <v>5.7935815865998546</v>
      </c>
    </row>
    <row r="315" spans="1:3" x14ac:dyDescent="0.35">
      <c r="A315" s="53">
        <v>11208.3</v>
      </c>
      <c r="B315" s="53">
        <f t="shared" si="8"/>
        <v>4.0495397467067793</v>
      </c>
      <c r="C315">
        <f t="shared" si="9"/>
        <v>5.7935815865998546</v>
      </c>
    </row>
    <row r="316" spans="1:3" x14ac:dyDescent="0.35">
      <c r="A316" s="53">
        <v>12270.3</v>
      </c>
      <c r="B316" s="53">
        <f t="shared" si="8"/>
        <v>4.0888551810441864</v>
      </c>
      <c r="C316">
        <f t="shared" si="9"/>
        <v>5.8498292568768582</v>
      </c>
    </row>
    <row r="317" spans="1:3" x14ac:dyDescent="0.35">
      <c r="A317" s="53">
        <v>12279.1</v>
      </c>
      <c r="B317" s="53">
        <f t="shared" si="8"/>
        <v>4.0891665362385652</v>
      </c>
      <c r="C317">
        <f t="shared" si="9"/>
        <v>5.85027470545469</v>
      </c>
    </row>
    <row r="318" spans="1:3" x14ac:dyDescent="0.35">
      <c r="A318" s="53">
        <v>12338.7</v>
      </c>
      <c r="B318" s="53">
        <f t="shared" si="8"/>
        <v>4.091269405032107</v>
      </c>
      <c r="C318">
        <f t="shared" si="9"/>
        <v>5.8532832305423144</v>
      </c>
    </row>
    <row r="319" spans="1:3" x14ac:dyDescent="0.35">
      <c r="A319" s="53">
        <v>12621.1</v>
      </c>
      <c r="B319" s="53">
        <f t="shared" si="8"/>
        <v>4.1010972077695511</v>
      </c>
      <c r="C319">
        <f t="shared" si="9"/>
        <v>5.8673436375361447</v>
      </c>
    </row>
    <row r="320" spans="1:3" x14ac:dyDescent="0.35">
      <c r="A320" s="53">
        <v>12678.8</v>
      </c>
      <c r="B320" s="53">
        <f t="shared" si="8"/>
        <v>4.1030781511766214</v>
      </c>
      <c r="C320">
        <f t="shared" si="9"/>
        <v>5.8701777268315096</v>
      </c>
    </row>
    <row r="321" spans="1:3" x14ac:dyDescent="0.35">
      <c r="A321" s="53">
        <v>12746.3</v>
      </c>
      <c r="B321" s="53">
        <f t="shared" si="8"/>
        <v>4.1053841359241163</v>
      </c>
      <c r="C321">
        <f t="shared" si="9"/>
        <v>5.8734768451530259</v>
      </c>
    </row>
    <row r="322" spans="1:3" x14ac:dyDescent="0.35">
      <c r="A322" s="53">
        <v>12767.4</v>
      </c>
      <c r="B322" s="53">
        <f t="shared" si="8"/>
        <v>4.106102464951837</v>
      </c>
      <c r="C322">
        <f t="shared" si="9"/>
        <v>5.8745045416539696</v>
      </c>
    </row>
    <row r="323" spans="1:3" x14ac:dyDescent="0.35">
      <c r="A323" s="53">
        <v>13476</v>
      </c>
      <c r="B323" s="53">
        <f t="shared" ref="B323:B386" si="10">LOG(A323)</f>
        <v>4.1295610023090825</v>
      </c>
      <c r="C323">
        <f t="shared" ref="C323:C386" si="11">LOG(A323,5)</f>
        <v>5.9080661211376695</v>
      </c>
    </row>
    <row r="324" spans="1:3" x14ac:dyDescent="0.35">
      <c r="A324" s="53">
        <v>13626.1</v>
      </c>
      <c r="B324" s="53">
        <f t="shared" si="10"/>
        <v>4.1343715718401928</v>
      </c>
      <c r="C324">
        <f t="shared" si="11"/>
        <v>5.914948490196811</v>
      </c>
    </row>
    <row r="325" spans="1:3" x14ac:dyDescent="0.35">
      <c r="A325" s="53">
        <v>13662.7</v>
      </c>
      <c r="B325" s="53">
        <f t="shared" si="10"/>
        <v>4.1355365323784827</v>
      </c>
      <c r="C325">
        <f t="shared" si="11"/>
        <v>5.9166151719300242</v>
      </c>
    </row>
    <row r="326" spans="1:3" x14ac:dyDescent="0.35">
      <c r="A326" s="53">
        <v>14213.4</v>
      </c>
      <c r="B326" s="53">
        <f t="shared" si="10"/>
        <v>4.1526979783226032</v>
      </c>
      <c r="C326">
        <f t="shared" si="11"/>
        <v>5.9411676503449202</v>
      </c>
    </row>
    <row r="327" spans="1:3" x14ac:dyDescent="0.35">
      <c r="A327" s="53">
        <v>14230.3</v>
      </c>
      <c r="B327" s="53">
        <f t="shared" si="10"/>
        <v>4.1532140558798716</v>
      </c>
      <c r="C327">
        <f t="shared" si="11"/>
        <v>5.9419059904082516</v>
      </c>
    </row>
    <row r="328" spans="1:3" x14ac:dyDescent="0.35">
      <c r="A328" s="53">
        <v>14300.8</v>
      </c>
      <c r="B328" s="53">
        <f t="shared" si="10"/>
        <v>4.1553603329802655</v>
      </c>
      <c r="C328">
        <f t="shared" si="11"/>
        <v>5.9449766187429143</v>
      </c>
    </row>
    <row r="329" spans="1:3" x14ac:dyDescent="0.35">
      <c r="A329" s="53">
        <v>14539.4</v>
      </c>
      <c r="B329" s="53">
        <f t="shared" si="10"/>
        <v>4.1625464847853504</v>
      </c>
      <c r="C329">
        <f t="shared" si="11"/>
        <v>5.9552576776732069</v>
      </c>
    </row>
    <row r="330" spans="1:3" x14ac:dyDescent="0.35">
      <c r="A330" s="53">
        <v>14600.8</v>
      </c>
      <c r="B330" s="53">
        <f t="shared" si="10"/>
        <v>4.164376652090402</v>
      </c>
      <c r="C330">
        <f t="shared" si="11"/>
        <v>5.9578760551338963</v>
      </c>
    </row>
    <row r="331" spans="1:3" x14ac:dyDescent="0.35">
      <c r="A331" s="53">
        <v>14653.9</v>
      </c>
      <c r="B331" s="53">
        <f t="shared" si="10"/>
        <v>4.1659532235346113</v>
      </c>
      <c r="C331">
        <f t="shared" si="11"/>
        <v>5.9601316189412552</v>
      </c>
    </row>
    <row r="332" spans="1:3" x14ac:dyDescent="0.35">
      <c r="A332" s="53">
        <v>14784.8</v>
      </c>
      <c r="B332" s="53">
        <f t="shared" si="10"/>
        <v>4.1698154540238637</v>
      </c>
      <c r="C332">
        <f t="shared" si="11"/>
        <v>5.9656572215641042</v>
      </c>
    </row>
    <row r="333" spans="1:3" x14ac:dyDescent="0.35">
      <c r="A333" s="53">
        <v>14787.8</v>
      </c>
      <c r="B333" s="53">
        <f t="shared" si="10"/>
        <v>4.1699035682546164</v>
      </c>
      <c r="C333">
        <f t="shared" si="11"/>
        <v>5.9657832845284746</v>
      </c>
    </row>
    <row r="334" spans="1:3" x14ac:dyDescent="0.35">
      <c r="A334" s="53">
        <v>15193.2</v>
      </c>
      <c r="B334" s="53">
        <f t="shared" si="10"/>
        <v>4.1816492548356416</v>
      </c>
      <c r="C334">
        <f t="shared" si="11"/>
        <v>5.9825875629784244</v>
      </c>
    </row>
    <row r="335" spans="1:3" x14ac:dyDescent="0.35">
      <c r="A335" s="53">
        <v>15526.3</v>
      </c>
      <c r="B335" s="53">
        <f t="shared" si="10"/>
        <v>4.1910679733697043</v>
      </c>
      <c r="C335">
        <f t="shared" si="11"/>
        <v>5.9960627027921998</v>
      </c>
    </row>
    <row r="336" spans="1:3" x14ac:dyDescent="0.35">
      <c r="A336" s="53">
        <v>15667.7</v>
      </c>
      <c r="B336" s="53">
        <f t="shared" si="10"/>
        <v>4.1950052472266117</v>
      </c>
      <c r="C336">
        <f t="shared" si="11"/>
        <v>6.0016956682019922</v>
      </c>
    </row>
    <row r="337" spans="1:3" x14ac:dyDescent="0.35">
      <c r="A337" s="53">
        <v>15724.2</v>
      </c>
      <c r="B337" s="53">
        <f t="shared" si="10"/>
        <v>4.1965685590824187</v>
      </c>
      <c r="C337">
        <f t="shared" si="11"/>
        <v>6.0039322618270541</v>
      </c>
    </row>
    <row r="338" spans="1:3" x14ac:dyDescent="0.35">
      <c r="A338" s="53">
        <v>15727.5</v>
      </c>
      <c r="B338" s="53">
        <f t="shared" si="10"/>
        <v>4.1966596938570442</v>
      </c>
      <c r="C338">
        <f t="shared" si="11"/>
        <v>6.0040626462127351</v>
      </c>
    </row>
    <row r="339" spans="1:3" x14ac:dyDescent="0.35">
      <c r="A339" s="53">
        <v>15845.1</v>
      </c>
      <c r="B339" s="53">
        <f t="shared" si="10"/>
        <v>4.199894984410582</v>
      </c>
      <c r="C339">
        <f t="shared" si="11"/>
        <v>6.0086913005662392</v>
      </c>
    </row>
    <row r="340" spans="1:3" x14ac:dyDescent="0.35">
      <c r="A340" s="53">
        <v>16532.8</v>
      </c>
      <c r="B340" s="53">
        <f t="shared" si="10"/>
        <v>4.2183464120451539</v>
      </c>
      <c r="C340">
        <f t="shared" si="11"/>
        <v>6.035089325546009</v>
      </c>
    </row>
    <row r="341" spans="1:3" x14ac:dyDescent="0.35">
      <c r="A341" s="53">
        <v>16576.599999999999</v>
      </c>
      <c r="B341" s="53">
        <f t="shared" si="10"/>
        <v>4.2194954578994306</v>
      </c>
      <c r="C341">
        <f t="shared" si="11"/>
        <v>6.0367332385138734</v>
      </c>
    </row>
    <row r="342" spans="1:3" x14ac:dyDescent="0.35">
      <c r="A342" s="53">
        <v>16609.599999999999</v>
      </c>
      <c r="B342" s="53">
        <f t="shared" si="10"/>
        <v>4.2203591736985633</v>
      </c>
      <c r="C342">
        <f t="shared" si="11"/>
        <v>6.0379689364605298</v>
      </c>
    </row>
    <row r="343" spans="1:3" x14ac:dyDescent="0.35">
      <c r="A343" s="53">
        <v>16620.599999999999</v>
      </c>
      <c r="B343" s="53">
        <f t="shared" si="10"/>
        <v>4.2206466976662451</v>
      </c>
      <c r="C343">
        <f t="shared" si="11"/>
        <v>6.0383802902609762</v>
      </c>
    </row>
    <row r="344" spans="1:3" x14ac:dyDescent="0.35">
      <c r="A344" s="53">
        <v>16866.400000000001</v>
      </c>
      <c r="B344" s="53">
        <f t="shared" si="10"/>
        <v>4.2270223957499375</v>
      </c>
      <c r="C344">
        <f t="shared" si="11"/>
        <v>6.0475018520506687</v>
      </c>
    </row>
    <row r="345" spans="1:3" x14ac:dyDescent="0.35">
      <c r="A345" s="53">
        <v>16885.3</v>
      </c>
      <c r="B345" s="53">
        <f t="shared" si="10"/>
        <v>4.2275087811210987</v>
      </c>
      <c r="C345">
        <f t="shared" si="11"/>
        <v>6.0481977121993786</v>
      </c>
    </row>
    <row r="346" spans="1:3" x14ac:dyDescent="0.35">
      <c r="A346" s="53">
        <v>17114.8</v>
      </c>
      <c r="B346" s="53">
        <f t="shared" si="10"/>
        <v>4.2333718284283872</v>
      </c>
      <c r="C346">
        <f t="shared" si="11"/>
        <v>6.0565858365407923</v>
      </c>
    </row>
    <row r="347" spans="1:3" x14ac:dyDescent="0.35">
      <c r="A347" s="53">
        <v>17441.599999999999</v>
      </c>
      <c r="B347" s="53">
        <f t="shared" si="10"/>
        <v>4.2415863222994252</v>
      </c>
      <c r="C347">
        <f t="shared" si="11"/>
        <v>6.0683381203585229</v>
      </c>
    </row>
    <row r="348" spans="1:3" x14ac:dyDescent="0.35">
      <c r="A348" s="53">
        <v>18023.099999999999</v>
      </c>
      <c r="B348" s="53">
        <f t="shared" si="10"/>
        <v>4.2558294923646507</v>
      </c>
      <c r="C348">
        <f t="shared" si="11"/>
        <v>6.0887154898834943</v>
      </c>
    </row>
    <row r="349" spans="1:3" x14ac:dyDescent="0.35">
      <c r="A349" s="53">
        <v>18430.400000000001</v>
      </c>
      <c r="B349" s="53">
        <f t="shared" si="10"/>
        <v>4.2655347609329981</v>
      </c>
      <c r="C349">
        <f t="shared" si="11"/>
        <v>6.1026005901140357</v>
      </c>
    </row>
    <row r="350" spans="1:3" x14ac:dyDescent="0.35">
      <c r="A350" s="53">
        <v>18563.900000000001</v>
      </c>
      <c r="B350" s="53">
        <f t="shared" si="10"/>
        <v>4.2686692202961645</v>
      </c>
      <c r="C350">
        <f t="shared" si="11"/>
        <v>6.1070849876471511</v>
      </c>
    </row>
    <row r="351" spans="1:3" x14ac:dyDescent="0.35">
      <c r="A351" s="53">
        <v>18568.400000000001</v>
      </c>
      <c r="B351" s="53">
        <f t="shared" si="10"/>
        <v>4.2687744831093024</v>
      </c>
      <c r="C351">
        <f t="shared" si="11"/>
        <v>6.1072355846863449</v>
      </c>
    </row>
    <row r="352" spans="1:3" x14ac:dyDescent="0.35">
      <c r="A352" s="53">
        <v>18690.099999999999</v>
      </c>
      <c r="B352" s="53">
        <f t="shared" si="10"/>
        <v>4.2716116250456064</v>
      </c>
      <c r="C352">
        <f t="shared" si="11"/>
        <v>6.111294617146541</v>
      </c>
    </row>
    <row r="353" spans="1:3" x14ac:dyDescent="0.35">
      <c r="A353" s="53">
        <v>19078.2</v>
      </c>
      <c r="B353" s="53">
        <f t="shared" si="10"/>
        <v>4.280537397257814</v>
      </c>
      <c r="C353">
        <f t="shared" si="11"/>
        <v>6.12406451021325</v>
      </c>
    </row>
    <row r="354" spans="1:3" x14ac:dyDescent="0.35">
      <c r="A354" s="53">
        <v>19384</v>
      </c>
      <c r="B354" s="53">
        <f t="shared" si="10"/>
        <v>4.2874434011294502</v>
      </c>
      <c r="C354">
        <f t="shared" si="11"/>
        <v>6.1339447680623636</v>
      </c>
    </row>
    <row r="355" spans="1:3" x14ac:dyDescent="0.35">
      <c r="A355" s="53">
        <v>19789.099999999999</v>
      </c>
      <c r="B355" s="53">
        <f t="shared" si="10"/>
        <v>4.2964260431239421</v>
      </c>
      <c r="C355">
        <f t="shared" si="11"/>
        <v>6.1467960233934491</v>
      </c>
    </row>
    <row r="356" spans="1:3" x14ac:dyDescent="0.35">
      <c r="A356" s="53">
        <v>19930.900000000001</v>
      </c>
      <c r="B356" s="53">
        <f t="shared" si="10"/>
        <v>4.2995269101509956</v>
      </c>
      <c r="C356">
        <f t="shared" si="11"/>
        <v>6.1512323611587583</v>
      </c>
    </row>
    <row r="357" spans="1:3" x14ac:dyDescent="0.35">
      <c r="A357" s="53">
        <v>20906.8</v>
      </c>
      <c r="B357" s="53">
        <f t="shared" si="10"/>
        <v>4.3202875646831034</v>
      </c>
      <c r="C357">
        <f t="shared" si="11"/>
        <v>6.1809341429281046</v>
      </c>
    </row>
    <row r="358" spans="1:3" x14ac:dyDescent="0.35">
      <c r="A358" s="53">
        <v>20917.900000000001</v>
      </c>
      <c r="B358" s="53">
        <f t="shared" si="10"/>
        <v>4.320518082480592</v>
      </c>
      <c r="C358">
        <f t="shared" si="11"/>
        <v>6.1812639393371898</v>
      </c>
    </row>
    <row r="359" spans="1:3" x14ac:dyDescent="0.35">
      <c r="A359" s="53">
        <v>21154.7</v>
      </c>
      <c r="B359" s="53">
        <f t="shared" si="10"/>
        <v>4.325406870874196</v>
      </c>
      <c r="C359">
        <f t="shared" si="11"/>
        <v>6.1882582142893003</v>
      </c>
    </row>
    <row r="360" spans="1:3" x14ac:dyDescent="0.35">
      <c r="A360" s="53">
        <v>21626</v>
      </c>
      <c r="B360" s="53">
        <f t="shared" si="10"/>
        <v>4.334976198654342</v>
      </c>
      <c r="C360">
        <f t="shared" si="11"/>
        <v>6.2019488272208756</v>
      </c>
    </row>
    <row r="361" spans="1:3" x14ac:dyDescent="0.35">
      <c r="A361" s="53">
        <v>21679.599999999999</v>
      </c>
      <c r="B361" s="53">
        <f t="shared" si="10"/>
        <v>4.3360512649791101</v>
      </c>
      <c r="C361">
        <f t="shared" si="11"/>
        <v>6.2034868994100956</v>
      </c>
    </row>
    <row r="362" spans="1:3" x14ac:dyDescent="0.35">
      <c r="A362" s="53">
        <v>21775.4</v>
      </c>
      <c r="B362" s="53">
        <f t="shared" si="10"/>
        <v>4.3379661414614326</v>
      </c>
      <c r="C362">
        <f t="shared" si="11"/>
        <v>6.2062264683049611</v>
      </c>
    </row>
    <row r="363" spans="1:3" x14ac:dyDescent="0.35">
      <c r="A363" s="53">
        <v>22136</v>
      </c>
      <c r="B363" s="53">
        <f t="shared" si="10"/>
        <v>4.3450991461328954</v>
      </c>
      <c r="C363">
        <f t="shared" si="11"/>
        <v>6.2164314908770502</v>
      </c>
    </row>
    <row r="364" spans="1:3" x14ac:dyDescent="0.35">
      <c r="A364" s="53">
        <v>23234.1</v>
      </c>
      <c r="B364" s="53">
        <f t="shared" si="10"/>
        <v>4.366125854236711</v>
      </c>
      <c r="C364">
        <f t="shared" si="11"/>
        <v>6.2465139092546318</v>
      </c>
    </row>
    <row r="365" spans="1:3" x14ac:dyDescent="0.35">
      <c r="A365" s="53">
        <v>23572.1</v>
      </c>
      <c r="B365" s="53">
        <f t="shared" si="10"/>
        <v>4.3723982748359775</v>
      </c>
      <c r="C365">
        <f t="shared" si="11"/>
        <v>6.2554877143683782</v>
      </c>
    </row>
    <row r="366" spans="1:3" x14ac:dyDescent="0.35">
      <c r="A366" s="53">
        <v>23670.5</v>
      </c>
      <c r="B366" s="53">
        <f t="shared" si="10"/>
        <v>4.3742074317756181</v>
      </c>
      <c r="C366">
        <f t="shared" si="11"/>
        <v>6.2580760327917986</v>
      </c>
    </row>
    <row r="367" spans="1:3" x14ac:dyDescent="0.35">
      <c r="A367" s="53">
        <v>25166.7</v>
      </c>
      <c r="B367" s="53">
        <f t="shared" si="10"/>
        <v>4.4008262721336244</v>
      </c>
      <c r="C367">
        <f t="shared" si="11"/>
        <v>6.2961589836950953</v>
      </c>
    </row>
    <row r="368" spans="1:3" x14ac:dyDescent="0.35">
      <c r="A368" s="53">
        <v>25968.9</v>
      </c>
      <c r="B368" s="53">
        <f t="shared" si="10"/>
        <v>4.4144535540171441</v>
      </c>
      <c r="C368">
        <f t="shared" si="11"/>
        <v>6.3156552164361059</v>
      </c>
    </row>
    <row r="369" spans="1:3" x14ac:dyDescent="0.35">
      <c r="A369" s="53">
        <v>27095.599999999999</v>
      </c>
      <c r="B369" s="53">
        <f t="shared" si="10"/>
        <v>4.4328987723922939</v>
      </c>
      <c r="C369">
        <f t="shared" si="11"/>
        <v>6.3420443579739771</v>
      </c>
    </row>
    <row r="370" spans="1:3" x14ac:dyDescent="0.35">
      <c r="A370" s="53">
        <v>28104.400000000001</v>
      </c>
      <c r="B370" s="53">
        <f t="shared" si="10"/>
        <v>4.4487743179879446</v>
      </c>
      <c r="C370">
        <f t="shared" si="11"/>
        <v>6.3647571289042997</v>
      </c>
    </row>
    <row r="371" spans="1:3" x14ac:dyDescent="0.35">
      <c r="A371" s="53">
        <v>29514.5</v>
      </c>
      <c r="B371" s="53">
        <f t="shared" si="10"/>
        <v>4.4700354303124135</v>
      </c>
      <c r="C371">
        <f t="shared" si="11"/>
        <v>6.3951749039054819</v>
      </c>
    </row>
    <row r="372" spans="1:3" x14ac:dyDescent="0.35">
      <c r="A372" s="53">
        <v>29525.3</v>
      </c>
      <c r="B372" s="53">
        <f t="shared" si="10"/>
        <v>4.470194319077514</v>
      </c>
      <c r="C372">
        <f t="shared" si="11"/>
        <v>6.3954022223370526</v>
      </c>
    </row>
    <row r="373" spans="1:3" x14ac:dyDescent="0.35">
      <c r="A373" s="53">
        <v>30092</v>
      </c>
      <c r="B373" s="53">
        <f t="shared" si="10"/>
        <v>4.4784510531471504</v>
      </c>
      <c r="C373">
        <f t="shared" si="11"/>
        <v>6.4072149382167272</v>
      </c>
    </row>
    <row r="374" spans="1:3" x14ac:dyDescent="0.35">
      <c r="A374" s="53">
        <v>32242.7</v>
      </c>
      <c r="B374" s="53">
        <f t="shared" si="10"/>
        <v>4.5084314024259591</v>
      </c>
      <c r="C374">
        <f t="shared" si="11"/>
        <v>6.4501071211327714</v>
      </c>
    </row>
    <row r="375" spans="1:3" x14ac:dyDescent="0.35">
      <c r="A375" s="53">
        <v>32773.300000000003</v>
      </c>
      <c r="B375" s="53">
        <f t="shared" si="10"/>
        <v>4.5155201734432113</v>
      </c>
      <c r="C375">
        <f t="shared" si="11"/>
        <v>6.4602488596527046</v>
      </c>
    </row>
    <row r="376" spans="1:3" x14ac:dyDescent="0.35">
      <c r="A376" s="53">
        <v>34285.300000000003</v>
      </c>
      <c r="B376" s="53">
        <f t="shared" si="10"/>
        <v>4.5351079539406545</v>
      </c>
      <c r="C376">
        <f t="shared" si="11"/>
        <v>6.4882726380350837</v>
      </c>
    </row>
    <row r="377" spans="1:3" x14ac:dyDescent="0.35">
      <c r="A377" s="53">
        <v>35089.699999999997</v>
      </c>
      <c r="B377" s="53">
        <f t="shared" si="10"/>
        <v>4.5451796552230572</v>
      </c>
      <c r="C377">
        <f t="shared" si="11"/>
        <v>6.502681984959735</v>
      </c>
    </row>
    <row r="378" spans="1:3" x14ac:dyDescent="0.35">
      <c r="A378" s="53">
        <v>37579.599999999999</v>
      </c>
      <c r="B378" s="53">
        <f t="shared" si="10"/>
        <v>4.5749521531270059</v>
      </c>
      <c r="C378">
        <f t="shared" si="11"/>
        <v>6.5452767997862038</v>
      </c>
    </row>
    <row r="379" spans="1:3" x14ac:dyDescent="0.35">
      <c r="A379" s="53">
        <v>37887.699999999997</v>
      </c>
      <c r="B379" s="53">
        <f t="shared" si="10"/>
        <v>4.578498241917206</v>
      </c>
      <c r="C379">
        <f t="shared" si="11"/>
        <v>6.5503501058911899</v>
      </c>
    </row>
    <row r="380" spans="1:3" x14ac:dyDescent="0.35">
      <c r="A380" s="53">
        <v>40205.800000000003</v>
      </c>
      <c r="B380" s="53">
        <f t="shared" si="10"/>
        <v>4.6042887079675605</v>
      </c>
      <c r="C380">
        <f t="shared" si="11"/>
        <v>6.5872479210912207</v>
      </c>
    </row>
    <row r="381" spans="1:3" x14ac:dyDescent="0.35">
      <c r="A381" s="53">
        <v>41495</v>
      </c>
      <c r="B381" s="53">
        <f t="shared" si="10"/>
        <v>4.6179957689233788</v>
      </c>
      <c r="C381">
        <f t="shared" si="11"/>
        <v>6.6068582918807932</v>
      </c>
    </row>
    <row r="382" spans="1:3" x14ac:dyDescent="0.35">
      <c r="A382" s="53">
        <v>42013.4</v>
      </c>
      <c r="B382" s="53">
        <f t="shared" si="10"/>
        <v>4.6233878289192996</v>
      </c>
      <c r="C382">
        <f t="shared" si="11"/>
        <v>6.6145725857166813</v>
      </c>
    </row>
    <row r="383" spans="1:3" x14ac:dyDescent="0.35">
      <c r="A383" s="53">
        <v>42428.6</v>
      </c>
      <c r="B383" s="53">
        <f t="shared" si="10"/>
        <v>4.6276587017570536</v>
      </c>
      <c r="C383">
        <f t="shared" si="11"/>
        <v>6.6206828233681678</v>
      </c>
    </row>
    <row r="384" spans="1:3" x14ac:dyDescent="0.35">
      <c r="A384" s="53">
        <v>44108.4</v>
      </c>
      <c r="B384" s="53">
        <f t="shared" si="10"/>
        <v>4.6445213043489391</v>
      </c>
      <c r="C384">
        <f t="shared" si="11"/>
        <v>6.6448077536044856</v>
      </c>
    </row>
    <row r="385" spans="1:3" x14ac:dyDescent="0.35">
      <c r="A385" s="53">
        <v>45969.9</v>
      </c>
      <c r="B385" s="53">
        <f t="shared" si="10"/>
        <v>4.6624735590147122</v>
      </c>
      <c r="C385">
        <f t="shared" si="11"/>
        <v>6.6704916235193714</v>
      </c>
    </row>
    <row r="386" spans="1:3" x14ac:dyDescent="0.35">
      <c r="A386" s="53">
        <v>47142.9</v>
      </c>
      <c r="B386" s="53">
        <f t="shared" si="10"/>
        <v>4.6734162946766169</v>
      </c>
      <c r="C386">
        <f t="shared" si="11"/>
        <v>6.6861471389120517</v>
      </c>
    </row>
    <row r="387" spans="1:3" x14ac:dyDescent="0.35">
      <c r="A387" s="53">
        <v>47983.9</v>
      </c>
      <c r="B387" s="53">
        <f t="shared" ref="B387:B401" si="12">LOG(A387)</f>
        <v>4.6810955433326447</v>
      </c>
      <c r="C387">
        <f t="shared" ref="C387:C401" si="13">LOG(A387,5)</f>
        <v>6.6971336599478475</v>
      </c>
    </row>
    <row r="388" spans="1:3" x14ac:dyDescent="0.35">
      <c r="A388" s="53">
        <v>48858.400000000001</v>
      </c>
      <c r="B388" s="53">
        <f t="shared" si="12"/>
        <v>4.6889392407268851</v>
      </c>
      <c r="C388">
        <f t="shared" si="13"/>
        <v>6.7083554539384087</v>
      </c>
    </row>
    <row r="389" spans="1:3" x14ac:dyDescent="0.35">
      <c r="A389" s="53">
        <v>50307.9</v>
      </c>
      <c r="B389" s="53">
        <f t="shared" si="12"/>
        <v>4.7016361889725999</v>
      </c>
      <c r="C389">
        <f t="shared" si="13"/>
        <v>6.7265206801526238</v>
      </c>
    </row>
    <row r="390" spans="1:3" x14ac:dyDescent="0.35">
      <c r="A390" s="53">
        <v>50790</v>
      </c>
      <c r="B390" s="53">
        <f t="shared" si="12"/>
        <v>4.7057782128285979</v>
      </c>
      <c r="C390">
        <f t="shared" si="13"/>
        <v>6.7324465765863817</v>
      </c>
    </row>
    <row r="391" spans="1:3" x14ac:dyDescent="0.35">
      <c r="A391" s="53">
        <v>53678.8</v>
      </c>
      <c r="B391" s="53">
        <f t="shared" si="12"/>
        <v>4.7298027985319591</v>
      </c>
      <c r="C391">
        <f t="shared" si="13"/>
        <v>6.7668179881696053</v>
      </c>
    </row>
    <row r="392" spans="1:3" x14ac:dyDescent="0.35">
      <c r="A392" s="53">
        <v>55354.400000000001</v>
      </c>
      <c r="B392" s="53">
        <f t="shared" si="12"/>
        <v>4.7431521477038459</v>
      </c>
      <c r="C392">
        <f t="shared" si="13"/>
        <v>6.7859165890953594</v>
      </c>
    </row>
    <row r="393" spans="1:3" x14ac:dyDescent="0.35">
      <c r="A393" s="53">
        <v>61307.1</v>
      </c>
      <c r="B393" s="53">
        <f t="shared" si="12"/>
        <v>4.7875107732502986</v>
      </c>
      <c r="C393">
        <f t="shared" si="13"/>
        <v>6.8493794348130255</v>
      </c>
    </row>
    <row r="394" spans="1:3" x14ac:dyDescent="0.35">
      <c r="A394" s="53">
        <v>62570.400000000001</v>
      </c>
      <c r="B394" s="53">
        <f t="shared" si="12"/>
        <v>4.7963689313437907</v>
      </c>
      <c r="C394">
        <f t="shared" si="13"/>
        <v>6.8620525939450943</v>
      </c>
    </row>
    <row r="395" spans="1:3" x14ac:dyDescent="0.35">
      <c r="A395" s="53">
        <v>67629.2</v>
      </c>
      <c r="B395" s="53">
        <f t="shared" si="12"/>
        <v>4.8301342500951572</v>
      </c>
      <c r="C395">
        <f t="shared" si="13"/>
        <v>6.910359843958549</v>
      </c>
    </row>
    <row r="396" spans="1:3" x14ac:dyDescent="0.35">
      <c r="A396" s="53">
        <v>90072.3</v>
      </c>
      <c r="B396" s="53">
        <f t="shared" si="12"/>
        <v>4.9545912526133593</v>
      </c>
      <c r="C396">
        <f t="shared" si="13"/>
        <v>7.0884175599494235</v>
      </c>
    </row>
    <row r="397" spans="1:3" x14ac:dyDescent="0.35">
      <c r="A397" s="53">
        <v>180498.3</v>
      </c>
      <c r="B397" s="53">
        <f t="shared" si="12"/>
        <v>5.2564731159142752</v>
      </c>
      <c r="C397">
        <f t="shared" si="13"/>
        <v>7.5203128650815589</v>
      </c>
    </row>
    <row r="398" spans="1:3" x14ac:dyDescent="0.35">
      <c r="A398" s="53">
        <v>187895.2</v>
      </c>
      <c r="B398" s="53">
        <f t="shared" si="12"/>
        <v>5.27391568568786</v>
      </c>
      <c r="C398">
        <f t="shared" si="13"/>
        <v>7.5452675407691876</v>
      </c>
    </row>
    <row r="399" spans="1:3" x14ac:dyDescent="0.35">
      <c r="A399" s="53">
        <v>205699.3</v>
      </c>
      <c r="B399" s="53">
        <f t="shared" si="12"/>
        <v>5.3132328137819647</v>
      </c>
      <c r="C399">
        <f t="shared" si="13"/>
        <v>7.6015176342641908</v>
      </c>
    </row>
    <row r="400" spans="1:3" x14ac:dyDescent="0.35">
      <c r="A400" s="53">
        <v>231204.8</v>
      </c>
      <c r="B400" s="53">
        <f t="shared" si="12"/>
        <v>5.3639968461493295</v>
      </c>
      <c r="C400">
        <f t="shared" si="13"/>
        <v>7.6741445453654595</v>
      </c>
    </row>
    <row r="401" spans="1:3" x14ac:dyDescent="0.35">
      <c r="A401" s="53">
        <v>244785.8</v>
      </c>
      <c r="B401" s="53">
        <f t="shared" si="12"/>
        <v>5.3887862208243709</v>
      </c>
      <c r="C401">
        <f t="shared" si="13"/>
        <v>7.7096101226023386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0407F-925F-4397-95A0-C6E1BF450747}">
  <sheetPr codeName="Sheet12"/>
  <dimension ref="A2:H40"/>
  <sheetViews>
    <sheetView zoomScale="134" workbookViewId="0">
      <selection activeCell="A2" sqref="A2"/>
    </sheetView>
  </sheetViews>
  <sheetFormatPr defaultColWidth="8.1640625" defaultRowHeight="14.5" x14ac:dyDescent="0.35"/>
  <cols>
    <col min="1" max="2" width="10.08203125" style="196" customWidth="1"/>
    <col min="3" max="3" width="12.75" style="196" customWidth="1"/>
    <col min="4" max="4" width="16.5" style="196" customWidth="1"/>
    <col min="5" max="5" width="18.58203125" style="196" bestFit="1" customWidth="1"/>
    <col min="6" max="7" width="8.1640625" style="196"/>
    <col min="8" max="8" width="47.33203125" style="196" customWidth="1"/>
    <col min="9" max="16384" width="8.1640625" style="196"/>
  </cols>
  <sheetData>
    <row r="2" spans="1:8" x14ac:dyDescent="0.35">
      <c r="G2" s="196" t="s">
        <v>1751</v>
      </c>
    </row>
    <row r="3" spans="1:8" x14ac:dyDescent="0.35">
      <c r="A3" s="197" t="s">
        <v>1752</v>
      </c>
      <c r="B3" s="197" t="s">
        <v>262</v>
      </c>
      <c r="C3" s="197" t="s">
        <v>382</v>
      </c>
      <c r="D3" s="197" t="s">
        <v>1753</v>
      </c>
      <c r="G3" s="198">
        <v>1</v>
      </c>
      <c r="H3" s="196" t="s">
        <v>1754</v>
      </c>
    </row>
    <row r="4" spans="1:8" x14ac:dyDescent="0.35">
      <c r="A4" s="199">
        <v>7</v>
      </c>
      <c r="B4" s="200">
        <v>25.84</v>
      </c>
      <c r="C4" s="199">
        <v>180.88</v>
      </c>
      <c r="D4" s="201">
        <v>0</v>
      </c>
      <c r="E4" s="202"/>
      <c r="G4" s="198">
        <v>2</v>
      </c>
      <c r="H4" s="196" t="s">
        <v>1755</v>
      </c>
    </row>
    <row r="5" spans="1:8" x14ac:dyDescent="0.35">
      <c r="A5" s="199">
        <v>5</v>
      </c>
      <c r="B5" s="200">
        <v>33.76</v>
      </c>
      <c r="C5" s="199">
        <v>168.79999999999998</v>
      </c>
      <c r="D5" s="201">
        <v>0</v>
      </c>
      <c r="E5" s="202"/>
      <c r="G5" s="198">
        <v>3</v>
      </c>
      <c r="H5" s="196" t="s">
        <v>1756</v>
      </c>
    </row>
    <row r="6" spans="1:8" x14ac:dyDescent="0.35">
      <c r="A6" s="199">
        <v>7</v>
      </c>
      <c r="B6" s="200">
        <v>31.32</v>
      </c>
      <c r="C6" s="203">
        <v>219.24</v>
      </c>
      <c r="D6" s="201">
        <v>6.5772000000000004</v>
      </c>
      <c r="E6" s="202"/>
      <c r="G6" s="198">
        <v>4</v>
      </c>
      <c r="H6" s="196" t="s">
        <v>1757</v>
      </c>
    </row>
    <row r="7" spans="1:8" x14ac:dyDescent="0.35">
      <c r="A7" s="199">
        <v>5</v>
      </c>
      <c r="B7" s="200">
        <v>23.83</v>
      </c>
      <c r="C7" s="199">
        <v>119.14999999999999</v>
      </c>
      <c r="D7" s="201">
        <v>0</v>
      </c>
      <c r="E7" s="202"/>
      <c r="G7" s="198">
        <v>5</v>
      </c>
      <c r="H7" s="196" t="s">
        <v>1758</v>
      </c>
    </row>
    <row r="8" spans="1:8" x14ac:dyDescent="0.35">
      <c r="A8" s="199">
        <v>6</v>
      </c>
      <c r="B8" s="200">
        <v>27.76</v>
      </c>
      <c r="C8" s="199">
        <v>166.56</v>
      </c>
      <c r="D8" s="201">
        <v>0</v>
      </c>
      <c r="E8" s="202"/>
      <c r="G8" s="198">
        <v>6</v>
      </c>
      <c r="H8" s="196" t="s">
        <v>1759</v>
      </c>
    </row>
    <row r="9" spans="1:8" x14ac:dyDescent="0.35">
      <c r="A9" s="199">
        <v>8</v>
      </c>
      <c r="B9" s="200">
        <v>32.69</v>
      </c>
      <c r="C9" s="203">
        <v>261.52</v>
      </c>
      <c r="D9" s="201">
        <v>7.8455999999999992</v>
      </c>
      <c r="E9" s="202"/>
      <c r="G9" s="198"/>
    </row>
    <row r="10" spans="1:8" x14ac:dyDescent="0.35">
      <c r="A10" s="199">
        <v>7</v>
      </c>
      <c r="B10" s="200">
        <v>30.25</v>
      </c>
      <c r="C10" s="203">
        <v>211.75</v>
      </c>
      <c r="D10" s="201">
        <v>6.3525</v>
      </c>
      <c r="E10" s="202" t="s">
        <v>1760</v>
      </c>
      <c r="F10" s="196">
        <v>286</v>
      </c>
      <c r="G10" s="198"/>
    </row>
    <row r="11" spans="1:8" x14ac:dyDescent="0.35">
      <c r="A11" s="204">
        <v>12</v>
      </c>
      <c r="B11" s="200">
        <v>34.44</v>
      </c>
      <c r="C11" s="203">
        <v>413.28</v>
      </c>
      <c r="D11" s="201">
        <v>12.398399999999999</v>
      </c>
      <c r="E11" s="202" t="s">
        <v>1761</v>
      </c>
      <c r="F11" s="196">
        <v>7.7297297297297298</v>
      </c>
      <c r="G11" s="198"/>
    </row>
    <row r="12" spans="1:8" x14ac:dyDescent="0.35">
      <c r="A12" s="199">
        <v>5</v>
      </c>
      <c r="B12" s="200">
        <v>30.33</v>
      </c>
      <c r="C12" s="199">
        <v>151.64999999999998</v>
      </c>
      <c r="D12" s="201">
        <v>0</v>
      </c>
      <c r="E12" s="202" t="s">
        <v>1762</v>
      </c>
      <c r="G12" s="198"/>
    </row>
    <row r="13" spans="1:8" x14ac:dyDescent="0.35">
      <c r="A13" s="199">
        <v>7</v>
      </c>
      <c r="B13" s="200">
        <v>30.49</v>
      </c>
      <c r="C13" s="203">
        <v>213.42999999999998</v>
      </c>
      <c r="D13" s="201">
        <v>6.4028999999999989</v>
      </c>
      <c r="E13" s="202"/>
      <c r="G13" s="198"/>
    </row>
    <row r="14" spans="1:8" x14ac:dyDescent="0.35">
      <c r="A14" s="204">
        <v>11</v>
      </c>
      <c r="B14" s="200">
        <v>22.26</v>
      </c>
      <c r="C14" s="203">
        <v>244.86</v>
      </c>
      <c r="D14" s="201">
        <v>7.3458000000000006</v>
      </c>
      <c r="E14" s="202"/>
      <c r="G14" s="198"/>
    </row>
    <row r="15" spans="1:8" x14ac:dyDescent="0.35">
      <c r="A15" s="199">
        <v>6</v>
      </c>
      <c r="B15" s="200">
        <v>25.16</v>
      </c>
      <c r="C15" s="199">
        <v>150.96</v>
      </c>
      <c r="D15" s="201">
        <v>0</v>
      </c>
      <c r="E15" s="202"/>
    </row>
    <row r="16" spans="1:8" x14ac:dyDescent="0.35">
      <c r="A16" s="204">
        <v>11</v>
      </c>
      <c r="B16" s="200">
        <v>24.03</v>
      </c>
      <c r="C16" s="203">
        <v>264.33000000000004</v>
      </c>
      <c r="D16" s="201">
        <v>7.9299000000000008</v>
      </c>
      <c r="E16" s="202"/>
    </row>
    <row r="17" spans="1:5" x14ac:dyDescent="0.35">
      <c r="A17" s="204">
        <v>12</v>
      </c>
      <c r="B17" s="200">
        <v>23.08</v>
      </c>
      <c r="C17" s="203">
        <v>276.95999999999998</v>
      </c>
      <c r="D17" s="201">
        <v>8.3087999999999997</v>
      </c>
      <c r="E17" s="202"/>
    </row>
    <row r="18" spans="1:5" x14ac:dyDescent="0.35">
      <c r="A18" s="199">
        <v>9</v>
      </c>
      <c r="B18" s="200">
        <v>27.65</v>
      </c>
      <c r="C18" s="203">
        <v>248.85</v>
      </c>
      <c r="D18" s="201">
        <v>7.4654999999999996</v>
      </c>
      <c r="E18" s="202"/>
    </row>
    <row r="19" spans="1:5" x14ac:dyDescent="0.35">
      <c r="A19" s="199">
        <v>7</v>
      </c>
      <c r="B19" s="200">
        <v>25.83</v>
      </c>
      <c r="C19" s="199">
        <v>180.81</v>
      </c>
      <c r="D19" s="201">
        <v>0</v>
      </c>
      <c r="E19" s="202"/>
    </row>
    <row r="20" spans="1:5" x14ac:dyDescent="0.35">
      <c r="A20" s="199">
        <v>7</v>
      </c>
      <c r="B20" s="200">
        <v>21.39</v>
      </c>
      <c r="C20" s="199">
        <v>149.73000000000002</v>
      </c>
      <c r="D20" s="201">
        <v>0</v>
      </c>
      <c r="E20" s="202"/>
    </row>
    <row r="21" spans="1:5" x14ac:dyDescent="0.35">
      <c r="A21" s="199">
        <v>9</v>
      </c>
      <c r="B21" s="200">
        <v>28.44</v>
      </c>
      <c r="C21" s="203">
        <v>255.96</v>
      </c>
      <c r="D21" s="201">
        <v>7.6787999999999998</v>
      </c>
      <c r="E21" s="202"/>
    </row>
    <row r="22" spans="1:5" x14ac:dyDescent="0.35">
      <c r="A22" s="204">
        <v>12</v>
      </c>
      <c r="B22" s="200">
        <v>21.84</v>
      </c>
      <c r="C22" s="203">
        <v>262.08</v>
      </c>
      <c r="D22" s="201">
        <v>7.8623999999999992</v>
      </c>
      <c r="E22" s="202"/>
    </row>
    <row r="23" spans="1:5" x14ac:dyDescent="0.35">
      <c r="A23" s="199">
        <v>5</v>
      </c>
      <c r="B23" s="200">
        <v>29.48</v>
      </c>
      <c r="C23" s="199">
        <v>147.4</v>
      </c>
      <c r="D23" s="201">
        <v>0</v>
      </c>
      <c r="E23" s="202"/>
    </row>
    <row r="24" spans="1:5" x14ac:dyDescent="0.35">
      <c r="A24" s="199">
        <v>10</v>
      </c>
      <c r="B24" s="200">
        <v>20</v>
      </c>
      <c r="C24" s="199">
        <v>200</v>
      </c>
      <c r="D24" s="201">
        <v>0</v>
      </c>
      <c r="E24" s="202"/>
    </row>
    <row r="25" spans="1:5" x14ac:dyDescent="0.35">
      <c r="A25" s="199">
        <v>8</v>
      </c>
      <c r="B25" s="200">
        <v>34.979999999999997</v>
      </c>
      <c r="C25" s="203">
        <v>279.83999999999997</v>
      </c>
      <c r="D25" s="201">
        <v>8.3951999999999991</v>
      </c>
      <c r="E25" s="202"/>
    </row>
    <row r="26" spans="1:5" x14ac:dyDescent="0.35">
      <c r="A26" s="199">
        <v>9</v>
      </c>
      <c r="B26" s="200">
        <v>21.89</v>
      </c>
      <c r="C26" s="199">
        <v>197.01</v>
      </c>
      <c r="D26" s="201">
        <v>0</v>
      </c>
      <c r="E26" s="202"/>
    </row>
    <row r="27" spans="1:5" x14ac:dyDescent="0.35">
      <c r="A27" s="204">
        <v>11</v>
      </c>
      <c r="B27" s="200">
        <v>28.48</v>
      </c>
      <c r="C27" s="203">
        <v>313.28000000000003</v>
      </c>
      <c r="D27" s="201">
        <v>9.3984000000000005</v>
      </c>
      <c r="E27" s="202"/>
    </row>
    <row r="28" spans="1:5" x14ac:dyDescent="0.35">
      <c r="A28" s="199">
        <v>8</v>
      </c>
      <c r="B28" s="200">
        <v>27.93</v>
      </c>
      <c r="C28" s="203">
        <v>223.44</v>
      </c>
      <c r="D28" s="201">
        <v>6.7031999999999998</v>
      </c>
      <c r="E28" s="202"/>
    </row>
    <row r="29" spans="1:5" x14ac:dyDescent="0.35">
      <c r="A29" s="199">
        <v>6</v>
      </c>
      <c r="B29" s="200">
        <v>30.42</v>
      </c>
      <c r="C29" s="199">
        <v>182.52</v>
      </c>
      <c r="D29" s="201">
        <v>0</v>
      </c>
      <c r="E29" s="202"/>
    </row>
    <row r="30" spans="1:5" x14ac:dyDescent="0.35">
      <c r="A30" s="199">
        <v>8</v>
      </c>
      <c r="B30" s="200">
        <v>26.7</v>
      </c>
      <c r="C30" s="203">
        <v>213.6</v>
      </c>
      <c r="D30" s="201">
        <v>6.4079999999999995</v>
      </c>
      <c r="E30" s="202"/>
    </row>
    <row r="31" spans="1:5" x14ac:dyDescent="0.35">
      <c r="A31" s="199">
        <v>6</v>
      </c>
      <c r="B31" s="200">
        <v>34.090000000000003</v>
      </c>
      <c r="C31" s="203">
        <v>204.54000000000002</v>
      </c>
      <c r="D31" s="201">
        <v>6.1362000000000005</v>
      </c>
      <c r="E31" s="202"/>
    </row>
    <row r="32" spans="1:5" x14ac:dyDescent="0.35">
      <c r="A32" s="199">
        <v>5</v>
      </c>
      <c r="B32" s="200">
        <v>24.06</v>
      </c>
      <c r="C32" s="199">
        <v>120.3</v>
      </c>
      <c r="D32" s="201">
        <v>0</v>
      </c>
      <c r="E32" s="202"/>
    </row>
    <row r="33" spans="1:5" x14ac:dyDescent="0.35">
      <c r="A33" s="199">
        <v>7</v>
      </c>
      <c r="B33" s="200">
        <v>33.630000000000003</v>
      </c>
      <c r="C33" s="203">
        <v>235.41000000000003</v>
      </c>
      <c r="D33" s="201">
        <v>7.0623000000000005</v>
      </c>
      <c r="E33" s="202"/>
    </row>
    <row r="34" spans="1:5" x14ac:dyDescent="0.35">
      <c r="A34" s="204">
        <v>11</v>
      </c>
      <c r="B34" s="200">
        <v>20.55</v>
      </c>
      <c r="C34" s="203">
        <v>226.05</v>
      </c>
      <c r="D34" s="201">
        <v>6.7815000000000003</v>
      </c>
      <c r="E34" s="202"/>
    </row>
    <row r="35" spans="1:5" x14ac:dyDescent="0.35">
      <c r="A35" s="199">
        <v>6</v>
      </c>
      <c r="B35" s="200">
        <v>22.45</v>
      </c>
      <c r="C35" s="199">
        <v>134.69999999999999</v>
      </c>
      <c r="D35" s="201">
        <v>0</v>
      </c>
      <c r="E35" s="202"/>
    </row>
    <row r="36" spans="1:5" x14ac:dyDescent="0.35">
      <c r="A36" s="199">
        <v>6</v>
      </c>
      <c r="B36" s="200">
        <v>20.22</v>
      </c>
      <c r="C36" s="199">
        <v>121.32</v>
      </c>
      <c r="D36" s="201">
        <v>0</v>
      </c>
      <c r="E36" s="202"/>
    </row>
    <row r="37" spans="1:5" x14ac:dyDescent="0.35">
      <c r="A37" s="199">
        <v>8</v>
      </c>
      <c r="B37" s="200">
        <v>22.89</v>
      </c>
      <c r="C37" s="199">
        <v>183.12</v>
      </c>
      <c r="D37" s="201">
        <v>0</v>
      </c>
      <c r="E37" s="202"/>
    </row>
    <row r="38" spans="1:5" x14ac:dyDescent="0.35">
      <c r="A38" s="199">
        <v>8</v>
      </c>
      <c r="B38" s="200">
        <v>33.51</v>
      </c>
      <c r="C38" s="203">
        <v>268.08</v>
      </c>
      <c r="D38" s="201">
        <v>8.0423999999999989</v>
      </c>
      <c r="E38" s="202"/>
    </row>
    <row r="39" spans="1:5" x14ac:dyDescent="0.35">
      <c r="A39" s="199">
        <v>6</v>
      </c>
      <c r="B39" s="200">
        <v>27.36</v>
      </c>
      <c r="C39" s="199">
        <v>164.16</v>
      </c>
      <c r="D39" s="201">
        <v>0</v>
      </c>
      <c r="E39" s="202"/>
    </row>
    <row r="40" spans="1:5" x14ac:dyDescent="0.35">
      <c r="A40" s="199">
        <v>5</v>
      </c>
      <c r="B40" s="200">
        <v>30.81</v>
      </c>
      <c r="C40" s="199">
        <v>154.04999999999998</v>
      </c>
      <c r="D40" s="201">
        <v>0</v>
      </c>
      <c r="E40" s="202"/>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Button 1">
              <controlPr defaultSize="0" print="0" autoFill="0" autoPict="0" macro="[0]!practice">
                <anchor moveWithCells="1" sizeWithCells="1">
                  <from>
                    <xdr:col>3</xdr:col>
                    <xdr:colOff>1250950</xdr:colOff>
                    <xdr:row>0</xdr:row>
                    <xdr:rowOff>38100</xdr:rowOff>
                  </from>
                  <to>
                    <xdr:col>5</xdr:col>
                    <xdr:colOff>6350</xdr:colOff>
                    <xdr:row>2</xdr:row>
                    <xdr:rowOff>0</xdr:rowOff>
                  </to>
                </anchor>
              </controlPr>
            </control>
          </mc:Choice>
        </mc:AlternateContent>
        <mc:AlternateContent xmlns:mc="http://schemas.openxmlformats.org/markup-compatibility/2006">
          <mc:Choice Requires="x14">
            <control shapeId="5122" r:id="rId4" name="Button 2">
              <controlPr defaultSize="0" print="0" autoFill="0" autoPict="0" macro="[0]!blank">
                <anchor moveWithCells="1" sizeWithCells="1">
                  <from>
                    <xdr:col>4</xdr:col>
                    <xdr:colOff>19050</xdr:colOff>
                    <xdr:row>2</xdr:row>
                    <xdr:rowOff>6350</xdr:rowOff>
                  </from>
                  <to>
                    <xdr:col>5</xdr:col>
                    <xdr:colOff>6350</xdr:colOff>
                    <xdr:row>3</xdr:row>
                    <xdr:rowOff>152400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53AE1-E2EF-4399-809E-16B3D6BCB7B1}">
  <sheetPr codeName="Sheet13"/>
  <dimension ref="A1:D14"/>
  <sheetViews>
    <sheetView workbookViewId="0">
      <selection activeCell="D9" sqref="D9"/>
    </sheetView>
  </sheetViews>
  <sheetFormatPr defaultColWidth="8.1640625" defaultRowHeight="14.5" x14ac:dyDescent="0.35"/>
  <cols>
    <col min="1" max="1" width="8.1640625" style="206"/>
    <col min="2" max="2" width="23.6640625" style="206" customWidth="1"/>
    <col min="3" max="3" width="8.1640625" style="206"/>
    <col min="4" max="4" width="17.33203125" style="206" customWidth="1"/>
    <col min="5" max="16384" width="8.1640625" style="206"/>
  </cols>
  <sheetData>
    <row r="1" spans="1:4" x14ac:dyDescent="0.35">
      <c r="A1" s="205"/>
    </row>
    <row r="5" spans="1:4" ht="18.5" x14ac:dyDescent="0.35">
      <c r="B5" s="207" t="s">
        <v>1763</v>
      </c>
      <c r="C5" s="207"/>
    </row>
    <row r="6" spans="1:4" ht="18.5" x14ac:dyDescent="0.45">
      <c r="B6" s="208" t="s">
        <v>1764</v>
      </c>
      <c r="C6" s="208"/>
      <c r="D6" s="209" t="s">
        <v>1765</v>
      </c>
    </row>
    <row r="7" spans="1:4" ht="18.5" x14ac:dyDescent="0.45">
      <c r="B7" s="208" t="s">
        <v>1766</v>
      </c>
      <c r="C7" s="208"/>
      <c r="D7" s="209" t="s">
        <v>1765</v>
      </c>
    </row>
    <row r="8" spans="1:4" ht="18.5" x14ac:dyDescent="0.45">
      <c r="B8" s="208" t="s">
        <v>1767</v>
      </c>
      <c r="C8" s="208"/>
      <c r="D8" s="209" t="s">
        <v>1768</v>
      </c>
    </row>
    <row r="9" spans="1:4" ht="18.5" x14ac:dyDescent="0.45">
      <c r="B9" s="208" t="s">
        <v>1769</v>
      </c>
      <c r="C9" s="208"/>
      <c r="D9" s="209" t="s">
        <v>1768</v>
      </c>
    </row>
    <row r="10" spans="1:4" ht="18.5" x14ac:dyDescent="0.45">
      <c r="B10" s="208" t="s">
        <v>1770</v>
      </c>
      <c r="C10" s="208"/>
      <c r="D10" s="209" t="s">
        <v>1765</v>
      </c>
    </row>
    <row r="11" spans="1:4" ht="18.5" x14ac:dyDescent="0.45">
      <c r="B11" s="208" t="s">
        <v>1771</v>
      </c>
      <c r="C11" s="208"/>
      <c r="D11" s="209" t="s">
        <v>1768</v>
      </c>
    </row>
    <row r="12" spans="1:4" ht="18.5" x14ac:dyDescent="0.45">
      <c r="B12" s="208" t="s">
        <v>1772</v>
      </c>
      <c r="C12" s="208"/>
      <c r="D12" s="209" t="s">
        <v>1765</v>
      </c>
    </row>
    <row r="13" spans="1:4" ht="18.5" x14ac:dyDescent="0.45">
      <c r="B13" s="208" t="s">
        <v>1773</v>
      </c>
      <c r="C13" s="208"/>
      <c r="D13" s="209" t="s">
        <v>1768</v>
      </c>
    </row>
    <row r="14" spans="1:4" ht="18.5" x14ac:dyDescent="0.45">
      <c r="B14" s="208" t="s">
        <v>1774</v>
      </c>
      <c r="C14" s="208"/>
      <c r="D14" s="209" t="s">
        <v>1765</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Button 1">
              <controlPr defaultSize="0" print="0" autoFill="0" autoPict="0" macro="[0]!practice2">
                <anchor moveWithCells="1" sizeWithCells="1">
                  <from>
                    <xdr:col>5</xdr:col>
                    <xdr:colOff>609600</xdr:colOff>
                    <xdr:row>0</xdr:row>
                    <xdr:rowOff>101600</xdr:rowOff>
                  </from>
                  <to>
                    <xdr:col>8</xdr:col>
                    <xdr:colOff>0</xdr:colOff>
                    <xdr:row>4</xdr:row>
                    <xdr:rowOff>12700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1BBAE-C013-48DB-B90E-8E05D2368A9D}">
  <sheetPr codeName="Sheet14"/>
  <dimension ref="A1:A64"/>
  <sheetViews>
    <sheetView workbookViewId="0">
      <selection activeCell="A2" sqref="A2"/>
    </sheetView>
  </sheetViews>
  <sheetFormatPr defaultRowHeight="14.5" x14ac:dyDescent="0.35"/>
  <cols>
    <col min="1" max="16384" width="8.6640625" style="210"/>
  </cols>
  <sheetData>
    <row r="1" spans="1:1" x14ac:dyDescent="0.35">
      <c r="A1" s="210" t="s">
        <v>1775</v>
      </c>
    </row>
    <row r="3" spans="1:1" x14ac:dyDescent="0.35">
      <c r="A3" s="210" t="s">
        <v>1776</v>
      </c>
    </row>
    <row r="4" spans="1:1" x14ac:dyDescent="0.35">
      <c r="A4" s="210" t="s">
        <v>1777</v>
      </c>
    </row>
    <row r="7" spans="1:1" x14ac:dyDescent="0.35">
      <c r="A7" s="210" t="s">
        <v>1778</v>
      </c>
    </row>
    <row r="8" spans="1:1" x14ac:dyDescent="0.35">
      <c r="A8" s="210" t="s">
        <v>1779</v>
      </c>
    </row>
    <row r="10" spans="1:1" x14ac:dyDescent="0.35">
      <c r="A10" s="210" t="s">
        <v>1780</v>
      </c>
    </row>
    <row r="11" spans="1:1" x14ac:dyDescent="0.35">
      <c r="A11" s="210" t="s">
        <v>1781</v>
      </c>
    </row>
    <row r="14" spans="1:1" x14ac:dyDescent="0.35">
      <c r="A14" s="210" t="s">
        <v>1782</v>
      </c>
    </row>
    <row r="15" spans="1:1" x14ac:dyDescent="0.35">
      <c r="A15" s="210" t="s">
        <v>1783</v>
      </c>
    </row>
    <row r="18" spans="1:1" x14ac:dyDescent="0.35">
      <c r="A18" s="210" t="s">
        <v>1784</v>
      </c>
    </row>
    <row r="19" spans="1:1" x14ac:dyDescent="0.35">
      <c r="A19" s="210" t="s">
        <v>1785</v>
      </c>
    </row>
    <row r="20" spans="1:1" x14ac:dyDescent="0.35">
      <c r="A20" s="210" t="s">
        <v>1786</v>
      </c>
    </row>
    <row r="21" spans="1:1" x14ac:dyDescent="0.35">
      <c r="A21" s="210" t="s">
        <v>1787</v>
      </c>
    </row>
    <row r="22" spans="1:1" x14ac:dyDescent="0.35">
      <c r="A22" s="210" t="s">
        <v>1788</v>
      </c>
    </row>
    <row r="25" spans="1:1" x14ac:dyDescent="0.35">
      <c r="A25" s="210" t="s">
        <v>1784</v>
      </c>
    </row>
    <row r="26" spans="1:1" x14ac:dyDescent="0.35">
      <c r="A26" s="210" t="s">
        <v>1789</v>
      </c>
    </row>
    <row r="27" spans="1:1" x14ac:dyDescent="0.35">
      <c r="A27" s="210" t="s">
        <v>1790</v>
      </c>
    </row>
    <row r="28" spans="1:1" x14ac:dyDescent="0.35">
      <c r="A28" s="210" t="s">
        <v>1791</v>
      </c>
    </row>
    <row r="30" spans="1:1" x14ac:dyDescent="0.35">
      <c r="A30" s="210" t="s">
        <v>1792</v>
      </c>
    </row>
    <row r="32" spans="1:1" x14ac:dyDescent="0.35">
      <c r="A32" s="210" t="s">
        <v>1788</v>
      </c>
    </row>
    <row r="33" spans="1:1" x14ac:dyDescent="0.35">
      <c r="A33" s="210" t="s">
        <v>1793</v>
      </c>
    </row>
    <row r="35" spans="1:1" x14ac:dyDescent="0.35">
      <c r="A35" s="210" t="s">
        <v>1794</v>
      </c>
    </row>
    <row r="37" spans="1:1" x14ac:dyDescent="0.35">
      <c r="A37" s="210" t="s">
        <v>1784</v>
      </c>
    </row>
    <row r="38" spans="1:1" x14ac:dyDescent="0.35">
      <c r="A38" s="210" t="s">
        <v>1795</v>
      </c>
    </row>
    <row r="39" spans="1:1" x14ac:dyDescent="0.35">
      <c r="A39" s="210" t="s">
        <v>1796</v>
      </c>
    </row>
    <row r="40" spans="1:1" x14ac:dyDescent="0.35">
      <c r="A40" s="210" t="s">
        <v>1787</v>
      </c>
    </row>
    <row r="41" spans="1:1" x14ac:dyDescent="0.35">
      <c r="A41" s="210" t="s">
        <v>1788</v>
      </c>
    </row>
    <row r="43" spans="1:1" x14ac:dyDescent="0.35">
      <c r="A43" s="210" t="s">
        <v>1793</v>
      </c>
    </row>
    <row r="45" spans="1:1" x14ac:dyDescent="0.35">
      <c r="A45" s="210" t="s">
        <v>1797</v>
      </c>
    </row>
    <row r="47" spans="1:1" x14ac:dyDescent="0.35">
      <c r="A47" s="210" t="s">
        <v>1798</v>
      </c>
    </row>
    <row r="48" spans="1:1" x14ac:dyDescent="0.35">
      <c r="A48" s="210" t="s">
        <v>1799</v>
      </c>
    </row>
    <row r="49" spans="1:1" x14ac:dyDescent="0.35">
      <c r="A49" s="210" t="s">
        <v>1800</v>
      </c>
    </row>
    <row r="50" spans="1:1" x14ac:dyDescent="0.35">
      <c r="A50" s="210" t="s">
        <v>1801</v>
      </c>
    </row>
    <row r="52" spans="1:1" x14ac:dyDescent="0.35">
      <c r="A52" s="210" t="s">
        <v>1802</v>
      </c>
    </row>
    <row r="54" spans="1:1" x14ac:dyDescent="0.35">
      <c r="A54" s="210" t="s">
        <v>1803</v>
      </c>
    </row>
    <row r="55" spans="1:1" x14ac:dyDescent="0.35">
      <c r="A55" s="210" t="s">
        <v>1804</v>
      </c>
    </row>
    <row r="56" spans="1:1" x14ac:dyDescent="0.35">
      <c r="A56" s="210" t="s">
        <v>1805</v>
      </c>
    </row>
    <row r="57" spans="1:1" x14ac:dyDescent="0.35">
      <c r="A57" s="210" t="s">
        <v>1806</v>
      </c>
    </row>
    <row r="58" spans="1:1" x14ac:dyDescent="0.35">
      <c r="A58" s="210" t="s">
        <v>1807</v>
      </c>
    </row>
    <row r="60" spans="1:1" x14ac:dyDescent="0.35">
      <c r="A60" s="210" t="s">
        <v>1808</v>
      </c>
    </row>
    <row r="62" spans="1:1" x14ac:dyDescent="0.35">
      <c r="A62" s="210" t="s">
        <v>1809</v>
      </c>
    </row>
    <row r="64" spans="1:1" x14ac:dyDescent="0.35">
      <c r="A64" s="210" t="s">
        <v>1793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4ED3A-EF25-49BA-ABC6-1A66C68B208A}">
  <dimension ref="A2:J30"/>
  <sheetViews>
    <sheetView workbookViewId="0">
      <selection activeCell="A7" sqref="A7"/>
    </sheetView>
  </sheetViews>
  <sheetFormatPr defaultColWidth="8.1640625" defaultRowHeight="14.5" x14ac:dyDescent="0.35"/>
  <cols>
    <col min="1" max="2" width="8.1640625" style="211"/>
    <col min="3" max="3" width="13.4140625" style="211" customWidth="1"/>
    <col min="4" max="16384" width="8.1640625" style="211"/>
  </cols>
  <sheetData>
    <row r="2" spans="1:7" x14ac:dyDescent="0.35">
      <c r="C2" s="211" t="s">
        <v>1810</v>
      </c>
    </row>
    <row r="4" spans="1:7" x14ac:dyDescent="0.35">
      <c r="C4" s="211" t="s">
        <v>1811</v>
      </c>
      <c r="D4" s="212">
        <v>0.1</v>
      </c>
      <c r="E4" s="212">
        <v>0.2</v>
      </c>
      <c r="F4" s="212">
        <v>0.3</v>
      </c>
      <c r="G4" s="212">
        <f>1-SUM(D4:F4)</f>
        <v>0.39999999999999991</v>
      </c>
    </row>
    <row r="6" spans="1:7" x14ac:dyDescent="0.35">
      <c r="A6" s="213" t="s">
        <v>1740</v>
      </c>
      <c r="B6" s="214" t="s">
        <v>309</v>
      </c>
      <c r="C6" s="213" t="s">
        <v>1812</v>
      </c>
      <c r="D6" s="213" t="s">
        <v>1813</v>
      </c>
      <c r="E6" s="213" t="s">
        <v>1814</v>
      </c>
      <c r="F6" s="213" t="s">
        <v>1815</v>
      </c>
    </row>
    <row r="7" spans="1:7" x14ac:dyDescent="0.35">
      <c r="A7" s="215">
        <v>1</v>
      </c>
      <c r="B7" s="212">
        <v>515</v>
      </c>
      <c r="C7" s="216"/>
      <c r="D7" s="216"/>
      <c r="E7" s="216"/>
      <c r="F7" s="216"/>
    </row>
    <row r="8" spans="1:7" x14ac:dyDescent="0.35">
      <c r="A8" s="215">
        <v>2</v>
      </c>
      <c r="B8" s="212">
        <v>624</v>
      </c>
      <c r="C8" s="216"/>
      <c r="D8" s="216"/>
      <c r="E8" s="216"/>
      <c r="F8" s="216"/>
    </row>
    <row r="9" spans="1:7" x14ac:dyDescent="0.35">
      <c r="A9" s="215">
        <v>3</v>
      </c>
      <c r="B9" s="212">
        <v>608</v>
      </c>
      <c r="C9" s="216"/>
      <c r="D9" s="216"/>
      <c r="E9" s="216"/>
      <c r="F9" s="216"/>
    </row>
    <row r="10" spans="1:7" x14ac:dyDescent="0.35">
      <c r="A10" s="215">
        <v>4</v>
      </c>
      <c r="B10" s="212">
        <v>657</v>
      </c>
      <c r="C10" s="216"/>
      <c r="D10" s="216"/>
      <c r="E10" s="216"/>
      <c r="F10" s="216"/>
    </row>
    <row r="11" spans="1:7" x14ac:dyDescent="0.35">
      <c r="A11" s="215">
        <v>5</v>
      </c>
      <c r="B11" s="212">
        <v>618</v>
      </c>
      <c r="C11" s="216" cm="1">
        <f t="array" ref="C11">SUMPRODUCT(B7:B10,TRANSPOSE($D$4:$G$4))</f>
        <v>621.5</v>
      </c>
      <c r="D11" s="216">
        <f>B11-C11</f>
        <v>-3.5</v>
      </c>
      <c r="E11" s="216">
        <f>D11^2</f>
        <v>12.25</v>
      </c>
      <c r="F11" s="216">
        <f>D11/B11</f>
        <v>-5.6634304207119745E-3</v>
      </c>
    </row>
    <row r="12" spans="1:7" x14ac:dyDescent="0.35">
      <c r="A12" s="215">
        <v>6</v>
      </c>
      <c r="B12" s="212">
        <v>641</v>
      </c>
      <c r="C12" s="216" cm="1">
        <f t="array" ref="C12">SUMPRODUCT(B8:B11,TRANSPOSE($D$4:$G$4))</f>
        <v>628.29999999999995</v>
      </c>
      <c r="D12" s="216">
        <f t="shared" ref="D12:D29" si="0">B12-C12</f>
        <v>12.700000000000045</v>
      </c>
      <c r="E12" s="216">
        <f>D12^2</f>
        <v>161.29000000000116</v>
      </c>
      <c r="F12" s="216">
        <f t="shared" ref="F12:F29" si="1">D12/B12</f>
        <v>1.9812792511700539E-2</v>
      </c>
    </row>
    <row r="13" spans="1:7" x14ac:dyDescent="0.35">
      <c r="A13" s="215">
        <v>7</v>
      </c>
      <c r="B13" s="212">
        <v>685</v>
      </c>
      <c r="C13" s="216" cm="1">
        <f t="array" ref="C13">SUMPRODUCT(B9:B12,TRANSPOSE($D$4:$G$4))</f>
        <v>634</v>
      </c>
      <c r="D13" s="216">
        <f t="shared" si="0"/>
        <v>51</v>
      </c>
      <c r="E13" s="216">
        <f t="shared" ref="E13:E29" si="2">D13^2</f>
        <v>2601</v>
      </c>
      <c r="F13" s="216">
        <f t="shared" si="1"/>
        <v>7.4452554744525543E-2</v>
      </c>
    </row>
    <row r="14" spans="1:7" x14ac:dyDescent="0.35">
      <c r="A14" s="215">
        <v>8</v>
      </c>
      <c r="B14" s="212">
        <v>641</v>
      </c>
      <c r="C14" s="216" cm="1">
        <f t="array" ref="C14">SUMPRODUCT(B10:B13,TRANSPOSE($D$4:$G$4))</f>
        <v>655.59999999999991</v>
      </c>
      <c r="D14" s="216">
        <f t="shared" si="0"/>
        <v>-14.599999999999909</v>
      </c>
      <c r="E14" s="216">
        <f t="shared" si="2"/>
        <v>213.15999999999735</v>
      </c>
      <c r="F14" s="216">
        <f t="shared" si="1"/>
        <v>-2.2776911076442915E-2</v>
      </c>
    </row>
    <row r="15" spans="1:7" x14ac:dyDescent="0.35">
      <c r="A15" s="215">
        <v>9</v>
      </c>
      <c r="B15" s="212">
        <v>675</v>
      </c>
      <c r="C15" s="216" cm="1">
        <f t="array" ref="C15">SUMPRODUCT(B11:B14,TRANSPOSE($D$4:$G$4))</f>
        <v>651.89999999999986</v>
      </c>
      <c r="D15" s="216">
        <f t="shared" si="0"/>
        <v>23.100000000000136</v>
      </c>
      <c r="E15" s="216">
        <f t="shared" si="2"/>
        <v>533.61000000000627</v>
      </c>
      <c r="F15" s="216">
        <f t="shared" si="1"/>
        <v>3.4222222222222425E-2</v>
      </c>
    </row>
    <row r="16" spans="1:7" x14ac:dyDescent="0.35">
      <c r="A16" s="215">
        <v>10</v>
      </c>
      <c r="B16" s="212">
        <v>632</v>
      </c>
      <c r="C16" s="216" cm="1">
        <f t="array" ref="C16">SUMPRODUCT(B12:B15,TRANSPOSE($D$4:$G$4))</f>
        <v>663.39999999999986</v>
      </c>
      <c r="D16" s="216">
        <f t="shared" si="0"/>
        <v>-31.399999999999864</v>
      </c>
      <c r="E16" s="216">
        <f t="shared" si="2"/>
        <v>985.9599999999914</v>
      </c>
      <c r="F16" s="216">
        <f t="shared" si="1"/>
        <v>-4.9683544303797254E-2</v>
      </c>
    </row>
    <row r="17" spans="1:10" x14ac:dyDescent="0.35">
      <c r="A17" s="215">
        <v>11</v>
      </c>
      <c r="B17" s="212">
        <v>745</v>
      </c>
      <c r="C17" s="216" cm="1">
        <f t="array" ref="C17">SUMPRODUCT(B13:B16,TRANSPOSE($D$4:$G$4))</f>
        <v>652</v>
      </c>
      <c r="D17" s="216">
        <f t="shared" si="0"/>
        <v>93</v>
      </c>
      <c r="E17" s="216">
        <f t="shared" si="2"/>
        <v>8649</v>
      </c>
      <c r="F17" s="216">
        <f t="shared" si="1"/>
        <v>0.12483221476510067</v>
      </c>
    </row>
    <row r="18" spans="1:10" x14ac:dyDescent="0.35">
      <c r="A18" s="215">
        <v>12</v>
      </c>
      <c r="B18" s="212">
        <v>715</v>
      </c>
      <c r="C18" s="216" cm="1">
        <f t="array" ref="C18">SUMPRODUCT(B14:B17,TRANSPOSE($D$4:$G$4))</f>
        <v>686.7</v>
      </c>
      <c r="D18" s="216">
        <f t="shared" si="0"/>
        <v>28.299999999999955</v>
      </c>
      <c r="E18" s="216">
        <f t="shared" si="2"/>
        <v>800.88999999999737</v>
      </c>
      <c r="F18" s="216">
        <f t="shared" si="1"/>
        <v>3.9580419580419517E-2</v>
      </c>
      <c r="J18" s="211" t="s">
        <v>1816</v>
      </c>
    </row>
    <row r="19" spans="1:10" x14ac:dyDescent="0.35">
      <c r="A19" s="215">
        <v>13</v>
      </c>
      <c r="B19" s="212">
        <v>782</v>
      </c>
      <c r="C19" s="216" cm="1">
        <f t="array" ref="C19">SUMPRODUCT(B15:B18,TRANSPOSE($D$4:$G$4))</f>
        <v>703.39999999999986</v>
      </c>
      <c r="D19" s="216">
        <f t="shared" si="0"/>
        <v>78.600000000000136</v>
      </c>
      <c r="E19" s="216">
        <f t="shared" si="2"/>
        <v>6177.9600000000219</v>
      </c>
      <c r="F19" s="216">
        <f t="shared" si="1"/>
        <v>0.10051150895140683</v>
      </c>
    </row>
    <row r="20" spans="1:10" x14ac:dyDescent="0.35">
      <c r="A20" s="215">
        <v>14</v>
      </c>
      <c r="B20" s="212">
        <v>692</v>
      </c>
      <c r="C20" s="216" cm="1">
        <f t="array" ref="C20">SUMPRODUCT(B16:B19,TRANSPOSE($D$4:$G$4))</f>
        <v>739.5</v>
      </c>
      <c r="D20" s="216">
        <f t="shared" si="0"/>
        <v>-47.5</v>
      </c>
      <c r="E20" s="216">
        <f t="shared" si="2"/>
        <v>2256.25</v>
      </c>
      <c r="F20" s="216">
        <f t="shared" si="1"/>
        <v>-6.8641618497109827E-2</v>
      </c>
    </row>
    <row r="21" spans="1:10" x14ac:dyDescent="0.35">
      <c r="A21" s="215">
        <v>15</v>
      </c>
      <c r="B21" s="212">
        <v>754</v>
      </c>
      <c r="C21" s="216" cm="1">
        <f t="array" ref="C21">SUMPRODUCT(B17:B20,TRANSPOSE($D$4:$G$4))</f>
        <v>728.9</v>
      </c>
      <c r="D21" s="216">
        <f t="shared" si="0"/>
        <v>25.100000000000023</v>
      </c>
      <c r="E21" s="216">
        <f t="shared" si="2"/>
        <v>630.01000000000113</v>
      </c>
      <c r="F21" s="216">
        <f t="shared" si="1"/>
        <v>3.3289124668435047E-2</v>
      </c>
    </row>
    <row r="22" spans="1:10" x14ac:dyDescent="0.35">
      <c r="A22" s="215">
        <v>16</v>
      </c>
      <c r="B22" s="212">
        <v>700</v>
      </c>
      <c r="C22" s="216" cm="1">
        <f t="array" ref="C22">SUMPRODUCT(B18:B21,TRANSPOSE($D$4:$G$4))</f>
        <v>737.09999999999991</v>
      </c>
      <c r="D22" s="216">
        <f t="shared" si="0"/>
        <v>-37.099999999999909</v>
      </c>
      <c r="E22" s="216">
        <f t="shared" si="2"/>
        <v>1376.4099999999933</v>
      </c>
      <c r="F22" s="216">
        <f t="shared" si="1"/>
        <v>-5.2999999999999867E-2</v>
      </c>
    </row>
    <row r="23" spans="1:10" x14ac:dyDescent="0.35">
      <c r="A23" s="215">
        <v>17</v>
      </c>
      <c r="B23" s="212">
        <v>675</v>
      </c>
      <c r="C23" s="216" cm="1">
        <f t="array" ref="C23">SUMPRODUCT(B19:B22,TRANSPOSE($D$4:$G$4))</f>
        <v>722.8</v>
      </c>
      <c r="D23" s="216">
        <f t="shared" si="0"/>
        <v>-47.799999999999955</v>
      </c>
      <c r="E23" s="216">
        <f t="shared" si="2"/>
        <v>2284.8399999999956</v>
      </c>
      <c r="F23" s="216">
        <f t="shared" si="1"/>
        <v>-7.0814814814814747E-2</v>
      </c>
    </row>
    <row r="24" spans="1:10" x14ac:dyDescent="0.35">
      <c r="A24" s="215">
        <v>18</v>
      </c>
      <c r="B24" s="212">
        <v>774</v>
      </c>
      <c r="C24" s="216" cm="1">
        <f t="array" ref="C24">SUMPRODUCT(B20:B23,TRANSPOSE($D$4:$G$4))</f>
        <v>700</v>
      </c>
      <c r="D24" s="216">
        <f t="shared" si="0"/>
        <v>74</v>
      </c>
      <c r="E24" s="216">
        <f t="shared" si="2"/>
        <v>5476</v>
      </c>
      <c r="F24" s="216">
        <f t="shared" si="1"/>
        <v>9.5607235142118857E-2</v>
      </c>
    </row>
    <row r="25" spans="1:10" x14ac:dyDescent="0.35">
      <c r="A25" s="215">
        <v>19</v>
      </c>
      <c r="B25" s="212">
        <v>781</v>
      </c>
      <c r="C25" s="216" cm="1">
        <f t="array" ref="C25">SUMPRODUCT(B21:B24,TRANSPOSE($D$4:$G$4))</f>
        <v>727.49999999999989</v>
      </c>
      <c r="D25" s="216">
        <f t="shared" si="0"/>
        <v>53.500000000000114</v>
      </c>
      <c r="E25" s="216">
        <f t="shared" si="2"/>
        <v>2862.2500000000123</v>
      </c>
      <c r="F25" s="216">
        <f t="shared" si="1"/>
        <v>6.8501920614596812E-2</v>
      </c>
    </row>
    <row r="26" spans="1:10" x14ac:dyDescent="0.35">
      <c r="A26" s="215">
        <v>20</v>
      </c>
      <c r="B26" s="212">
        <v>993</v>
      </c>
      <c r="C26" s="216" cm="1">
        <f t="array" ref="C26">SUMPRODUCT(B22:B25,TRANSPOSE($D$4:$G$4))</f>
        <v>749.59999999999991</v>
      </c>
      <c r="D26" s="216">
        <f t="shared" si="0"/>
        <v>243.40000000000009</v>
      </c>
      <c r="E26" s="216">
        <f t="shared" si="2"/>
        <v>59243.560000000041</v>
      </c>
      <c r="F26" s="216">
        <f t="shared" si="1"/>
        <v>0.24511581067472316</v>
      </c>
    </row>
    <row r="27" spans="1:10" x14ac:dyDescent="0.35">
      <c r="A27" s="215">
        <v>21</v>
      </c>
      <c r="B27" s="212">
        <v>799</v>
      </c>
      <c r="C27" s="216" cm="1">
        <f t="array" ref="C27">SUMPRODUCT(B23:B26,TRANSPOSE($D$4:$G$4))</f>
        <v>853.8</v>
      </c>
      <c r="D27" s="216">
        <f t="shared" si="0"/>
        <v>-54.799999999999955</v>
      </c>
      <c r="E27" s="216">
        <f t="shared" si="2"/>
        <v>3003.039999999995</v>
      </c>
      <c r="F27" s="216">
        <f t="shared" si="1"/>
        <v>-6.8585732165206456E-2</v>
      </c>
    </row>
    <row r="28" spans="1:10" x14ac:dyDescent="0.35">
      <c r="A28" s="215">
        <v>22</v>
      </c>
      <c r="B28" s="212">
        <v>823</v>
      </c>
      <c r="C28" s="216" cm="1">
        <f t="array" ref="C28">SUMPRODUCT(B24:B27,TRANSPOSE($D$4:$G$4))</f>
        <v>851.09999999999991</v>
      </c>
      <c r="D28" s="216">
        <f t="shared" si="0"/>
        <v>-28.099999999999909</v>
      </c>
      <c r="E28" s="216">
        <f t="shared" si="2"/>
        <v>789.6099999999949</v>
      </c>
      <c r="F28" s="216">
        <f t="shared" si="1"/>
        <v>-3.4143377885783609E-2</v>
      </c>
    </row>
    <row r="29" spans="1:10" x14ac:dyDescent="0.35">
      <c r="A29" s="215">
        <v>23</v>
      </c>
      <c r="B29" s="212">
        <v>873</v>
      </c>
      <c r="C29" s="216" cm="1">
        <f t="array" ref="C29">SUMPRODUCT(B25:B28,TRANSPOSE($D$4:$G$4))</f>
        <v>845.6</v>
      </c>
      <c r="D29" s="216">
        <f t="shared" si="0"/>
        <v>27.399999999999977</v>
      </c>
      <c r="E29" s="216">
        <f t="shared" si="2"/>
        <v>750.75999999999874</v>
      </c>
      <c r="F29" s="216">
        <f t="shared" si="1"/>
        <v>3.1386025200458162E-2</v>
      </c>
    </row>
    <row r="30" spans="1:10" x14ac:dyDescent="0.35">
      <c r="B30" s="217"/>
      <c r="D30" s="218">
        <f>AVERAGE(D11:D29)</f>
        <v>23.43684210526321</v>
      </c>
      <c r="E30" s="218">
        <f>AVERAGE(E11:E29)</f>
        <v>5200.413157894739</v>
      </c>
      <c r="F30" s="218">
        <f>AVERAGE(F11:F29)</f>
        <v>2.6000126311149521E-2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E5BF-096F-4EA7-AF6D-FE2403ED87C9}">
  <dimension ref="A1:W96"/>
  <sheetViews>
    <sheetView topLeftCell="B6" workbookViewId="0">
      <selection activeCell="N16" sqref="N16"/>
    </sheetView>
  </sheetViews>
  <sheetFormatPr defaultColWidth="9.1640625" defaultRowHeight="15.5" x14ac:dyDescent="0.35"/>
  <cols>
    <col min="1" max="2" width="12.4140625" style="221" customWidth="1"/>
    <col min="3" max="3" width="10.5" style="221" customWidth="1"/>
    <col min="4" max="7" width="7.58203125" style="221" customWidth="1"/>
    <col min="8" max="8" width="10.58203125" style="243" customWidth="1"/>
    <col min="9" max="9" width="7.08203125" style="243" customWidth="1"/>
    <col min="10" max="10" width="3.4140625" style="221" customWidth="1"/>
    <col min="11" max="11" width="9.1640625" style="221"/>
    <col min="12" max="12" width="6.83203125" style="221" customWidth="1"/>
    <col min="13" max="13" width="4.33203125" style="221" customWidth="1"/>
    <col min="14" max="14" width="31.58203125" style="221" customWidth="1"/>
    <col min="15" max="15" width="11.83203125" style="221" bestFit="1" customWidth="1"/>
    <col min="16" max="16" width="6.1640625" style="221" customWidth="1"/>
    <col min="17" max="17" width="11.83203125" style="221" bestFit="1" customWidth="1"/>
    <col min="18" max="20" width="9.1640625" style="221"/>
    <col min="21" max="21" width="15.33203125" style="221" customWidth="1"/>
    <col min="22" max="16384" width="9.1640625" style="221"/>
  </cols>
  <sheetData>
    <row r="1" spans="1:21" x14ac:dyDescent="0.35">
      <c r="A1" s="219" t="s">
        <v>0</v>
      </c>
      <c r="B1" s="219" t="s">
        <v>1</v>
      </c>
      <c r="C1" s="219" t="s">
        <v>2</v>
      </c>
      <c r="D1" s="220" t="s">
        <v>3</v>
      </c>
      <c r="E1" s="220" t="s">
        <v>4</v>
      </c>
      <c r="F1" s="220" t="s">
        <v>5</v>
      </c>
      <c r="G1" s="220" t="s">
        <v>6</v>
      </c>
      <c r="H1" s="219" t="s">
        <v>7</v>
      </c>
      <c r="I1" s="219" t="s">
        <v>8</v>
      </c>
      <c r="K1" s="222" t="s">
        <v>1817</v>
      </c>
      <c r="L1" s="223"/>
      <c r="M1" s="223"/>
      <c r="N1" s="223"/>
      <c r="O1" s="223"/>
      <c r="P1" s="223"/>
      <c r="Q1" s="223"/>
      <c r="R1" s="223"/>
      <c r="S1" s="223"/>
      <c r="T1" s="223"/>
      <c r="U1" s="224"/>
    </row>
    <row r="2" spans="1:21" x14ac:dyDescent="0.35">
      <c r="A2" s="225" t="s">
        <v>116</v>
      </c>
      <c r="B2" s="226" t="s">
        <v>1818</v>
      </c>
      <c r="C2" s="227" t="str">
        <f t="shared" ref="C2:C65" si="0">UPPER(TRIM(MID(B2,2,2))&amp;TRIM(RIGHT(A2,2)))</f>
        <v>OGLD</v>
      </c>
      <c r="D2" s="228">
        <v>94</v>
      </c>
      <c r="E2" s="228">
        <v>89</v>
      </c>
      <c r="F2" s="228">
        <v>91</v>
      </c>
      <c r="G2" s="228">
        <v>90</v>
      </c>
      <c r="H2" s="227">
        <v>96.5</v>
      </c>
      <c r="I2" s="229" t="s">
        <v>57</v>
      </c>
      <c r="K2" s="230" t="s">
        <v>1819</v>
      </c>
      <c r="L2" s="231"/>
      <c r="M2" s="231"/>
      <c r="N2" s="231"/>
      <c r="O2" s="231"/>
      <c r="P2" s="231"/>
      <c r="Q2" s="231"/>
      <c r="R2" s="231"/>
      <c r="S2" s="231"/>
      <c r="T2" s="231"/>
      <c r="U2" s="232"/>
    </row>
    <row r="3" spans="1:21" x14ac:dyDescent="0.35">
      <c r="A3" s="226" t="s">
        <v>10</v>
      </c>
      <c r="B3" s="226" t="s">
        <v>1820</v>
      </c>
      <c r="C3" s="227" t="str">
        <f t="shared" si="0"/>
        <v>ONIN</v>
      </c>
      <c r="D3" s="228">
        <v>97</v>
      </c>
      <c r="E3" s="228">
        <v>90</v>
      </c>
      <c r="F3" s="228">
        <v>87</v>
      </c>
      <c r="G3" s="228">
        <v>93</v>
      </c>
      <c r="H3" s="227">
        <v>96.75</v>
      </c>
      <c r="I3" s="229" t="s">
        <v>57</v>
      </c>
      <c r="K3" s="230"/>
      <c r="L3" s="231" t="s">
        <v>1821</v>
      </c>
      <c r="M3" s="231"/>
      <c r="N3" s="231"/>
      <c r="O3" s="231"/>
      <c r="P3" s="231"/>
      <c r="Q3" s="231"/>
      <c r="R3" s="231"/>
      <c r="S3" s="231"/>
      <c r="T3" s="231"/>
      <c r="U3" s="232"/>
    </row>
    <row r="4" spans="1:21" x14ac:dyDescent="0.35">
      <c r="A4" s="233" t="s">
        <v>46</v>
      </c>
      <c r="B4" s="234" t="s">
        <v>1822</v>
      </c>
      <c r="C4" s="227" t="str">
        <f>UPPER(TRIM(MID(B4,2,2))&amp;TRIM(RIGHT(A4,2)))</f>
        <v>ANMA</v>
      </c>
      <c r="D4" s="235">
        <v>91</v>
      </c>
      <c r="E4" s="235">
        <v>88</v>
      </c>
      <c r="F4" s="235">
        <v>90</v>
      </c>
      <c r="G4" s="235">
        <v>98</v>
      </c>
      <c r="H4" s="227" cm="1">
        <f t="array" ref="H4">AVERAGE(MIN(MAX(D4:G4)+10,105),MIN(D4:G4)+12,SMALL(D4:G4,{2,3}))</f>
        <v>96.5</v>
      </c>
      <c r="I4" s="229" t="str" cm="1">
        <f t="array" ref="I4">_xlfn.IFS(H4&lt;60,"F",H4&lt;70,"D",H4&lt;80,"C",H4&lt;90,"B",H4&gt;=90,"A")</f>
        <v>A</v>
      </c>
      <c r="K4" s="230"/>
      <c r="L4" s="231" t="s">
        <v>1823</v>
      </c>
      <c r="M4" s="231"/>
      <c r="N4" s="231"/>
      <c r="O4" s="231"/>
      <c r="P4" s="231"/>
      <c r="Q4" s="231"/>
      <c r="R4" s="231"/>
      <c r="S4" s="231"/>
      <c r="T4" s="231"/>
      <c r="U4" s="232"/>
    </row>
    <row r="5" spans="1:21" x14ac:dyDescent="0.35">
      <c r="A5" s="233" t="s">
        <v>17</v>
      </c>
      <c r="B5" s="234" t="s">
        <v>1824</v>
      </c>
      <c r="C5" s="227" t="str">
        <f t="shared" ref="C5:C68" si="1">UPPER(TRIM(MID(B5,2,2))&amp;TRIM(RIGHT(A5,2)))</f>
        <v>ALAD</v>
      </c>
      <c r="D5" s="235">
        <v>92</v>
      </c>
      <c r="E5" s="235">
        <v>87</v>
      </c>
      <c r="F5" s="235">
        <v>89</v>
      </c>
      <c r="G5" s="235">
        <v>90</v>
      </c>
      <c r="H5" s="227" cm="1">
        <f t="array" ref="H5">AVERAGE(MIN(MAX(D5:G5)+10,105),MIN(D5:G5)+12,SMALL(D5:G5,{2,3}))</f>
        <v>95</v>
      </c>
      <c r="I5" s="229" t="str" cm="1">
        <f t="array" ref="I5">_xlfn.IFS(H5&lt;60,"F",H5&lt;70,"D",H5&lt;80,"C",H5&lt;90,"B",H5&gt;=90,"A")</f>
        <v>A</v>
      </c>
      <c r="K5" s="230" t="s">
        <v>1825</v>
      </c>
      <c r="L5" s="231"/>
      <c r="M5" s="231"/>
      <c r="N5" s="231"/>
      <c r="O5" s="231"/>
      <c r="P5" s="231"/>
      <c r="Q5" s="231"/>
      <c r="R5" s="231"/>
      <c r="S5" s="231"/>
      <c r="T5" s="231"/>
      <c r="U5" s="232"/>
    </row>
    <row r="6" spans="1:21" ht="16" thickBot="1" x14ac:dyDescent="0.4">
      <c r="A6" s="233" t="s">
        <v>271</v>
      </c>
      <c r="B6" s="234" t="s">
        <v>1826</v>
      </c>
      <c r="C6" s="227" t="str">
        <f t="shared" si="1"/>
        <v>AKKI</v>
      </c>
      <c r="D6" s="235">
        <v>83</v>
      </c>
      <c r="E6" s="235">
        <v>85</v>
      </c>
      <c r="F6" s="235">
        <v>97</v>
      </c>
      <c r="G6" s="235">
        <v>80</v>
      </c>
      <c r="H6" s="227" cm="1">
        <f t="array" ref="H6">AVERAGE(MIN(MAX(D6:G6)+10,105),MIN(D6:G6)+12,SMALL(D6:G6,{2,3}))</f>
        <v>91.25</v>
      </c>
      <c r="I6" s="229" t="str" cm="1">
        <f t="array" ref="I6">_xlfn.IFS(H6&lt;60,"F",H6&lt;70,"D",H6&lt;80,"C",H6&lt;90,"B",H6&gt;=90,"A")</f>
        <v>A</v>
      </c>
      <c r="K6" s="236"/>
      <c r="L6" s="237" t="s">
        <v>1827</v>
      </c>
      <c r="M6" s="237"/>
      <c r="N6" s="237"/>
      <c r="O6" s="237"/>
      <c r="P6" s="237"/>
      <c r="Q6" s="237"/>
      <c r="R6" s="237"/>
      <c r="S6" s="237"/>
      <c r="T6" s="237"/>
      <c r="U6" s="238"/>
    </row>
    <row r="7" spans="1:21" x14ac:dyDescent="0.35">
      <c r="A7" s="233" t="s">
        <v>280</v>
      </c>
      <c r="B7" s="234" t="s">
        <v>1828</v>
      </c>
      <c r="C7" s="227" t="str">
        <f t="shared" si="1"/>
        <v>OHER</v>
      </c>
      <c r="D7" s="235">
        <v>85</v>
      </c>
      <c r="E7" s="235">
        <v>79</v>
      </c>
      <c r="F7" s="235">
        <v>94</v>
      </c>
      <c r="G7" s="235">
        <v>82</v>
      </c>
      <c r="H7" s="227" cm="1">
        <f t="array" ref="H7">AVERAGE(MIN(MAX(D7:G7)+10,105),MIN(D7:G7)+12,SMALL(D7:G7,{2,3}))</f>
        <v>90.5</v>
      </c>
      <c r="I7" s="229" t="str" cm="1">
        <f t="array" ref="I7">_xlfn.IFS(H7&lt;60,"F",H7&lt;70,"D",H7&lt;80,"C",H7&lt;90,"B",H7&gt;=90,"A")</f>
        <v>A</v>
      </c>
    </row>
    <row r="8" spans="1:21" x14ac:dyDescent="0.35">
      <c r="A8" s="234" t="s">
        <v>13</v>
      </c>
      <c r="B8" s="234" t="s">
        <v>1829</v>
      </c>
      <c r="C8" s="227" t="str">
        <f t="shared" si="1"/>
        <v>RIOD</v>
      </c>
      <c r="D8" s="235">
        <v>88</v>
      </c>
      <c r="E8" s="235">
        <v>96</v>
      </c>
      <c r="F8" s="235">
        <v>79</v>
      </c>
      <c r="G8" s="235">
        <v>79</v>
      </c>
      <c r="H8" s="227" cm="1">
        <f t="array" ref="H8">AVERAGE(MIN(MAX(D8:G8)+10,105),MIN(D8:G8)+12,SMALL(D8:G8,{2,3}))</f>
        <v>90.75</v>
      </c>
      <c r="I8" s="229" t="str" cm="1">
        <f t="array" ref="I8">_xlfn.IFS(H8&lt;60,"F",H8&lt;70,"D",H8&lt;80,"C",H8&lt;90,"B",H8&gt;=90,"A")</f>
        <v>A</v>
      </c>
    </row>
    <row r="9" spans="1:21" x14ac:dyDescent="0.35">
      <c r="A9" s="233" t="s">
        <v>58</v>
      </c>
      <c r="B9" s="234" t="s">
        <v>1830</v>
      </c>
      <c r="C9" s="227" t="str">
        <f t="shared" si="1"/>
        <v>ELAN</v>
      </c>
      <c r="D9" s="235">
        <v>85</v>
      </c>
      <c r="E9" s="235">
        <v>93</v>
      </c>
      <c r="F9" s="235">
        <v>78</v>
      </c>
      <c r="G9" s="235">
        <v>82</v>
      </c>
      <c r="H9" s="227" cm="1">
        <f t="array" ref="H9">AVERAGE(MIN(MAX(D9:G9)+10,105),MIN(D9:G9)+12,SMALL(D9:G9,{2,3}))</f>
        <v>90</v>
      </c>
      <c r="I9" s="229" t="str" cm="1">
        <f t="array" ref="I9">_xlfn.IFS(H9&lt;60,"F",H9&lt;70,"D",H9&lt;80,"C",H9&lt;90,"B",H9&gt;=90,"A")</f>
        <v>A</v>
      </c>
      <c r="K9" s="239" t="s">
        <v>1831</v>
      </c>
      <c r="L9" s="239"/>
      <c r="M9" s="239"/>
      <c r="N9" s="239"/>
      <c r="P9" s="221" t="s">
        <v>1832</v>
      </c>
    </row>
    <row r="10" spans="1:21" x14ac:dyDescent="0.35">
      <c r="A10" s="233" t="s">
        <v>82</v>
      </c>
      <c r="B10" s="234" t="s">
        <v>1833</v>
      </c>
      <c r="C10" s="227" t="str">
        <f t="shared" si="1"/>
        <v>LMOP</v>
      </c>
      <c r="D10" s="235">
        <v>85</v>
      </c>
      <c r="E10" s="235">
        <v>86</v>
      </c>
      <c r="F10" s="235">
        <v>100</v>
      </c>
      <c r="G10" s="235">
        <v>70</v>
      </c>
      <c r="H10" s="227" cm="1">
        <f t="array" ref="H10">AVERAGE(MIN(MAX(D10:G10)+10,105),MIN(D10:G10)+12,SMALL(D10:G10,{2,3}))</f>
        <v>89.5</v>
      </c>
      <c r="I10" s="229" t="str" cm="1">
        <f t="array" ref="I10">_xlfn.IFS(H10&lt;60,"F",H10&lt;70,"D",H10&lt;80,"C",H10&lt;90,"B",H10&gt;=90,"A")</f>
        <v>B</v>
      </c>
      <c r="P10" s="221" t="s">
        <v>1834</v>
      </c>
    </row>
    <row r="11" spans="1:21" x14ac:dyDescent="0.35">
      <c r="A11" s="233" t="s">
        <v>104</v>
      </c>
      <c r="B11" s="234" t="s">
        <v>105</v>
      </c>
      <c r="C11" s="227" t="str">
        <f t="shared" si="1"/>
        <v>HRIM</v>
      </c>
      <c r="D11" s="235">
        <v>88</v>
      </c>
      <c r="E11" s="235">
        <v>85</v>
      </c>
      <c r="F11" s="235">
        <v>82</v>
      </c>
      <c r="G11" s="235">
        <v>75</v>
      </c>
      <c r="H11" s="227" cm="1">
        <f t="array" ref="H11">AVERAGE(MIN(MAX(D11:G11)+10,105),MIN(D11:G11)+12,SMALL(D11:G11,{2,3}))</f>
        <v>88</v>
      </c>
      <c r="I11" s="229" t="str" cm="1">
        <f t="array" ref="I11">_xlfn.IFS(H11&lt;60,"F",H11&lt;70,"D",H11&lt;80,"C",H11&lt;90,"B",H11&gt;=90,"A")</f>
        <v>B</v>
      </c>
    </row>
    <row r="12" spans="1:21" x14ac:dyDescent="0.35">
      <c r="A12" s="233" t="s">
        <v>72</v>
      </c>
      <c r="B12" s="234" t="s">
        <v>1835</v>
      </c>
      <c r="C12" s="227" t="str">
        <f t="shared" si="1"/>
        <v>ANRD</v>
      </c>
      <c r="D12" s="235">
        <v>83</v>
      </c>
      <c r="E12" s="235">
        <v>78</v>
      </c>
      <c r="F12" s="235">
        <v>87</v>
      </c>
      <c r="G12" s="235">
        <v>81</v>
      </c>
      <c r="H12" s="227" cm="1">
        <f t="array" ref="H12">AVERAGE(MIN(MAX(D12:G12)+10,105),MIN(D12:G12)+12,SMALL(D12:G12,{2,3}))</f>
        <v>87.75</v>
      </c>
      <c r="I12" s="229" t="str" cm="1">
        <f t="array" ref="I12">_xlfn.IFS(H12&lt;60,"F",H12&lt;70,"D",H12&lt;80,"C",H12&lt;90,"B",H12&gt;=90,"A")</f>
        <v>B</v>
      </c>
    </row>
    <row r="13" spans="1:21" x14ac:dyDescent="0.35">
      <c r="A13" s="233" t="s">
        <v>119</v>
      </c>
      <c r="B13" s="234" t="s">
        <v>1836</v>
      </c>
      <c r="C13" s="227" t="str">
        <f t="shared" si="1"/>
        <v>ATOR</v>
      </c>
      <c r="D13" s="235">
        <v>82</v>
      </c>
      <c r="E13" s="235">
        <v>87</v>
      </c>
      <c r="F13" s="235">
        <v>89</v>
      </c>
      <c r="G13" s="235">
        <v>71</v>
      </c>
      <c r="H13" s="227" cm="1">
        <f t="array" ref="H13">AVERAGE(MIN(MAX(D13:G13)+10,105),MIN(D13:G13)+12,SMALL(D13:G13,{2,3}))</f>
        <v>87.75</v>
      </c>
      <c r="I13" s="229" t="str" cm="1">
        <f t="array" ref="I13">_xlfn.IFS(H13&lt;60,"F",H13&lt;70,"D",H13&lt;80,"C",H13&lt;90,"B",H13&gt;=90,"A")</f>
        <v>B</v>
      </c>
      <c r="L13" s="240"/>
    </row>
    <row r="14" spans="1:21" x14ac:dyDescent="0.35">
      <c r="A14" s="233" t="s">
        <v>28</v>
      </c>
      <c r="B14" s="234" t="s">
        <v>1837</v>
      </c>
      <c r="C14" s="227" t="str">
        <f t="shared" si="1"/>
        <v>LERZ</v>
      </c>
      <c r="D14" s="235">
        <v>91</v>
      </c>
      <c r="E14" s="235">
        <v>93</v>
      </c>
      <c r="F14" s="235">
        <v>54</v>
      </c>
      <c r="G14" s="235">
        <v>94</v>
      </c>
      <c r="H14" s="227" cm="1">
        <f t="array" ref="H14">AVERAGE(MIN(MAX(D14:G14)+10,105),MIN(D14:G14)+12,SMALL(D14:G14,{2,3}))</f>
        <v>88.5</v>
      </c>
      <c r="I14" s="229" t="str" cm="1">
        <f t="array" ref="I14">_xlfn.IFS(H14&lt;60,"F",H14&lt;70,"D",H14&lt;80,"C",H14&lt;90,"B",H14&gt;=90,"A")</f>
        <v>B</v>
      </c>
      <c r="R14" s="241"/>
    </row>
    <row r="15" spans="1:21" x14ac:dyDescent="0.35">
      <c r="A15" s="233" t="s">
        <v>38</v>
      </c>
      <c r="B15" s="234" t="s">
        <v>1838</v>
      </c>
      <c r="C15" s="227" t="str">
        <f t="shared" si="1"/>
        <v>INGH</v>
      </c>
      <c r="D15" s="235">
        <v>80</v>
      </c>
      <c r="E15" s="235">
        <v>90</v>
      </c>
      <c r="F15" s="235">
        <v>65</v>
      </c>
      <c r="G15" s="235">
        <v>91</v>
      </c>
      <c r="H15" s="227" cm="1">
        <f t="array" ref="H15">AVERAGE(MIN(MAX(D15:G15)+10,105),MIN(D15:G15)+12,SMALL(D15:G15,{2,3}))</f>
        <v>87</v>
      </c>
      <c r="I15" s="229" t="str" cm="1">
        <f t="array" ref="I15">_xlfn.IFS(H15&lt;60,"F",H15&lt;70,"D",H15&lt;80,"C",H15&lt;90,"B",H15&gt;=90,"A")</f>
        <v>B</v>
      </c>
      <c r="N15" s="221" t="s">
        <v>1839</v>
      </c>
    </row>
    <row r="16" spans="1:21" x14ac:dyDescent="0.35">
      <c r="A16" s="233" t="s">
        <v>50</v>
      </c>
      <c r="B16" s="234" t="s">
        <v>1840</v>
      </c>
      <c r="C16" s="227" t="str">
        <f t="shared" si="1"/>
        <v>ELRY</v>
      </c>
      <c r="D16" s="235">
        <v>91</v>
      </c>
      <c r="E16" s="235">
        <v>77</v>
      </c>
      <c r="F16" s="235">
        <v>72</v>
      </c>
      <c r="G16" s="235">
        <v>85</v>
      </c>
      <c r="H16" s="227" cm="1">
        <f t="array" ref="H16">AVERAGE(MIN(MAX(D16:G16)+10,105),MIN(D16:G16)+12,SMALL(D16:G16,{2,3}))</f>
        <v>86.75</v>
      </c>
      <c r="I16" s="229" t="str" cm="1">
        <f t="array" ref="I16">_xlfn.IFS(H16&lt;60,"F",H16&lt;70,"D",H16&lt;80,"C",H16&lt;90,"B",H16&gt;=90,"A")</f>
        <v>B</v>
      </c>
    </row>
    <row r="17" spans="1:18" x14ac:dyDescent="0.35">
      <c r="A17" s="233" t="s">
        <v>148</v>
      </c>
      <c r="B17" s="234" t="s">
        <v>1841</v>
      </c>
      <c r="C17" s="227" t="str">
        <f t="shared" si="1"/>
        <v>RAIN</v>
      </c>
      <c r="D17" s="235">
        <v>72</v>
      </c>
      <c r="E17" s="235">
        <v>72</v>
      </c>
      <c r="F17" s="235">
        <v>99</v>
      </c>
      <c r="G17" s="235">
        <v>88</v>
      </c>
      <c r="H17" s="227" cm="1">
        <f t="array" ref="H17">AVERAGE(MIN(MAX(D17:G17)+10,105),MIN(D17:G17)+12,SMALL(D17:G17,{2,3}))</f>
        <v>87.25</v>
      </c>
      <c r="I17" s="229" t="str" cm="1">
        <f t="array" ref="I17">_xlfn.IFS(H17&lt;60,"F",H17&lt;70,"D",H17&lt;80,"C",H17&lt;90,"B",H17&gt;=90,"A")</f>
        <v>B</v>
      </c>
    </row>
    <row r="18" spans="1:18" x14ac:dyDescent="0.35">
      <c r="A18" s="233" t="s">
        <v>34</v>
      </c>
      <c r="B18" s="234" t="s">
        <v>1842</v>
      </c>
      <c r="C18" s="227" t="str">
        <f t="shared" si="1"/>
        <v>ILNG</v>
      </c>
      <c r="D18" s="235">
        <v>92</v>
      </c>
      <c r="E18" s="235">
        <v>90</v>
      </c>
      <c r="F18" s="235">
        <v>74</v>
      </c>
      <c r="G18" s="235">
        <v>68</v>
      </c>
      <c r="H18" s="227" cm="1">
        <f t="array" ref="H18">AVERAGE(MIN(MAX(D18:G18)+10,105),MIN(D18:G18)+12,SMALL(D18:G18,{2,3}))</f>
        <v>86.5</v>
      </c>
      <c r="I18" s="229" t="str" cm="1">
        <f t="array" ref="I18">_xlfn.IFS(H18&lt;60,"F",H18&lt;70,"D",H18&lt;80,"C",H18&lt;90,"B",H18&gt;=90,"A")</f>
        <v>B</v>
      </c>
    </row>
    <row r="19" spans="1:18" ht="16" thickBot="1" x14ac:dyDescent="0.4">
      <c r="A19" s="233" t="s">
        <v>140</v>
      </c>
      <c r="B19" s="234" t="s">
        <v>1843</v>
      </c>
      <c r="C19" s="227" t="str">
        <f t="shared" si="1"/>
        <v>MONE</v>
      </c>
      <c r="D19" s="235">
        <v>76</v>
      </c>
      <c r="E19" s="235">
        <v>70</v>
      </c>
      <c r="F19" s="235">
        <v>88</v>
      </c>
      <c r="G19" s="235">
        <v>88</v>
      </c>
      <c r="H19" s="227" cm="1">
        <f t="array" ref="H19">AVERAGE(MIN(MAX(D19:G19)+10,105),MIN(D19:G19)+12,SMALL(D19:G19,{2,3}))</f>
        <v>86</v>
      </c>
      <c r="I19" s="229" t="str" cm="1">
        <f t="array" ref="I19">_xlfn.IFS(H19&lt;60,"F",H19&lt;70,"D",H19&lt;80,"C",H19&lt;90,"B",H19&gt;=90,"A")</f>
        <v>B</v>
      </c>
    </row>
    <row r="20" spans="1:18" x14ac:dyDescent="0.35">
      <c r="A20" s="233" t="s">
        <v>54</v>
      </c>
      <c r="B20" s="234" t="s">
        <v>1844</v>
      </c>
      <c r="C20" s="227" t="str">
        <f t="shared" si="1"/>
        <v>ALPA</v>
      </c>
      <c r="D20" s="235">
        <v>86</v>
      </c>
      <c r="E20" s="235">
        <v>79</v>
      </c>
      <c r="F20" s="235">
        <v>68</v>
      </c>
      <c r="G20" s="235">
        <v>88</v>
      </c>
      <c r="H20" s="227" cm="1">
        <f t="array" ref="H20">AVERAGE(MIN(MAX(D20:G20)+10,105),MIN(D20:G20)+12,SMALL(D20:G20,{2,3}))</f>
        <v>85.75</v>
      </c>
      <c r="I20" s="229" t="str" cm="1">
        <f t="array" ref="I20">_xlfn.IFS(H20&lt;60,"F",H20&lt;70,"D",H20&lt;80,"C",H20&lt;90,"B",H20&gt;=90,"A")</f>
        <v>B</v>
      </c>
      <c r="N20" s="359" t="s">
        <v>1845</v>
      </c>
      <c r="O20" s="360">
        <f>-PMT(0.065/12,30*12,0,1000000,0)</f>
        <v>904.01356826297024</v>
      </c>
      <c r="P20" s="361"/>
      <c r="Q20" s="361"/>
      <c r="R20" s="362"/>
    </row>
    <row r="21" spans="1:18" x14ac:dyDescent="0.35">
      <c r="A21" s="234" t="s">
        <v>253</v>
      </c>
      <c r="B21" s="234" t="s">
        <v>1846</v>
      </c>
      <c r="C21" s="227" t="str">
        <f t="shared" si="1"/>
        <v>SCET</v>
      </c>
      <c r="D21" s="235">
        <v>76</v>
      </c>
      <c r="E21" s="235">
        <v>81</v>
      </c>
      <c r="F21" s="235">
        <v>90</v>
      </c>
      <c r="G21" s="235">
        <v>73</v>
      </c>
      <c r="H21" s="227" cm="1">
        <f t="array" ref="H21">AVERAGE(MIN(MAX(D21:G21)+10,105),MIN(D21:G21)+12,SMALL(D21:G21,{2,3}))</f>
        <v>85.5</v>
      </c>
      <c r="I21" s="229" t="str" cm="1">
        <f t="array" ref="I21">_xlfn.IFS(H21&lt;60,"F",H21&lt;70,"D",H21&lt;80,"C",H21&lt;90,"B",H21&gt;=90,"A")</f>
        <v>B</v>
      </c>
      <c r="N21" s="363"/>
      <c r="O21" s="364"/>
      <c r="P21" s="364"/>
      <c r="Q21" s="364"/>
      <c r="R21" s="365"/>
    </row>
    <row r="22" spans="1:18" x14ac:dyDescent="0.35">
      <c r="A22" s="233" t="s">
        <v>244</v>
      </c>
      <c r="B22" s="234" t="s">
        <v>1847</v>
      </c>
      <c r="C22" s="227" t="str">
        <f t="shared" si="1"/>
        <v>ELEY</v>
      </c>
      <c r="D22" s="235">
        <v>73</v>
      </c>
      <c r="E22" s="235">
        <v>84</v>
      </c>
      <c r="F22" s="235">
        <v>91</v>
      </c>
      <c r="G22" s="235">
        <v>72</v>
      </c>
      <c r="H22" s="227" cm="1">
        <f t="array" ref="H22">AVERAGE(MIN(MAX(D22:G22)+10,105),MIN(D22:G22)+12,SMALL(D22:G22,{2,3}))</f>
        <v>85.5</v>
      </c>
      <c r="I22" s="229" t="str" cm="1">
        <f t="array" ref="I22">_xlfn.IFS(H22&lt;60,"F",H22&lt;70,"D",H22&lt;80,"C",H22&lt;90,"B",H22&gt;=90,"A")</f>
        <v>B</v>
      </c>
      <c r="N22" s="366" t="s">
        <v>1848</v>
      </c>
      <c r="O22" s="364">
        <f>NPER(0.07/12,-500,0,300000,0)</f>
        <v>258.59314912168497</v>
      </c>
      <c r="P22" s="364"/>
      <c r="Q22" s="364">
        <f>NPER(0.0653/12,-800,0,500000,0)</f>
        <v>273.054110567034</v>
      </c>
      <c r="R22" s="365"/>
    </row>
    <row r="23" spans="1:18" x14ac:dyDescent="0.35">
      <c r="A23" s="234" t="s">
        <v>262</v>
      </c>
      <c r="B23" s="234" t="s">
        <v>1849</v>
      </c>
      <c r="C23" s="227" t="str">
        <f t="shared" si="1"/>
        <v>IACE</v>
      </c>
      <c r="D23" s="235">
        <v>81</v>
      </c>
      <c r="E23" s="235">
        <v>78</v>
      </c>
      <c r="F23" s="235">
        <v>83</v>
      </c>
      <c r="G23" s="235">
        <v>77</v>
      </c>
      <c r="H23" s="227" cm="1">
        <f t="array" ref="H23">AVERAGE(MIN(MAX(D23:G23)+10,105),MIN(D23:G23)+12,SMALL(D23:G23,{2,3}))</f>
        <v>85.25</v>
      </c>
      <c r="I23" s="229" t="str" cm="1">
        <f t="array" ref="I23">_xlfn.IFS(H23&lt;60,"F",H23&lt;70,"D",H23&lt;80,"C",H23&lt;90,"B",H23&gt;=90,"A")</f>
        <v>B</v>
      </c>
      <c r="N23" s="363"/>
      <c r="O23" s="364"/>
      <c r="P23" s="364"/>
      <c r="Q23" s="364"/>
      <c r="R23" s="365"/>
    </row>
    <row r="24" spans="1:18" x14ac:dyDescent="0.35">
      <c r="A24" s="233" t="s">
        <v>91</v>
      </c>
      <c r="B24" s="234" t="s">
        <v>1850</v>
      </c>
      <c r="C24" s="227" t="str">
        <f t="shared" si="1"/>
        <v>ARAO</v>
      </c>
      <c r="D24" s="235">
        <v>84</v>
      </c>
      <c r="E24" s="235">
        <v>81</v>
      </c>
      <c r="F24" s="235">
        <v>71</v>
      </c>
      <c r="G24" s="235">
        <v>83</v>
      </c>
      <c r="H24" s="227" cm="1">
        <f t="array" ref="H24">AVERAGE(MIN(MAX(D24:G24)+10,105),MIN(D24:G24)+12,SMALL(D24:G24,{2,3}))</f>
        <v>85.25</v>
      </c>
      <c r="I24" s="229" t="str" cm="1">
        <f t="array" ref="I24">_xlfn.IFS(H24&lt;60,"F",H24&lt;70,"D",H24&lt;80,"C",H24&lt;90,"B",H24&gt;=90,"A")</f>
        <v>B</v>
      </c>
      <c r="N24" s="366" t="s">
        <v>1851</v>
      </c>
      <c r="O24" s="367">
        <f>PV(0.0467,1,0,2500,0) + PV(0.0467,3,0,4000,0) + PV(0.0467,4,0,5000,0)</f>
        <v>-10042.228221873544</v>
      </c>
      <c r="P24" s="364"/>
      <c r="Q24" s="364"/>
      <c r="R24" s="365"/>
    </row>
    <row r="25" spans="1:18" x14ac:dyDescent="0.35">
      <c r="A25" s="234" t="s">
        <v>95</v>
      </c>
      <c r="B25" s="234" t="s">
        <v>1852</v>
      </c>
      <c r="C25" s="227" t="str">
        <f t="shared" si="1"/>
        <v>YRON</v>
      </c>
      <c r="D25" s="235">
        <v>81</v>
      </c>
      <c r="E25" s="235">
        <v>83</v>
      </c>
      <c r="F25" s="235">
        <v>81</v>
      </c>
      <c r="G25" s="235">
        <v>73</v>
      </c>
      <c r="H25" s="227" cm="1">
        <f t="array" ref="H25">AVERAGE(MIN(MAX(D25:G25)+10,105),MIN(D25:G25)+12,SMALL(D25:G25,{2,3}))</f>
        <v>85</v>
      </c>
      <c r="I25" s="229" t="str" cm="1">
        <f t="array" ref="I25">_xlfn.IFS(H25&lt;60,"F",H25&lt;70,"D",H25&lt;80,"C",H25&lt;90,"B",H25&gt;=90,"A")</f>
        <v>B</v>
      </c>
      <c r="N25" s="363"/>
      <c r="O25" s="364"/>
      <c r="P25" s="364"/>
      <c r="Q25" s="364"/>
      <c r="R25" s="365"/>
    </row>
    <row r="26" spans="1:18" x14ac:dyDescent="0.35">
      <c r="A26" s="233" t="s">
        <v>21</v>
      </c>
      <c r="B26" s="234" t="s">
        <v>1853</v>
      </c>
      <c r="C26" s="227" t="str">
        <f t="shared" si="1"/>
        <v>AUEY</v>
      </c>
      <c r="D26" s="235">
        <v>92</v>
      </c>
      <c r="E26" s="235">
        <v>90</v>
      </c>
      <c r="F26" s="235">
        <v>45</v>
      </c>
      <c r="G26" s="235">
        <v>91</v>
      </c>
      <c r="H26" s="227" cm="1">
        <f t="array" ref="H26">AVERAGE(MIN(MAX(D26:G26)+10,105),MIN(D26:G26)+12,SMALL(D26:G26,{2,3}))</f>
        <v>85</v>
      </c>
      <c r="I26" s="229" t="str" cm="1">
        <f t="array" ref="I26">_xlfn.IFS(H26&lt;60,"F",H26&lt;70,"D",H26&lt;80,"C",H26&lt;90,"B",H26&gt;=90,"A")</f>
        <v>B</v>
      </c>
      <c r="N26" s="368" t="s">
        <v>1854</v>
      </c>
      <c r="O26" s="367">
        <f>PV(0.0715/12,10*12,-273,0,0)</f>
        <v>23356.683090672726</v>
      </c>
      <c r="P26" s="364"/>
      <c r="Q26" s="367">
        <f>PV(0.0524/12,10*12,-357,0,0)</f>
        <v>33289.043458779772</v>
      </c>
      <c r="R26" s="365"/>
    </row>
    <row r="27" spans="1:18" x14ac:dyDescent="0.35">
      <c r="A27" s="233" t="s">
        <v>294</v>
      </c>
      <c r="B27" s="234" t="s">
        <v>1855</v>
      </c>
      <c r="C27" s="227" t="str">
        <f t="shared" si="1"/>
        <v>ARSI</v>
      </c>
      <c r="D27" s="235">
        <v>90</v>
      </c>
      <c r="E27" s="235">
        <v>73</v>
      </c>
      <c r="F27" s="235">
        <v>63</v>
      </c>
      <c r="G27" s="235">
        <v>90</v>
      </c>
      <c r="H27" s="227" cm="1">
        <f t="array" ref="H27">AVERAGE(MIN(MAX(D27:G27)+10,105),MIN(D27:G27)+12,SMALL(D27:G27,{2,3}))</f>
        <v>84.5</v>
      </c>
      <c r="I27" s="229" t="str" cm="1">
        <f t="array" ref="I27">_xlfn.IFS(H27&lt;60,"F",H27&lt;70,"D",H27&lt;80,"C",H27&lt;90,"B",H27&gt;=90,"A")</f>
        <v>B</v>
      </c>
      <c r="N27" s="363"/>
      <c r="O27" s="364"/>
      <c r="P27" s="364"/>
      <c r="Q27" s="364"/>
      <c r="R27" s="365"/>
    </row>
    <row r="28" spans="1:18" x14ac:dyDescent="0.35">
      <c r="A28" s="233" t="s">
        <v>297</v>
      </c>
      <c r="B28" s="234" t="s">
        <v>1856</v>
      </c>
      <c r="C28" s="227" t="str">
        <f t="shared" si="1"/>
        <v>RIRM</v>
      </c>
      <c r="D28" s="235">
        <v>90</v>
      </c>
      <c r="E28" s="235">
        <v>49</v>
      </c>
      <c r="F28" s="235">
        <v>85</v>
      </c>
      <c r="G28" s="235">
        <v>94</v>
      </c>
      <c r="H28" s="227" cm="1">
        <f t="array" ref="H28">AVERAGE(MIN(MAX(D28:G28)+10,105),MIN(D28:G28)+12,SMALL(D28:G28,{2,3}))</f>
        <v>85</v>
      </c>
      <c r="I28" s="229" t="str" cm="1">
        <f t="array" ref="I28">_xlfn.IFS(H28&lt;60,"F",H28&lt;70,"D",H28&lt;80,"C",H28&lt;90,"B",H28&gt;=90,"A")</f>
        <v>B</v>
      </c>
      <c r="N28" s="368" t="s">
        <v>1857</v>
      </c>
      <c r="O28" s="364">
        <f>LOG(3.5)/LOG(1.0724)</f>
        <v>17.922440743656285</v>
      </c>
      <c r="P28" s="364"/>
      <c r="Q28" s="364"/>
      <c r="R28" s="365"/>
    </row>
    <row r="29" spans="1:18" x14ac:dyDescent="0.35">
      <c r="A29" s="233" t="s">
        <v>25</v>
      </c>
      <c r="B29" s="234" t="s">
        <v>1858</v>
      </c>
      <c r="C29" s="227" t="str">
        <f t="shared" si="1"/>
        <v>UNNT</v>
      </c>
      <c r="D29" s="235">
        <v>92</v>
      </c>
      <c r="E29" s="235">
        <v>88</v>
      </c>
      <c r="F29" s="235">
        <v>46</v>
      </c>
      <c r="G29" s="235">
        <v>90</v>
      </c>
      <c r="H29" s="227" cm="1">
        <f t="array" ref="H29">AVERAGE(MIN(MAX(D29:G29)+10,105),MIN(D29:G29)+12,SMALL(D29:G29,{2,3}))</f>
        <v>84.5</v>
      </c>
      <c r="I29" s="229" t="str" cm="1">
        <f t="array" ref="I29">_xlfn.IFS(H29&lt;60,"F",H29&lt;70,"D",H29&lt;80,"C",H29&lt;90,"B",H29&gt;=90,"A")</f>
        <v>B</v>
      </c>
      <c r="N29" s="363"/>
      <c r="O29" s="364"/>
      <c r="P29" s="364"/>
      <c r="Q29" s="364"/>
      <c r="R29" s="365"/>
    </row>
    <row r="30" spans="1:18" x14ac:dyDescent="0.35">
      <c r="A30" s="233" t="s">
        <v>227</v>
      </c>
      <c r="B30" s="234" t="s">
        <v>1859</v>
      </c>
      <c r="C30" s="227" t="str">
        <f t="shared" si="1"/>
        <v>TLON</v>
      </c>
      <c r="D30" s="235">
        <v>85</v>
      </c>
      <c r="E30" s="235">
        <v>83</v>
      </c>
      <c r="F30" s="235">
        <v>80</v>
      </c>
      <c r="G30" s="235">
        <v>66</v>
      </c>
      <c r="H30" s="227" cm="1">
        <f t="array" ref="H30">AVERAGE(MIN(MAX(D30:G30)+10,105),MIN(D30:G30)+12,SMALL(D30:G30,{2,3}))</f>
        <v>84</v>
      </c>
      <c r="I30" s="229" t="str" cm="1">
        <f t="array" ref="I30">_xlfn.IFS(H30&lt;60,"F",H30&lt;70,"D",H30&lt;80,"C",H30&lt;90,"B",H30&gt;=90,"A")</f>
        <v>B</v>
      </c>
      <c r="N30" s="368" t="s">
        <v>1860</v>
      </c>
      <c r="O30" s="364">
        <f>LOG(N31)/LOG(1.0566)</f>
        <v>10.676120101549758</v>
      </c>
      <c r="P30" s="364"/>
      <c r="Q30" s="364"/>
      <c r="R30" s="365"/>
    </row>
    <row r="31" spans="1:18" x14ac:dyDescent="0.35">
      <c r="A31" s="233" t="s">
        <v>224</v>
      </c>
      <c r="B31" s="234" t="s">
        <v>1861</v>
      </c>
      <c r="C31" s="227" t="str">
        <f t="shared" si="1"/>
        <v>OSLL</v>
      </c>
      <c r="D31" s="235">
        <v>93</v>
      </c>
      <c r="E31" s="235">
        <v>90</v>
      </c>
      <c r="F31" s="235">
        <v>79</v>
      </c>
      <c r="G31" s="235">
        <v>54</v>
      </c>
      <c r="H31" s="227" cm="1">
        <f t="array" ref="H31">AVERAGE(MIN(MAX(D31:G31)+10,105),MIN(D31:G31)+12,SMALL(D31:G31,{2,3}))</f>
        <v>84.5</v>
      </c>
      <c r="I31" s="229" t="str" cm="1">
        <f t="array" ref="I31">_xlfn.IFS(H31&lt;60,"F",H31&lt;70,"D",H31&lt;80,"C",H31&lt;90,"B",H31&gt;=90,"A")</f>
        <v>B</v>
      </c>
      <c r="N31" s="363">
        <f>45000/25000</f>
        <v>1.8</v>
      </c>
      <c r="O31" s="364"/>
      <c r="P31" s="364"/>
      <c r="Q31" s="364"/>
      <c r="R31" s="365"/>
    </row>
    <row r="32" spans="1:18" x14ac:dyDescent="0.35">
      <c r="A32" s="233" t="s">
        <v>291</v>
      </c>
      <c r="B32" s="234" t="s">
        <v>1862</v>
      </c>
      <c r="C32" s="227" t="str">
        <f t="shared" si="1"/>
        <v>ERES</v>
      </c>
      <c r="D32" s="235">
        <v>89</v>
      </c>
      <c r="E32" s="235">
        <v>60</v>
      </c>
      <c r="F32" s="235">
        <v>73</v>
      </c>
      <c r="G32" s="235">
        <v>90</v>
      </c>
      <c r="H32" s="227" cm="1">
        <f t="array" ref="H32">AVERAGE(MIN(MAX(D32:G32)+10,105),MIN(D32:G32)+12,SMALL(D32:G32,{2,3}))</f>
        <v>83.5</v>
      </c>
      <c r="I32" s="229" t="str" cm="1">
        <f t="array" ref="I32">_xlfn.IFS(H32&lt;60,"F",H32&lt;70,"D",H32&lt;80,"C",H32&lt;90,"B",H32&gt;=90,"A")</f>
        <v>B</v>
      </c>
      <c r="K32" s="242"/>
      <c r="N32" s="363"/>
      <c r="O32" s="364"/>
      <c r="P32" s="364"/>
      <c r="Q32" s="364"/>
      <c r="R32" s="365"/>
    </row>
    <row r="33" spans="1:23" x14ac:dyDescent="0.35">
      <c r="A33" s="233" t="s">
        <v>98</v>
      </c>
      <c r="B33" s="234" t="s">
        <v>1841</v>
      </c>
      <c r="C33" s="227" t="str">
        <f t="shared" si="1"/>
        <v>RAIS</v>
      </c>
      <c r="D33" s="235">
        <v>86</v>
      </c>
      <c r="E33" s="235">
        <v>84</v>
      </c>
      <c r="F33" s="235">
        <v>72</v>
      </c>
      <c r="G33" s="235">
        <v>69</v>
      </c>
      <c r="H33" s="227" cm="1">
        <f t="array" ref="H33">AVERAGE(MIN(MAX(D33:G33)+10,105),MIN(D33:G33)+12,SMALL(D33:G33,{2,3}))</f>
        <v>83.25</v>
      </c>
      <c r="I33" s="229" t="str" cm="1">
        <f t="array" ref="I33">_xlfn.IFS(H33&lt;60,"F",H33&lt;70,"D",H33&lt;80,"C",H33&lt;90,"B",H33&gt;=90,"A")</f>
        <v>B</v>
      </c>
      <c r="N33" s="363"/>
      <c r="O33" s="364"/>
      <c r="P33" s="364"/>
      <c r="Q33" s="364"/>
      <c r="R33" s="365"/>
    </row>
    <row r="34" spans="1:23" x14ac:dyDescent="0.35">
      <c r="A34" s="233" t="s">
        <v>69</v>
      </c>
      <c r="B34" s="234" t="s">
        <v>1863</v>
      </c>
      <c r="C34" s="227" t="str">
        <f t="shared" si="1"/>
        <v>ELER</v>
      </c>
      <c r="D34" s="235">
        <v>89</v>
      </c>
      <c r="E34" s="235">
        <v>78</v>
      </c>
      <c r="F34" s="235">
        <v>72</v>
      </c>
      <c r="G34" s="235">
        <v>71</v>
      </c>
      <c r="H34" s="227" cm="1">
        <f t="array" ref="H34">AVERAGE(MIN(MAX(D34:G34)+10,105),MIN(D34:G34)+12,SMALL(D34:G34,{2,3}))</f>
        <v>83</v>
      </c>
      <c r="I34" s="229" t="str" cm="1">
        <f t="array" ref="I34">_xlfn.IFS(H34&lt;60,"F",H34&lt;70,"D",H34&lt;80,"C",H34&lt;90,"B",H34&gt;=90,"A")</f>
        <v>B</v>
      </c>
      <c r="N34" s="363"/>
      <c r="O34" s="364"/>
      <c r="P34" s="364"/>
      <c r="Q34" s="364"/>
      <c r="R34" s="365"/>
    </row>
    <row r="35" spans="1:23" x14ac:dyDescent="0.35">
      <c r="A35" s="233" t="s">
        <v>78</v>
      </c>
      <c r="B35" s="234" t="s">
        <v>1864</v>
      </c>
      <c r="C35" s="227" t="str">
        <f t="shared" si="1"/>
        <v>INEW</v>
      </c>
      <c r="D35" s="235">
        <v>89</v>
      </c>
      <c r="E35" s="235">
        <v>79</v>
      </c>
      <c r="F35" s="235">
        <v>58</v>
      </c>
      <c r="G35" s="235">
        <v>83</v>
      </c>
      <c r="H35" s="227" cm="1">
        <f t="array" ref="H35">AVERAGE(MIN(MAX(D35:G35)+10,105),MIN(D35:G35)+12,SMALL(D35:G35,{2,3}))</f>
        <v>82.75</v>
      </c>
      <c r="I35" s="229" t="str" cm="1">
        <f t="array" ref="I35">_xlfn.IFS(H35&lt;60,"F",H35&lt;70,"D",H35&lt;80,"C",H35&lt;90,"B",H35&gt;=90,"A")</f>
        <v>B</v>
      </c>
      <c r="N35" s="363"/>
      <c r="O35" s="364"/>
      <c r="P35" s="364"/>
      <c r="Q35" s="364"/>
      <c r="R35" s="365"/>
    </row>
    <row r="36" spans="1:23" x14ac:dyDescent="0.35">
      <c r="A36" s="234" t="s">
        <v>85</v>
      </c>
      <c r="B36" s="234" t="s">
        <v>1865</v>
      </c>
      <c r="C36" s="227" t="str">
        <f t="shared" si="1"/>
        <v>EIRD</v>
      </c>
      <c r="D36" s="235">
        <v>88</v>
      </c>
      <c r="E36" s="235">
        <v>80</v>
      </c>
      <c r="F36" s="235">
        <v>53</v>
      </c>
      <c r="G36" s="235">
        <v>85</v>
      </c>
      <c r="H36" s="227" cm="1">
        <f t="array" ref="H36">AVERAGE(MIN(MAX(D36:G36)+10,105),MIN(D36:G36)+12,SMALL(D36:G36,{2,3}))</f>
        <v>82</v>
      </c>
      <c r="I36" s="229" t="str" cm="1">
        <f t="array" ref="I36">_xlfn.IFS(H36&lt;60,"F",H36&lt;70,"D",H36&lt;80,"C",H36&lt;90,"B",H36&gt;=90,"A")</f>
        <v>B</v>
      </c>
      <c r="N36" s="363" t="s">
        <v>45</v>
      </c>
      <c r="O36" s="364">
        <v>13000</v>
      </c>
      <c r="P36" s="364"/>
      <c r="Q36" s="364" t="s">
        <v>45</v>
      </c>
      <c r="R36" s="365">
        <v>12000</v>
      </c>
    </row>
    <row r="37" spans="1:23" x14ac:dyDescent="0.35">
      <c r="A37" s="233" t="s">
        <v>221</v>
      </c>
      <c r="B37" s="234" t="s">
        <v>1866</v>
      </c>
      <c r="C37" s="227" t="str">
        <f t="shared" si="1"/>
        <v>ZRER</v>
      </c>
      <c r="D37" s="235">
        <v>93</v>
      </c>
      <c r="E37" s="235">
        <v>93</v>
      </c>
      <c r="F37" s="235">
        <v>74</v>
      </c>
      <c r="G37" s="235">
        <v>47</v>
      </c>
      <c r="H37" s="227" cm="1">
        <f t="array" ref="H37">AVERAGE(MIN(MAX(D37:G37)+10,105),MIN(D37:G37)+12,SMALL(D37:G37,{2,3}))</f>
        <v>82.25</v>
      </c>
      <c r="I37" s="229" t="str" cm="1">
        <f t="array" ref="I37">_xlfn.IFS(H37&lt;60,"F",H37&lt;70,"D",H37&lt;80,"C",H37&lt;90,"B",H37&gt;=90,"A")</f>
        <v>B</v>
      </c>
      <c r="N37" s="363" t="s">
        <v>1867</v>
      </c>
      <c r="O37" s="364">
        <v>6</v>
      </c>
      <c r="P37" s="364"/>
      <c r="Q37" s="364" t="s">
        <v>1867</v>
      </c>
      <c r="R37" s="365">
        <v>7.6800069688437214</v>
      </c>
    </row>
    <row r="38" spans="1:23" x14ac:dyDescent="0.35">
      <c r="A38" s="233" t="s">
        <v>142</v>
      </c>
      <c r="B38" s="234" t="s">
        <v>1868</v>
      </c>
      <c r="C38" s="227" t="str">
        <f t="shared" si="1"/>
        <v>YLEZ</v>
      </c>
      <c r="D38" s="235">
        <v>71</v>
      </c>
      <c r="E38" s="235">
        <v>75</v>
      </c>
      <c r="F38" s="235">
        <v>84</v>
      </c>
      <c r="G38" s="235">
        <v>73</v>
      </c>
      <c r="H38" s="227" cm="1">
        <f t="array" ref="H38">AVERAGE(MIN(MAX(D38:G38)+10,105),MIN(D38:G38)+12,SMALL(D38:G38,{2,3}))</f>
        <v>81.25</v>
      </c>
      <c r="I38" s="229" t="str" cm="1">
        <f t="array" ref="I38">_xlfn.IFS(H38&lt;60,"F",H38&lt;70,"D",H38&lt;80,"C",H38&lt;90,"B",H38&gt;=90,"A")</f>
        <v>B</v>
      </c>
      <c r="N38" s="363" t="s">
        <v>1869</v>
      </c>
      <c r="O38" s="364">
        <v>452.30769091774528</v>
      </c>
      <c r="P38" s="364"/>
      <c r="Q38" s="364" t="s">
        <v>1869</v>
      </c>
      <c r="R38" s="365">
        <v>500</v>
      </c>
    </row>
    <row r="39" spans="1:23" x14ac:dyDescent="0.35">
      <c r="A39" s="234" t="s">
        <v>256</v>
      </c>
      <c r="B39" s="234" t="s">
        <v>324</v>
      </c>
      <c r="C39" s="227" t="str">
        <f t="shared" si="1"/>
        <v>OHIZ</v>
      </c>
      <c r="D39" s="235">
        <v>78</v>
      </c>
      <c r="E39" s="235">
        <v>64</v>
      </c>
      <c r="F39" s="235">
        <v>86</v>
      </c>
      <c r="G39" s="235">
        <v>74</v>
      </c>
      <c r="H39" s="227" cm="1">
        <f t="array" ref="H39">AVERAGE(MIN(MAX(D39:G39)+10,105),MIN(D39:G39)+12,SMALL(D39:G39,{2,3}))</f>
        <v>81</v>
      </c>
      <c r="I39" s="229" t="str" cm="1">
        <f t="array" ref="I39">_xlfn.IFS(H39&lt;60,"F",H39&lt;70,"D",H39&lt;80,"C",H39&lt;90,"B",H39&gt;=90,"A")</f>
        <v>B</v>
      </c>
      <c r="N39" s="363" t="s">
        <v>1870</v>
      </c>
      <c r="O39" s="364">
        <f>SQRT((2*O36*O38)/O37)</f>
        <v>1399.9999978488916</v>
      </c>
      <c r="P39" s="364"/>
      <c r="Q39" s="364" t="s">
        <v>1870</v>
      </c>
      <c r="R39" s="365">
        <f>SQRT((2*R36*R38)/R37)</f>
        <v>1249.9994328744322</v>
      </c>
    </row>
    <row r="40" spans="1:23" x14ac:dyDescent="0.35">
      <c r="A40" s="234" t="s">
        <v>250</v>
      </c>
      <c r="B40" s="234" t="s">
        <v>1871</v>
      </c>
      <c r="C40" s="227" t="str">
        <f t="shared" si="1"/>
        <v>YLER</v>
      </c>
      <c r="D40" s="235">
        <v>75</v>
      </c>
      <c r="E40" s="235">
        <v>81</v>
      </c>
      <c r="F40" s="235">
        <v>72</v>
      </c>
      <c r="G40" s="235">
        <v>73</v>
      </c>
      <c r="H40" s="227" cm="1">
        <f t="array" ref="H40">AVERAGE(MIN(MAX(D40:G40)+10,105),MIN(D40:G40)+12,SMALL(D40:G40,{2,3}))</f>
        <v>80.75</v>
      </c>
      <c r="I40" s="229" t="str" cm="1">
        <f t="array" ref="I40">_xlfn.IFS(H40&lt;60,"F",H40&lt;70,"D",H40&lt;80,"C",H40&lt;90,"B",H40&gt;=90,"A")</f>
        <v>B</v>
      </c>
      <c r="N40" s="363"/>
      <c r="O40" s="364"/>
      <c r="P40" s="364"/>
      <c r="Q40" s="364"/>
      <c r="R40" s="365"/>
    </row>
    <row r="41" spans="1:23" x14ac:dyDescent="0.35">
      <c r="A41" s="233" t="s">
        <v>300</v>
      </c>
      <c r="B41" s="234" t="s">
        <v>1872</v>
      </c>
      <c r="C41" s="227" t="str">
        <f t="shared" si="1"/>
        <v>DISA</v>
      </c>
      <c r="D41" s="235">
        <v>90</v>
      </c>
      <c r="E41" s="235">
        <v>23</v>
      </c>
      <c r="F41" s="235">
        <v>99</v>
      </c>
      <c r="G41" s="235">
        <v>98</v>
      </c>
      <c r="H41" s="227" cm="1">
        <f t="array" ref="H41">AVERAGE(MIN(MAX(D41:G41)+10,105),MIN(D41:G41)+12,SMALL(D41:G41,{2,3}))</f>
        <v>82</v>
      </c>
      <c r="I41" s="229" t="str" cm="1">
        <f t="array" ref="I41">_xlfn.IFS(H41&lt;60,"F",H41&lt;70,"D",H41&lt;80,"C",H41&lt;90,"B",H41&gt;=90,"A")</f>
        <v>B</v>
      </c>
      <c r="N41" s="363"/>
      <c r="O41" s="364"/>
      <c r="P41" s="364"/>
      <c r="Q41" s="364"/>
      <c r="R41" s="365"/>
    </row>
    <row r="42" spans="1:23" x14ac:dyDescent="0.35">
      <c r="A42" s="233" t="s">
        <v>268</v>
      </c>
      <c r="B42" s="234" t="s">
        <v>1873</v>
      </c>
      <c r="C42" s="227" t="str">
        <f t="shared" si="1"/>
        <v>AYAH</v>
      </c>
      <c r="D42" s="235">
        <v>83</v>
      </c>
      <c r="E42" s="235">
        <v>60</v>
      </c>
      <c r="F42" s="235">
        <v>78</v>
      </c>
      <c r="G42" s="235">
        <v>78</v>
      </c>
      <c r="H42" s="227" cm="1">
        <f t="array" ref="H42">AVERAGE(MIN(MAX(D42:G42)+10,105),MIN(D42:G42)+12,SMALL(D42:G42,{2,3}))</f>
        <v>80.25</v>
      </c>
      <c r="I42" s="229" t="str" cm="1">
        <f t="array" ref="I42">_xlfn.IFS(H42&lt;60,"F",H42&lt;70,"D",H42&lt;80,"C",H42&lt;90,"B",H42&gt;=90,"A")</f>
        <v>B</v>
      </c>
      <c r="N42" s="363" t="s">
        <v>1874</v>
      </c>
      <c r="O42" s="364">
        <f>VLOOKUP(N42,C2:I96,6,FALSE)</f>
        <v>87</v>
      </c>
      <c r="P42" s="364"/>
      <c r="Q42" s="364"/>
      <c r="R42" s="365"/>
    </row>
    <row r="43" spans="1:23" x14ac:dyDescent="0.35">
      <c r="A43" s="233" t="s">
        <v>218</v>
      </c>
      <c r="B43" s="234" t="s">
        <v>1875</v>
      </c>
      <c r="C43" s="227" t="str">
        <f t="shared" si="1"/>
        <v>AKNG</v>
      </c>
      <c r="D43" s="235">
        <v>87</v>
      </c>
      <c r="E43" s="235">
        <v>82</v>
      </c>
      <c r="F43" s="235">
        <v>84</v>
      </c>
      <c r="G43" s="235">
        <v>46</v>
      </c>
      <c r="H43" s="227" cm="1">
        <f t="array" ref="H43">AVERAGE(MIN(MAX(D43:G43)+10,105),MIN(D43:G43)+12,SMALL(D43:G43,{2,3}))</f>
        <v>80.25</v>
      </c>
      <c r="I43" s="229" t="str" cm="1">
        <f t="array" ref="I43">_xlfn.IFS(H43&lt;60,"F",H43&lt;70,"D",H43&lt;80,"C",H43&lt;90,"B",H43&gt;=90,"A")</f>
        <v>B</v>
      </c>
      <c r="N43" s="363"/>
      <c r="O43" s="364"/>
      <c r="P43" s="364"/>
      <c r="Q43" s="364"/>
      <c r="R43" s="365">
        <v>79</v>
      </c>
      <c r="S43" s="221">
        <v>88</v>
      </c>
      <c r="T43" s="221">
        <v>86</v>
      </c>
      <c r="U43" s="221">
        <v>82</v>
      </c>
      <c r="V43" s="221">
        <v>92.499999999999957</v>
      </c>
      <c r="W43" s="221">
        <f>AVERAGE(R43:V43)</f>
        <v>85.499999999999986</v>
      </c>
    </row>
    <row r="44" spans="1:23" x14ac:dyDescent="0.35">
      <c r="A44" s="233" t="s">
        <v>259</v>
      </c>
      <c r="B44" s="234" t="s">
        <v>1876</v>
      </c>
      <c r="C44" s="227" t="str">
        <f t="shared" si="1"/>
        <v>ELER</v>
      </c>
      <c r="D44" s="235">
        <v>79</v>
      </c>
      <c r="E44" s="235">
        <v>68</v>
      </c>
      <c r="F44" s="235">
        <v>75</v>
      </c>
      <c r="G44" s="235">
        <v>76</v>
      </c>
      <c r="H44" s="227" cm="1">
        <f t="array" ref="H44">AVERAGE(MIN(MAX(D44:G44)+10,105),MIN(D44:G44)+12,SMALL(D44:G44,{2,3}))</f>
        <v>80</v>
      </c>
      <c r="I44" s="229" t="str" cm="1">
        <f t="array" ref="I44">_xlfn.IFS(H44&lt;60,"F",H44&lt;70,"D",H44&lt;80,"C",H44&lt;90,"B",H44&gt;=90,"A")</f>
        <v>B</v>
      </c>
      <c r="N44" s="363" t="s">
        <v>1877</v>
      </c>
      <c r="O44" s="364">
        <f>AVERAGEIF(C2:C96,"&lt;&gt;L*",H2:H96)</f>
        <v>77.486263736263737</v>
      </c>
      <c r="P44" s="364"/>
      <c r="Q44" s="364"/>
      <c r="R44" s="365"/>
    </row>
    <row r="45" spans="1:23" x14ac:dyDescent="0.35">
      <c r="A45" s="234" t="s">
        <v>277</v>
      </c>
      <c r="B45" s="234" t="s">
        <v>1878</v>
      </c>
      <c r="C45" s="227" t="str">
        <f t="shared" si="1"/>
        <v>ENIK</v>
      </c>
      <c r="D45" s="235">
        <v>84</v>
      </c>
      <c r="E45" s="235">
        <v>82</v>
      </c>
      <c r="F45" s="235">
        <v>50</v>
      </c>
      <c r="G45" s="235">
        <v>82</v>
      </c>
      <c r="H45" s="227" cm="1">
        <f t="array" ref="H45">AVERAGE(MIN(MAX(D45:G45)+10,105),MIN(D45:G45)+12,SMALL(D45:G45,{2,3}))</f>
        <v>80</v>
      </c>
      <c r="I45" s="229" t="str" cm="1">
        <f t="array" ref="I45">_xlfn.IFS(H45&lt;60,"F",H45&lt;70,"D",H45&lt;80,"C",H45&lt;90,"B",H45&gt;=90,"A")</f>
        <v>B</v>
      </c>
      <c r="N45" s="363"/>
      <c r="O45" s="364"/>
      <c r="P45" s="364"/>
      <c r="Q45" s="364"/>
      <c r="R45" s="365"/>
    </row>
    <row r="46" spans="1:23" ht="16" thickBot="1" x14ac:dyDescent="0.4">
      <c r="A46" s="233" t="s">
        <v>148</v>
      </c>
      <c r="B46" s="234" t="s">
        <v>1879</v>
      </c>
      <c r="C46" s="227" t="str">
        <f t="shared" si="1"/>
        <v>AMIN</v>
      </c>
      <c r="D46" s="235">
        <v>89</v>
      </c>
      <c r="E46" s="235">
        <v>73</v>
      </c>
      <c r="F46" s="235">
        <v>48</v>
      </c>
      <c r="G46" s="235">
        <v>86</v>
      </c>
      <c r="H46" s="227" cm="1">
        <f t="array" ref="H46">AVERAGE(MIN(MAX(D46:G46)+10,105),MIN(D46:G46)+12,SMALL(D46:G46,{2,3}))</f>
        <v>79.5</v>
      </c>
      <c r="I46" s="229" t="str" cm="1">
        <f t="array" ref="I46">_xlfn.IFS(H46&lt;60,"F",H46&lt;70,"D",H46&lt;80,"C",H46&lt;90,"B",H46&gt;=90,"A")</f>
        <v>C</v>
      </c>
      <c r="N46" s="369" t="s">
        <v>1880</v>
      </c>
      <c r="O46" s="370">
        <f>AVERAGEIF(C2:C96,"?B??",H2:H96)</f>
        <v>65.75</v>
      </c>
      <c r="P46" s="370"/>
      <c r="Q46" s="370"/>
      <c r="R46" s="371"/>
    </row>
    <row r="47" spans="1:23" x14ac:dyDescent="0.35">
      <c r="A47" s="234" t="s">
        <v>31</v>
      </c>
      <c r="B47" s="234" t="s">
        <v>477</v>
      </c>
      <c r="C47" s="227" t="str">
        <f t="shared" si="1"/>
        <v>ALWE</v>
      </c>
      <c r="D47" s="235">
        <v>94</v>
      </c>
      <c r="E47" s="235">
        <v>89</v>
      </c>
      <c r="F47" s="235">
        <v>44</v>
      </c>
      <c r="G47" s="235">
        <v>72</v>
      </c>
      <c r="H47" s="227" cm="1">
        <f t="array" ref="H47">AVERAGE(MIN(MAX(D47:G47)+10,105),MIN(D47:G47)+12,SMALL(D47:G47,{2,3}))</f>
        <v>80.25</v>
      </c>
      <c r="I47" s="229" t="str" cm="1">
        <f t="array" ref="I47">_xlfn.IFS(H47&lt;60,"F",H47&lt;70,"D",H47&lt;80,"C",H47&lt;90,"B",H47&gt;=90,"A")</f>
        <v>B</v>
      </c>
    </row>
    <row r="48" spans="1:23" x14ac:dyDescent="0.35">
      <c r="A48" s="233" t="s">
        <v>134</v>
      </c>
      <c r="B48" s="234" t="s">
        <v>1881</v>
      </c>
      <c r="C48" s="227" t="str">
        <f t="shared" si="1"/>
        <v>NGIN</v>
      </c>
      <c r="D48" s="235">
        <v>60</v>
      </c>
      <c r="E48" s="235">
        <v>80</v>
      </c>
      <c r="F48" s="235">
        <v>89</v>
      </c>
      <c r="G48" s="235">
        <v>66</v>
      </c>
      <c r="H48" s="227" cm="1">
        <f t="array" ref="H48">AVERAGE(MIN(MAX(D48:G48)+10,105),MIN(D48:G48)+12,SMALL(D48:G48,{2,3}))</f>
        <v>79.25</v>
      </c>
      <c r="I48" s="229" t="str" cm="1">
        <f t="array" ref="I48">_xlfn.IFS(H48&lt;60,"F",H48&lt;70,"D",H48&lt;80,"C",H48&lt;90,"B",H48&gt;=90,"A")</f>
        <v>C</v>
      </c>
    </row>
    <row r="49" spans="1:9" x14ac:dyDescent="0.35">
      <c r="A49" s="233" t="s">
        <v>122</v>
      </c>
      <c r="B49" s="234" t="s">
        <v>1882</v>
      </c>
      <c r="C49" s="227" t="str">
        <f t="shared" si="1"/>
        <v>DDIA</v>
      </c>
      <c r="D49" s="235">
        <v>81</v>
      </c>
      <c r="E49" s="235">
        <v>87</v>
      </c>
      <c r="F49" s="235">
        <v>64</v>
      </c>
      <c r="G49" s="235">
        <v>63</v>
      </c>
      <c r="H49" s="227" cm="1">
        <f t="array" ref="H49">AVERAGE(MIN(MAX(D49:G49)+10,105),MIN(D49:G49)+12,SMALL(D49:G49,{2,3}))</f>
        <v>79.25</v>
      </c>
      <c r="I49" s="229" t="str" cm="1">
        <f t="array" ref="I49">_xlfn.IFS(H49&lt;60,"F",H49&lt;70,"D",H49&lt;80,"C",H49&lt;90,"B",H49&gt;=90,"A")</f>
        <v>C</v>
      </c>
    </row>
    <row r="50" spans="1:9" x14ac:dyDescent="0.35">
      <c r="A50" s="233" t="s">
        <v>75</v>
      </c>
      <c r="B50" s="234" t="s">
        <v>1843</v>
      </c>
      <c r="C50" s="227" t="str">
        <f t="shared" si="1"/>
        <v>MOGH</v>
      </c>
      <c r="D50" s="235">
        <v>87</v>
      </c>
      <c r="E50" s="235">
        <v>79</v>
      </c>
      <c r="F50" s="235">
        <v>56</v>
      </c>
      <c r="G50" s="235">
        <v>73</v>
      </c>
      <c r="H50" s="227" cm="1">
        <f t="array" ref="H50">AVERAGE(MIN(MAX(D50:G50)+10,105),MIN(D50:G50)+12,SMALL(D50:G50,{2,3}))</f>
        <v>79.25</v>
      </c>
      <c r="I50" s="229" t="str" cm="1">
        <f t="array" ref="I50">_xlfn.IFS(H50&lt;60,"F",H50&lt;70,"D",H50&lt;80,"C",H50&lt;90,"B",H50&gt;=90,"A")</f>
        <v>C</v>
      </c>
    </row>
    <row r="51" spans="1:9" x14ac:dyDescent="0.35">
      <c r="A51" s="233" t="s">
        <v>265</v>
      </c>
      <c r="B51" s="234" t="s">
        <v>266</v>
      </c>
      <c r="C51" s="227" t="str">
        <f t="shared" si="1"/>
        <v>ILAI</v>
      </c>
      <c r="D51" s="235">
        <v>83</v>
      </c>
      <c r="E51" s="235">
        <v>70</v>
      </c>
      <c r="F51" s="235">
        <v>64</v>
      </c>
      <c r="G51" s="235">
        <v>77</v>
      </c>
      <c r="H51" s="227" cm="1">
        <f t="array" ref="H51">AVERAGE(MIN(MAX(D51:G51)+10,105),MIN(D51:G51)+12,SMALL(D51:G51,{2,3}))</f>
        <v>79</v>
      </c>
      <c r="I51" s="229" t="str" cm="1">
        <f t="array" ref="I51">_xlfn.IFS(H51&lt;60,"F",H51&lt;70,"D",H51&lt;80,"C",H51&lt;90,"B",H51&gt;=90,"A")</f>
        <v>C</v>
      </c>
    </row>
    <row r="52" spans="1:9" x14ac:dyDescent="0.35">
      <c r="A52" s="234" t="s">
        <v>283</v>
      </c>
      <c r="B52" s="234" t="s">
        <v>1883</v>
      </c>
      <c r="C52" s="227" t="str">
        <f t="shared" si="1"/>
        <v>AKSM</v>
      </c>
      <c r="D52" s="235">
        <v>85</v>
      </c>
      <c r="E52" s="235">
        <v>69</v>
      </c>
      <c r="F52" s="235">
        <v>56</v>
      </c>
      <c r="G52" s="235">
        <v>83</v>
      </c>
      <c r="H52" s="227" cm="1">
        <f t="array" ref="H52">AVERAGE(MIN(MAX(D52:G52)+10,105),MIN(D52:G52)+12,SMALL(D52:G52,{2,3}))</f>
        <v>78.75</v>
      </c>
      <c r="I52" s="229" t="str" cm="1">
        <f t="array" ref="I52">_xlfn.IFS(H52&lt;60,"F",H52&lt;70,"D",H52&lt;80,"C",H52&lt;90,"B",H52&gt;=90,"A")</f>
        <v>C</v>
      </c>
    </row>
    <row r="53" spans="1:9" x14ac:dyDescent="0.35">
      <c r="A53" s="233" t="s">
        <v>153</v>
      </c>
      <c r="B53" s="234" t="s">
        <v>1884</v>
      </c>
      <c r="C53" s="227" t="str">
        <f t="shared" si="1"/>
        <v>REEY</v>
      </c>
      <c r="D53" s="235">
        <v>70</v>
      </c>
      <c r="E53" s="235">
        <v>63</v>
      </c>
      <c r="F53" s="235">
        <v>96</v>
      </c>
      <c r="G53" s="235">
        <v>68</v>
      </c>
      <c r="H53" s="227" cm="1">
        <f t="array" ref="H53">AVERAGE(MIN(MAX(D53:G53)+10,105),MIN(D53:G53)+12,SMALL(D53:G53,{2,3}))</f>
        <v>79.5</v>
      </c>
      <c r="I53" s="229" t="str" cm="1">
        <f t="array" ref="I53">_xlfn.IFS(H53&lt;60,"F",H53&lt;70,"D",H53&lt;80,"C",H53&lt;90,"B",H53&gt;=90,"A")</f>
        <v>C</v>
      </c>
    </row>
    <row r="54" spans="1:9" x14ac:dyDescent="0.35">
      <c r="A54" s="234" t="s">
        <v>286</v>
      </c>
      <c r="B54" s="234" t="s">
        <v>1885</v>
      </c>
      <c r="C54" s="227" t="str">
        <f t="shared" si="1"/>
        <v>USEK</v>
      </c>
      <c r="D54" s="235">
        <v>88</v>
      </c>
      <c r="E54" s="235">
        <v>74</v>
      </c>
      <c r="F54" s="235">
        <v>45</v>
      </c>
      <c r="G54" s="235">
        <v>86</v>
      </c>
      <c r="H54" s="227" cm="1">
        <f t="array" ref="H54">AVERAGE(MIN(MAX(D54:G54)+10,105),MIN(D54:G54)+12,SMALL(D54:G54,{2,3}))</f>
        <v>78.75</v>
      </c>
      <c r="I54" s="229" t="str" cm="1">
        <f t="array" ref="I54">_xlfn.IFS(H54&lt;60,"F",H54&lt;70,"D",H54&lt;80,"C",H54&lt;90,"B",H54&gt;=90,"A")</f>
        <v>C</v>
      </c>
    </row>
    <row r="55" spans="1:9" x14ac:dyDescent="0.35">
      <c r="A55" s="233" t="s">
        <v>247</v>
      </c>
      <c r="B55" s="234" t="s">
        <v>1886</v>
      </c>
      <c r="C55" s="227" t="str">
        <f t="shared" si="1"/>
        <v>ADRA</v>
      </c>
      <c r="D55" s="235">
        <v>74</v>
      </c>
      <c r="E55" s="235">
        <v>74</v>
      </c>
      <c r="F55" s="235">
        <v>71</v>
      </c>
      <c r="G55" s="235">
        <v>73</v>
      </c>
      <c r="H55" s="227" cm="1">
        <f t="array" ref="H55">AVERAGE(MIN(MAX(D55:G55)+10,105),MIN(D55:G55)+12,SMALL(D55:G55,{2,3}))</f>
        <v>78.5</v>
      </c>
      <c r="I55" s="229" t="str" cm="1">
        <f t="array" ref="I55">_xlfn.IFS(H55&lt;60,"F",H55&lt;70,"D",H55&lt;80,"C",H55&lt;90,"B",H55&gt;=90,"A")</f>
        <v>C</v>
      </c>
    </row>
    <row r="56" spans="1:9" x14ac:dyDescent="0.35">
      <c r="A56" s="233" t="s">
        <v>42</v>
      </c>
      <c r="B56" s="234" t="s">
        <v>1887</v>
      </c>
      <c r="C56" s="227" t="str">
        <f t="shared" si="1"/>
        <v>HAAN</v>
      </c>
      <c r="D56" s="235">
        <v>96</v>
      </c>
      <c r="E56" s="235">
        <v>82</v>
      </c>
      <c r="F56" s="235">
        <v>40</v>
      </c>
      <c r="G56" s="235">
        <v>78</v>
      </c>
      <c r="H56" s="227" cm="1">
        <f t="array" ref="H56">AVERAGE(MIN(MAX(D56:G56)+10,105),MIN(D56:G56)+12,SMALL(D56:G56,{2,3}))</f>
        <v>79.25</v>
      </c>
      <c r="I56" s="229" t="str" cm="1">
        <f t="array" ref="I56">_xlfn.IFS(H56&lt;60,"F",H56&lt;70,"D",H56&lt;80,"C",H56&lt;90,"B",H56&gt;=90,"A")</f>
        <v>C</v>
      </c>
    </row>
    <row r="57" spans="1:9" x14ac:dyDescent="0.35">
      <c r="A57" s="234" t="s">
        <v>274</v>
      </c>
      <c r="B57" s="234" t="s">
        <v>1888</v>
      </c>
      <c r="C57" s="227" t="str">
        <f t="shared" si="1"/>
        <v>ANSE</v>
      </c>
      <c r="D57" s="235">
        <v>84</v>
      </c>
      <c r="E57" s="235">
        <v>81</v>
      </c>
      <c r="F57" s="235">
        <v>45</v>
      </c>
      <c r="G57" s="235">
        <v>81</v>
      </c>
      <c r="H57" s="227" cm="1">
        <f t="array" ref="H57">AVERAGE(MIN(MAX(D57:G57)+10,105),MIN(D57:G57)+12,SMALL(D57:G57,{2,3}))</f>
        <v>78.25</v>
      </c>
      <c r="I57" s="229" t="str" cm="1">
        <f t="array" ref="I57">_xlfn.IFS(H57&lt;60,"F",H57&lt;70,"D",H57&lt;80,"C",H57&lt;90,"B",H57&gt;=90,"A")</f>
        <v>C</v>
      </c>
    </row>
    <row r="58" spans="1:9" x14ac:dyDescent="0.35">
      <c r="A58" s="234" t="s">
        <v>61</v>
      </c>
      <c r="B58" s="234" t="s">
        <v>62</v>
      </c>
      <c r="C58" s="227" t="str">
        <f t="shared" si="1"/>
        <v>DIAN</v>
      </c>
      <c r="D58" s="235">
        <v>89</v>
      </c>
      <c r="E58" s="235">
        <v>68</v>
      </c>
      <c r="F58" s="235">
        <v>45</v>
      </c>
      <c r="G58" s="235">
        <v>88</v>
      </c>
      <c r="H58" s="227" cm="1">
        <f t="array" ref="H58">AVERAGE(MIN(MAX(D58:G58)+10,105),MIN(D58:G58)+12,SMALL(D58:G58,{2,3}))</f>
        <v>78</v>
      </c>
      <c r="I58" s="229" t="str" cm="1">
        <f t="array" ref="I58">_xlfn.IFS(H58&lt;60,"F",H58&lt;70,"D",H58&lt;80,"C",H58&lt;90,"B",H58&gt;=90,"A")</f>
        <v>C</v>
      </c>
    </row>
    <row r="59" spans="1:9" x14ac:dyDescent="0.35">
      <c r="A59" s="234" t="s">
        <v>101</v>
      </c>
      <c r="B59" s="234" t="s">
        <v>1889</v>
      </c>
      <c r="C59" s="227" t="str">
        <f t="shared" si="1"/>
        <v>STHU</v>
      </c>
      <c r="D59" s="235">
        <v>87</v>
      </c>
      <c r="E59" s="235">
        <v>85</v>
      </c>
      <c r="F59" s="235">
        <v>45</v>
      </c>
      <c r="G59" s="235">
        <v>72</v>
      </c>
      <c r="H59" s="227" cm="1">
        <f t="array" ref="H59">AVERAGE(MIN(MAX(D59:G59)+10,105),MIN(D59:G59)+12,SMALL(D59:G59,{2,3}))</f>
        <v>77.75</v>
      </c>
      <c r="I59" s="229" t="str" cm="1">
        <f t="array" ref="I59">_xlfn.IFS(H59&lt;60,"F",H59&lt;70,"D",H59&lt;80,"C",H59&lt;90,"B",H59&gt;=90,"A")</f>
        <v>C</v>
      </c>
    </row>
    <row r="60" spans="1:9" x14ac:dyDescent="0.35">
      <c r="A60" s="233" t="s">
        <v>1890</v>
      </c>
      <c r="B60" s="234" t="s">
        <v>1891</v>
      </c>
      <c r="C60" s="227" t="str">
        <f t="shared" si="1"/>
        <v>ODGA</v>
      </c>
      <c r="D60" s="235">
        <v>96</v>
      </c>
      <c r="E60" s="235">
        <v>95</v>
      </c>
      <c r="F60" s="235">
        <v>67</v>
      </c>
      <c r="G60" s="235">
        <v>35</v>
      </c>
      <c r="H60" s="227" cm="1">
        <f t="array" ref="H60">AVERAGE(MIN(MAX(D60:G60)+10,105),MIN(D60:G60)+12,SMALL(D60:G60,{2,3}))</f>
        <v>78.5</v>
      </c>
      <c r="I60" s="229" t="str" cm="1">
        <f t="array" ref="I60">_xlfn.IFS(H60&lt;60,"F",H60&lt;70,"D",H60&lt;80,"C",H60&lt;90,"B",H60&gt;=90,"A")</f>
        <v>C</v>
      </c>
    </row>
    <row r="61" spans="1:9" x14ac:dyDescent="0.35">
      <c r="A61" s="233" t="s">
        <v>203</v>
      </c>
      <c r="B61" s="234" t="s">
        <v>1892</v>
      </c>
      <c r="C61" s="227" t="str">
        <f t="shared" si="1"/>
        <v>AITE</v>
      </c>
      <c r="D61" s="235">
        <v>64</v>
      </c>
      <c r="E61" s="235">
        <v>83</v>
      </c>
      <c r="F61" s="235">
        <v>67</v>
      </c>
      <c r="G61" s="235">
        <v>70</v>
      </c>
      <c r="H61" s="227" cm="1">
        <f t="array" ref="H61">AVERAGE(MIN(MAX(D61:G61)+10,105),MIN(D61:G61)+12,SMALL(D61:G61,{2,3}))</f>
        <v>76.5</v>
      </c>
      <c r="I61" s="229" t="str" cm="1">
        <f t="array" ref="I61">_xlfn.IFS(H61&lt;60,"F",H61&lt;70,"D",H61&lt;80,"C",H61&lt;90,"B",H61&gt;=90,"A")</f>
        <v>C</v>
      </c>
    </row>
    <row r="62" spans="1:9" x14ac:dyDescent="0.35">
      <c r="A62" s="233" t="s">
        <v>107</v>
      </c>
      <c r="B62" s="234" t="s">
        <v>1893</v>
      </c>
      <c r="C62" s="227" t="str">
        <f t="shared" si="1"/>
        <v>YANG</v>
      </c>
      <c r="D62" s="235">
        <v>90</v>
      </c>
      <c r="E62" s="235">
        <v>86</v>
      </c>
      <c r="F62" s="235">
        <v>41</v>
      </c>
      <c r="G62" s="235">
        <v>66</v>
      </c>
      <c r="H62" s="227" cm="1">
        <f t="array" ref="H62">AVERAGE(MIN(MAX(D62:G62)+10,105),MIN(D62:G62)+12,SMALL(D62:G62,{2,3}))</f>
        <v>76.25</v>
      </c>
      <c r="I62" s="229" t="str" cm="1">
        <f t="array" ref="I62">_xlfn.IFS(H62&lt;60,"F",H62&lt;70,"D",H62&lt;80,"C",H62&lt;90,"B",H62&gt;=90,"A")</f>
        <v>C</v>
      </c>
    </row>
    <row r="63" spans="1:9" x14ac:dyDescent="0.35">
      <c r="A63" s="233" t="s">
        <v>125</v>
      </c>
      <c r="B63" s="234" t="s">
        <v>1894</v>
      </c>
      <c r="C63" s="227" t="str">
        <f t="shared" si="1"/>
        <v>USES</v>
      </c>
      <c r="D63" s="235">
        <v>79</v>
      </c>
      <c r="E63" s="235">
        <v>92</v>
      </c>
      <c r="F63" s="235">
        <v>40</v>
      </c>
      <c r="G63" s="235">
        <v>72</v>
      </c>
      <c r="H63" s="227" cm="1">
        <f t="array" ref="H63">AVERAGE(MIN(MAX(D63:G63)+10,105),MIN(D63:G63)+12,SMALL(D63:G63,{2,3}))</f>
        <v>76.25</v>
      </c>
      <c r="I63" s="229" t="str" cm="1">
        <f t="array" ref="I63">_xlfn.IFS(H63&lt;60,"F",H63&lt;70,"D",H63&lt;80,"C",H63&lt;90,"B",H63&gt;=90,"A")</f>
        <v>C</v>
      </c>
    </row>
    <row r="64" spans="1:9" x14ac:dyDescent="0.35">
      <c r="A64" s="234" t="s">
        <v>65</v>
      </c>
      <c r="B64" s="234" t="s">
        <v>1895</v>
      </c>
      <c r="C64" s="227" t="str">
        <f t="shared" si="1"/>
        <v>AIAN</v>
      </c>
      <c r="D64" s="235">
        <v>95</v>
      </c>
      <c r="E64" s="235">
        <v>73</v>
      </c>
      <c r="F64" s="235">
        <v>51</v>
      </c>
      <c r="G64" s="235">
        <v>66</v>
      </c>
      <c r="H64" s="227" cm="1">
        <f t="array" ref="H64">AVERAGE(MIN(MAX(D64:G64)+10,105),MIN(D64:G64)+12,SMALL(D64:G64,{2,3}))</f>
        <v>76.75</v>
      </c>
      <c r="I64" s="229" t="str" cm="1">
        <f t="array" ref="I64">_xlfn.IFS(H64&lt;60,"F",H64&lt;70,"D",H64&lt;80,"C",H64&lt;90,"B",H64&gt;=90,"A")</f>
        <v>C</v>
      </c>
    </row>
    <row r="65" spans="1:9" x14ac:dyDescent="0.35">
      <c r="A65" s="233" t="s">
        <v>88</v>
      </c>
      <c r="B65" s="234" t="s">
        <v>1896</v>
      </c>
      <c r="C65" s="227" t="str">
        <f t="shared" si="1"/>
        <v>USNE</v>
      </c>
      <c r="D65" s="235">
        <v>89</v>
      </c>
      <c r="E65" s="235">
        <v>80</v>
      </c>
      <c r="F65" s="235">
        <v>49</v>
      </c>
      <c r="G65" s="235">
        <v>62</v>
      </c>
      <c r="H65" s="227" cm="1">
        <f t="array" ref="H65">AVERAGE(MIN(MAX(D65:G65)+10,105),MIN(D65:G65)+12,SMALL(D65:G65,{2,3}))</f>
        <v>75.5</v>
      </c>
      <c r="I65" s="229" t="str" cm="1">
        <f t="array" ref="I65">_xlfn.IFS(H65&lt;60,"F",H65&lt;70,"D",H65&lt;80,"C",H65&lt;90,"B",H65&gt;=90,"A")</f>
        <v>C</v>
      </c>
    </row>
    <row r="66" spans="1:9" x14ac:dyDescent="0.35">
      <c r="A66" s="233" t="s">
        <v>165</v>
      </c>
      <c r="B66" s="234" t="s">
        <v>1897</v>
      </c>
      <c r="C66" s="227" t="str">
        <f t="shared" si="1"/>
        <v>ARLE</v>
      </c>
      <c r="D66" s="235">
        <v>60</v>
      </c>
      <c r="E66" s="235">
        <v>64</v>
      </c>
      <c r="F66" s="235">
        <v>88</v>
      </c>
      <c r="G66" s="235">
        <v>67</v>
      </c>
      <c r="H66" s="227" cm="1">
        <f t="array" ref="H66">AVERAGE(MIN(MAX(D66:G66)+10,105),MIN(D66:G66)+12,SMALL(D66:G66,{2,3}))</f>
        <v>75.25</v>
      </c>
      <c r="I66" s="229" t="str" cm="1">
        <f t="array" ref="I66">_xlfn.IFS(H66&lt;60,"F",H66&lt;70,"D",H66&lt;80,"C",H66&lt;90,"B",H66&gt;=90,"A")</f>
        <v>C</v>
      </c>
    </row>
    <row r="67" spans="1:9" x14ac:dyDescent="0.35">
      <c r="A67" s="233" t="s">
        <v>233</v>
      </c>
      <c r="B67" s="234" t="s">
        <v>1898</v>
      </c>
      <c r="C67" s="227" t="str">
        <f t="shared" si="1"/>
        <v>EBER</v>
      </c>
      <c r="D67" s="235">
        <v>59</v>
      </c>
      <c r="E67" s="235">
        <v>83</v>
      </c>
      <c r="F67" s="235">
        <v>68</v>
      </c>
      <c r="G67" s="235">
        <v>69</v>
      </c>
      <c r="H67" s="227" cm="1">
        <f t="array" ref="H67">AVERAGE(MIN(MAX(D67:G67)+10,105),MIN(D67:G67)+12,SMALL(D67:G67,{2,3}))</f>
        <v>75.25</v>
      </c>
      <c r="I67" s="229" t="str" cm="1">
        <f t="array" ref="I67">_xlfn.IFS(H67&lt;60,"F",H67&lt;70,"D",H67&lt;80,"C",H67&lt;90,"B",H67&gt;=90,"A")</f>
        <v>C</v>
      </c>
    </row>
    <row r="68" spans="1:9" x14ac:dyDescent="0.35">
      <c r="A68" s="234" t="s">
        <v>131</v>
      </c>
      <c r="B68" s="234" t="s">
        <v>1899</v>
      </c>
      <c r="C68" s="227" t="str">
        <f t="shared" si="1"/>
        <v>ASEL</v>
      </c>
      <c r="D68" s="235">
        <v>74</v>
      </c>
      <c r="E68" s="235">
        <v>65</v>
      </c>
      <c r="F68" s="235">
        <v>65</v>
      </c>
      <c r="G68" s="235">
        <v>75</v>
      </c>
      <c r="H68" s="227" cm="1">
        <f t="array" ref="H68">AVERAGE(MIN(MAX(D68:G68)+10,105),MIN(D68:G68)+12,SMALL(D68:G68,{2,3}))</f>
        <v>75.25</v>
      </c>
      <c r="I68" s="229" t="str" cm="1">
        <f t="array" ref="I68">_xlfn.IFS(H68&lt;60,"F",H68&lt;70,"D",H68&lt;80,"C",H68&lt;90,"B",H68&gt;=90,"A")</f>
        <v>C</v>
      </c>
    </row>
    <row r="69" spans="1:9" x14ac:dyDescent="0.35">
      <c r="A69" s="233" t="s">
        <v>137</v>
      </c>
      <c r="B69" s="234" t="s">
        <v>1900</v>
      </c>
      <c r="C69" s="227" t="str">
        <f t="shared" ref="C69:C99" si="2">UPPER(TRIM(MID(B69,2,2))&amp;TRIM(RIGHT(A69,2)))</f>
        <v>EKEZ</v>
      </c>
      <c r="D69" s="235">
        <v>76</v>
      </c>
      <c r="E69" s="235">
        <v>88</v>
      </c>
      <c r="F69" s="235">
        <v>64</v>
      </c>
      <c r="G69" s="235">
        <v>48</v>
      </c>
      <c r="H69" s="227" cm="1">
        <f t="array" ref="H69">AVERAGE(MIN(MAX(D69:G69)+10,105),MIN(D69:G69)+12,SMALL(D69:G69,{2,3}))</f>
        <v>74.5</v>
      </c>
      <c r="I69" s="229" t="str" cm="1">
        <f t="array" ref="I69">_xlfn.IFS(H69&lt;60,"F",H69&lt;70,"D",H69&lt;80,"C",H69&lt;90,"B",H69&gt;=90,"A")</f>
        <v>C</v>
      </c>
    </row>
    <row r="70" spans="1:9" x14ac:dyDescent="0.35">
      <c r="A70" s="233" t="s">
        <v>145</v>
      </c>
      <c r="B70" s="234" t="s">
        <v>1901</v>
      </c>
      <c r="C70" s="227" t="str">
        <f t="shared" si="2"/>
        <v>EADS</v>
      </c>
      <c r="D70" s="235">
        <v>69</v>
      </c>
      <c r="E70" s="235">
        <v>79</v>
      </c>
      <c r="F70" s="235">
        <v>65</v>
      </c>
      <c r="G70" s="235">
        <v>62</v>
      </c>
      <c r="H70" s="227" cm="1">
        <f t="array" ref="H70">AVERAGE(MIN(MAX(D70:G70)+10,105),MIN(D70:G70)+12,SMALL(D70:G70,{2,3}))</f>
        <v>74.25</v>
      </c>
      <c r="I70" s="229" t="str" cm="1">
        <f t="array" ref="I70">_xlfn.IFS(H70&lt;60,"F",H70&lt;70,"D",H70&lt;80,"C",H70&lt;90,"B",H70&gt;=90,"A")</f>
        <v>C</v>
      </c>
    </row>
    <row r="71" spans="1:9" x14ac:dyDescent="0.35">
      <c r="A71" s="233" t="s">
        <v>238</v>
      </c>
      <c r="B71" s="234" t="s">
        <v>1902</v>
      </c>
      <c r="C71" s="227" t="str">
        <f t="shared" si="2"/>
        <v>REDE</v>
      </c>
      <c r="D71" s="235">
        <v>68</v>
      </c>
      <c r="E71" s="235">
        <v>77</v>
      </c>
      <c r="F71" s="235">
        <v>59</v>
      </c>
      <c r="G71" s="235">
        <v>70</v>
      </c>
      <c r="H71" s="227" cm="1">
        <f t="array" ref="H71">AVERAGE(MIN(MAX(D71:G71)+10,105),MIN(D71:G71)+12,SMALL(D71:G71,{2,3}))</f>
        <v>74</v>
      </c>
      <c r="I71" s="229" t="str" cm="1">
        <f t="array" ref="I71">_xlfn.IFS(H71&lt;60,"F",H71&lt;70,"D",H71&lt;80,"C",H71&lt;90,"B",H71&gt;=90,"A")</f>
        <v>C</v>
      </c>
    </row>
    <row r="72" spans="1:9" x14ac:dyDescent="0.35">
      <c r="A72" s="234" t="s">
        <v>162</v>
      </c>
      <c r="B72" s="234" t="s">
        <v>1903</v>
      </c>
      <c r="C72" s="227" t="str">
        <f t="shared" si="2"/>
        <v>HOER</v>
      </c>
      <c r="D72" s="235">
        <v>70</v>
      </c>
      <c r="E72" s="235">
        <v>53</v>
      </c>
      <c r="F72" s="235">
        <v>87</v>
      </c>
      <c r="G72" s="235">
        <v>61</v>
      </c>
      <c r="H72" s="227" cm="1">
        <f t="array" ref="H72">AVERAGE(MIN(MAX(D72:G72)+10,105),MIN(D72:G72)+12,SMALL(D72:G72,{2,3}))</f>
        <v>73.25</v>
      </c>
      <c r="I72" s="229" t="str" cm="1">
        <f t="array" ref="I72">_xlfn.IFS(H72&lt;60,"F",H72&lt;70,"D",H72&lt;80,"C",H72&lt;90,"B",H72&gt;=90,"A")</f>
        <v>C</v>
      </c>
    </row>
    <row r="73" spans="1:9" x14ac:dyDescent="0.35">
      <c r="A73" s="233" t="s">
        <v>110</v>
      </c>
      <c r="B73" s="234" t="s">
        <v>1904</v>
      </c>
      <c r="C73" s="227" t="str">
        <f t="shared" si="2"/>
        <v>AROW</v>
      </c>
      <c r="D73" s="235">
        <v>86</v>
      </c>
      <c r="E73" s="235">
        <v>86</v>
      </c>
      <c r="F73" s="235">
        <v>45</v>
      </c>
      <c r="G73" s="235">
        <v>54</v>
      </c>
      <c r="H73" s="227" cm="1">
        <f t="array" ref="H73">AVERAGE(MIN(MAX(D73:G73)+10,105),MIN(D73:G73)+12,SMALL(D73:G73,{2,3}))</f>
        <v>73.25</v>
      </c>
      <c r="I73" s="229" t="str" cm="1">
        <f t="array" ref="I73">_xlfn.IFS(H73&lt;60,"F",H73&lt;70,"D",H73&lt;80,"C",H73&lt;90,"B",H73&gt;=90,"A")</f>
        <v>C</v>
      </c>
    </row>
    <row r="74" spans="1:9" x14ac:dyDescent="0.35">
      <c r="A74" s="233" t="s">
        <v>241</v>
      </c>
      <c r="B74" s="234" t="s">
        <v>242</v>
      </c>
      <c r="C74" s="227" t="str">
        <f t="shared" si="2"/>
        <v>HMAO</v>
      </c>
      <c r="D74" s="235">
        <v>72</v>
      </c>
      <c r="E74" s="235">
        <v>84</v>
      </c>
      <c r="F74" s="235">
        <v>42</v>
      </c>
      <c r="G74" s="235">
        <v>70</v>
      </c>
      <c r="H74" s="227" cm="1">
        <f t="array" ref="H74">AVERAGE(MIN(MAX(D74:G74)+10,105),MIN(D74:G74)+12,SMALL(D74:G74,{2,3}))</f>
        <v>72.5</v>
      </c>
      <c r="I74" s="229" t="str" cm="1">
        <f t="array" ref="I74">_xlfn.IFS(H74&lt;60,"F",H74&lt;70,"D",H74&lt;80,"C",H74&lt;90,"B",H74&gt;=90,"A")</f>
        <v>C</v>
      </c>
    </row>
    <row r="75" spans="1:9" x14ac:dyDescent="0.35">
      <c r="A75" s="233" t="s">
        <v>159</v>
      </c>
      <c r="B75" s="234" t="s">
        <v>1905</v>
      </c>
      <c r="C75" s="227" t="str">
        <f t="shared" si="2"/>
        <v>EMON</v>
      </c>
      <c r="D75" s="235">
        <v>64</v>
      </c>
      <c r="E75" s="235">
        <v>69</v>
      </c>
      <c r="F75" s="235">
        <v>62</v>
      </c>
      <c r="G75" s="235">
        <v>73</v>
      </c>
      <c r="H75" s="227" cm="1">
        <f t="array" ref="H75">AVERAGE(MIN(MAX(D75:G75)+10,105),MIN(D75:G75)+12,SMALL(D75:G75,{2,3}))</f>
        <v>72.5</v>
      </c>
      <c r="I75" s="229" t="str" cm="1">
        <f t="array" ref="I75">_xlfn.IFS(H75&lt;60,"F",H75&lt;70,"D",H75&lt;80,"C",H75&lt;90,"B",H75&gt;=90,"A")</f>
        <v>C</v>
      </c>
    </row>
    <row r="76" spans="1:9" x14ac:dyDescent="0.35">
      <c r="A76" s="233" t="s">
        <v>128</v>
      </c>
      <c r="B76" s="234" t="s">
        <v>1906</v>
      </c>
      <c r="C76" s="227" t="str">
        <f t="shared" si="2"/>
        <v>RAYD</v>
      </c>
      <c r="D76" s="235">
        <v>76</v>
      </c>
      <c r="E76" s="235">
        <v>75</v>
      </c>
      <c r="F76" s="235">
        <v>51</v>
      </c>
      <c r="G76" s="235">
        <v>64</v>
      </c>
      <c r="H76" s="227" cm="1">
        <f t="array" ref="H76">AVERAGE(MIN(MAX(D76:G76)+10,105),MIN(D76:G76)+12,SMALL(D76:G76,{2,3}))</f>
        <v>72</v>
      </c>
      <c r="I76" s="229" t="str" cm="1">
        <f t="array" ref="I76">_xlfn.IFS(H76&lt;60,"F",H76&lt;70,"D",H76&lt;80,"C",H76&lt;90,"B",H76&gt;=90,"A")</f>
        <v>C</v>
      </c>
    </row>
    <row r="77" spans="1:9" x14ac:dyDescent="0.35">
      <c r="A77" s="233" t="s">
        <v>113</v>
      </c>
      <c r="B77" s="234" t="s">
        <v>1907</v>
      </c>
      <c r="C77" s="227" t="str">
        <f t="shared" si="2"/>
        <v>ANON</v>
      </c>
      <c r="D77" s="235">
        <v>76</v>
      </c>
      <c r="E77" s="235">
        <v>86</v>
      </c>
      <c r="F77" s="235">
        <v>46</v>
      </c>
      <c r="G77" s="235">
        <v>56</v>
      </c>
      <c r="H77" s="227" cm="1">
        <f t="array" ref="H77">AVERAGE(MIN(MAX(D77:G77)+10,105),MIN(D77:G77)+12,SMALL(D77:G77,{2,3}))</f>
        <v>71.5</v>
      </c>
      <c r="I77" s="229" t="str" cm="1">
        <f t="array" ref="I77">_xlfn.IFS(H77&lt;60,"F",H77&lt;70,"D",H77&lt;80,"C",H77&lt;90,"B",H77&gt;=90,"A")</f>
        <v>C</v>
      </c>
    </row>
    <row r="78" spans="1:9" x14ac:dyDescent="0.35">
      <c r="A78" s="233" t="s">
        <v>180</v>
      </c>
      <c r="B78" s="234" t="s">
        <v>1889</v>
      </c>
      <c r="C78" s="227" t="str">
        <f t="shared" si="2"/>
        <v>STER</v>
      </c>
      <c r="D78" s="235">
        <v>64</v>
      </c>
      <c r="E78" s="235">
        <v>57</v>
      </c>
      <c r="F78" s="235">
        <v>99</v>
      </c>
      <c r="G78" s="235">
        <v>47</v>
      </c>
      <c r="H78" s="227" cm="1">
        <f t="array" ref="H78">AVERAGE(MIN(MAX(D78:G78)+10,105),MIN(D78:G78)+12,SMALL(D78:G78,{2,3}))</f>
        <v>71.25</v>
      </c>
      <c r="I78" s="229" t="str" cm="1">
        <f t="array" ref="I78">_xlfn.IFS(H78&lt;60,"F",H78&lt;70,"D",H78&lt;80,"C",H78&lt;90,"B",H78&gt;=90,"A")</f>
        <v>C</v>
      </c>
    </row>
    <row r="79" spans="1:9" x14ac:dyDescent="0.35">
      <c r="A79" s="234" t="s">
        <v>150</v>
      </c>
      <c r="B79" s="234" t="s">
        <v>1908</v>
      </c>
      <c r="C79" s="227" t="str">
        <f t="shared" si="2"/>
        <v>ASCO</v>
      </c>
      <c r="D79" s="235">
        <v>70</v>
      </c>
      <c r="E79" s="235">
        <v>72</v>
      </c>
      <c r="F79" s="235">
        <v>66</v>
      </c>
      <c r="G79" s="235">
        <v>50</v>
      </c>
      <c r="H79" s="227" cm="1">
        <f t="array" ref="H79">AVERAGE(MIN(MAX(D79:G79)+10,105),MIN(D79:G79)+12,SMALL(D79:G79,{2,3}))</f>
        <v>70</v>
      </c>
      <c r="I79" s="229" t="str" cm="1">
        <f t="array" ref="I79">_xlfn.IFS(H79&lt;60,"F",H79&lt;70,"D",H79&lt;80,"C",H79&lt;90,"B",H79&gt;=90,"A")</f>
        <v>C</v>
      </c>
    </row>
    <row r="80" spans="1:9" x14ac:dyDescent="0.35">
      <c r="A80" s="233" t="s">
        <v>188</v>
      </c>
      <c r="B80" s="234" t="s">
        <v>1909</v>
      </c>
      <c r="C80" s="227" t="str">
        <f t="shared" si="2"/>
        <v>YKEN</v>
      </c>
      <c r="D80" s="235">
        <v>56</v>
      </c>
      <c r="E80" s="235">
        <v>47</v>
      </c>
      <c r="F80" s="235">
        <v>90</v>
      </c>
      <c r="G80" s="235">
        <v>45</v>
      </c>
      <c r="H80" s="227" cm="1">
        <f t="array" ref="H80">AVERAGE(MIN(MAX(D80:G80)+10,105),MIN(D80:G80)+12,SMALL(D80:G80,{2,3}))</f>
        <v>65</v>
      </c>
      <c r="I80" s="229" t="str" cm="1">
        <f t="array" ref="I80">_xlfn.IFS(H80&lt;60,"F",H80&lt;70,"D",H80&lt;80,"C",H80&lt;90,"B",H80&gt;=90,"A")</f>
        <v>D</v>
      </c>
    </row>
    <row r="81" spans="1:9" x14ac:dyDescent="0.35">
      <c r="A81" s="233" t="s">
        <v>230</v>
      </c>
      <c r="B81" s="234" t="s">
        <v>1910</v>
      </c>
      <c r="C81" s="227" t="str">
        <f t="shared" si="2"/>
        <v>BRTE</v>
      </c>
      <c r="D81" s="235">
        <v>26</v>
      </c>
      <c r="E81" s="235">
        <v>87</v>
      </c>
      <c r="F81" s="235">
        <v>56</v>
      </c>
      <c r="G81" s="235">
        <v>69</v>
      </c>
      <c r="H81" s="227" cm="1">
        <f t="array" ref="H81">AVERAGE(MIN(MAX(D81:G81)+10,105),MIN(D81:G81)+12,SMALL(D81:G81,{2,3}))</f>
        <v>65</v>
      </c>
      <c r="I81" s="229" t="str" cm="1">
        <f t="array" ref="I81">_xlfn.IFS(H81&lt;60,"F",H81&lt;70,"D",H81&lt;80,"C",H81&lt;90,"B",H81&gt;=90,"A")</f>
        <v>D</v>
      </c>
    </row>
    <row r="82" spans="1:9" x14ac:dyDescent="0.35">
      <c r="A82" s="233" t="s">
        <v>156</v>
      </c>
      <c r="B82" s="234" t="s">
        <v>1911</v>
      </c>
      <c r="C82" s="227" t="str">
        <f t="shared" si="2"/>
        <v>NDFF</v>
      </c>
      <c r="D82" s="235">
        <v>73</v>
      </c>
      <c r="E82" s="235">
        <v>53</v>
      </c>
      <c r="F82" s="235">
        <v>40</v>
      </c>
      <c r="G82" s="235">
        <v>68</v>
      </c>
      <c r="H82" s="227" cm="1">
        <f t="array" ref="H82">AVERAGE(MIN(MAX(D82:G82)+10,105),MIN(D82:G82)+12,SMALL(D82:G82,{2,3}))</f>
        <v>64</v>
      </c>
      <c r="I82" s="229" t="str" cm="1">
        <f t="array" ref="I82">_xlfn.IFS(H82&lt;60,"F",H82&lt;70,"D",H82&lt;80,"C",H82&lt;90,"B",H82&gt;=90,"A")</f>
        <v>D</v>
      </c>
    </row>
    <row r="83" spans="1:9" x14ac:dyDescent="0.35">
      <c r="A83" s="233" t="s">
        <v>168</v>
      </c>
      <c r="B83" s="234" t="s">
        <v>1912</v>
      </c>
      <c r="C83" s="227" t="str">
        <f t="shared" si="2"/>
        <v>AYNE</v>
      </c>
      <c r="D83" s="235">
        <v>52</v>
      </c>
      <c r="E83" s="235">
        <v>74</v>
      </c>
      <c r="F83" s="235">
        <v>81</v>
      </c>
      <c r="G83" s="235">
        <v>25</v>
      </c>
      <c r="H83" s="227" cm="1">
        <f t="array" ref="H83">AVERAGE(MIN(MAX(D83:G83)+10,105),MIN(D83:G83)+12,SMALL(D83:G83,{2,3}))</f>
        <v>63.5</v>
      </c>
      <c r="I83" s="229" t="str" cm="1">
        <f t="array" ref="I83">_xlfn.IFS(H83&lt;60,"F",H83&lt;70,"D",H83&lt;80,"C",H83&lt;90,"B",H83&gt;=90,"A")</f>
        <v>D</v>
      </c>
    </row>
    <row r="84" spans="1:9" x14ac:dyDescent="0.35">
      <c r="A84" s="233" t="s">
        <v>174</v>
      </c>
      <c r="B84" s="234" t="s">
        <v>175</v>
      </c>
      <c r="C84" s="227" t="str">
        <f t="shared" si="2"/>
        <v>AHMA</v>
      </c>
      <c r="D84" s="235">
        <v>56</v>
      </c>
      <c r="E84" s="235">
        <v>60</v>
      </c>
      <c r="F84" s="235">
        <v>59</v>
      </c>
      <c r="G84" s="235">
        <v>56</v>
      </c>
      <c r="H84" s="227" cm="1">
        <f t="array" ref="H84">AVERAGE(MIN(MAX(D84:G84)+10,105),MIN(D84:G84)+12,SMALL(D84:G84,{2,3}))</f>
        <v>63.25</v>
      </c>
      <c r="I84" s="229" t="str" cm="1">
        <f t="array" ref="I84">_xlfn.IFS(H84&lt;60,"F",H84&lt;70,"D",H84&lt;80,"C",H84&lt;90,"B",H84&gt;=90,"A")</f>
        <v>D</v>
      </c>
    </row>
    <row r="85" spans="1:9" x14ac:dyDescent="0.35">
      <c r="A85" s="234" t="s">
        <v>1913</v>
      </c>
      <c r="B85" s="234" t="s">
        <v>1849</v>
      </c>
      <c r="C85" s="227" t="str">
        <f t="shared" si="2"/>
        <v>IAAN</v>
      </c>
      <c r="D85" s="235">
        <v>56</v>
      </c>
      <c r="E85" s="235">
        <v>56</v>
      </c>
      <c r="F85" s="235">
        <v>46</v>
      </c>
      <c r="G85" s="235">
        <v>68</v>
      </c>
      <c r="H85" s="227" cm="1">
        <f t="array" ref="H85">AVERAGE(MIN(MAX(D85:G85)+10,105),MIN(D85:G85)+12,SMALL(D85:G85,{2,3}))</f>
        <v>62</v>
      </c>
      <c r="I85" s="229" t="str" cm="1">
        <f t="array" ref="I85">_xlfn.IFS(H85&lt;60,"F",H85&lt;70,"D",H85&lt;80,"C",H85&lt;90,"B",H85&gt;=90,"A")</f>
        <v>D</v>
      </c>
    </row>
    <row r="86" spans="1:9" x14ac:dyDescent="0.35">
      <c r="A86" s="234" t="s">
        <v>191</v>
      </c>
      <c r="B86" s="234" t="s">
        <v>1914</v>
      </c>
      <c r="C86" s="227" t="str">
        <f t="shared" si="2"/>
        <v>ANER</v>
      </c>
      <c r="D86" s="235">
        <v>53</v>
      </c>
      <c r="E86" s="235">
        <v>48</v>
      </c>
      <c r="F86" s="235">
        <v>85</v>
      </c>
      <c r="G86" s="235">
        <v>36</v>
      </c>
      <c r="H86" s="227" cm="1">
        <f t="array" ref="H86">AVERAGE(MIN(MAX(D86:G86)+10,105),MIN(D86:G86)+12,SMALL(D86:G86,{2,3}))</f>
        <v>61</v>
      </c>
      <c r="I86" s="229" t="str" cm="1">
        <f t="array" ref="I86">_xlfn.IFS(H86&lt;60,"F",H86&lt;70,"D",H86&lt;80,"C",H86&lt;90,"B",H86&gt;=90,"A")</f>
        <v>D</v>
      </c>
    </row>
    <row r="87" spans="1:9" x14ac:dyDescent="0.35">
      <c r="A87" s="233" t="s">
        <v>177</v>
      </c>
      <c r="B87" s="234" t="s">
        <v>1915</v>
      </c>
      <c r="C87" s="227" t="str">
        <f t="shared" si="2"/>
        <v>AREN</v>
      </c>
      <c r="D87" s="235">
        <v>59</v>
      </c>
      <c r="E87" s="235">
        <v>45</v>
      </c>
      <c r="F87" s="235">
        <v>46</v>
      </c>
      <c r="G87" s="235">
        <v>61</v>
      </c>
      <c r="H87" s="227" cm="1">
        <f t="array" ref="H87">AVERAGE(MIN(MAX(D87:G87)+10,105),MIN(D87:G87)+12,SMALL(D87:G87,{2,3}))</f>
        <v>58.25</v>
      </c>
      <c r="I87" s="229" t="str" cm="1">
        <f t="array" ref="I87">_xlfn.IFS(H87&lt;60,"F",H87&lt;70,"D",H87&lt;80,"C",H87&lt;90,"B",H87&gt;=90,"A")</f>
        <v>F</v>
      </c>
    </row>
    <row r="88" spans="1:9" x14ac:dyDescent="0.35">
      <c r="A88" s="233" t="s">
        <v>185</v>
      </c>
      <c r="B88" s="234" t="s">
        <v>1916</v>
      </c>
      <c r="C88" s="227" t="str">
        <f t="shared" si="2"/>
        <v>AYIN</v>
      </c>
      <c r="D88" s="235">
        <v>56</v>
      </c>
      <c r="E88" s="235">
        <v>53</v>
      </c>
      <c r="F88" s="235">
        <v>42</v>
      </c>
      <c r="G88" s="235">
        <v>54</v>
      </c>
      <c r="H88" s="227" cm="1">
        <f t="array" ref="H88">AVERAGE(MIN(MAX(D88:G88)+10,105),MIN(D88:G88)+12,SMALL(D88:G88,{2,3}))</f>
        <v>56.75</v>
      </c>
      <c r="I88" s="229" t="str" cm="1">
        <f t="array" ref="I88">_xlfn.IFS(H88&lt;60,"F",H88&lt;70,"D",H88&lt;80,"C",H88&lt;90,"B",H88&gt;=90,"A")</f>
        <v>F</v>
      </c>
    </row>
    <row r="89" spans="1:9" x14ac:dyDescent="0.35">
      <c r="A89" s="234" t="s">
        <v>197</v>
      </c>
      <c r="B89" s="234" t="s">
        <v>1917</v>
      </c>
      <c r="C89" s="227" t="str">
        <f t="shared" si="2"/>
        <v>ABAS</v>
      </c>
      <c r="D89" s="235">
        <v>47</v>
      </c>
      <c r="E89" s="235">
        <v>27</v>
      </c>
      <c r="F89" s="235">
        <v>98</v>
      </c>
      <c r="G89" s="235">
        <v>34</v>
      </c>
      <c r="H89" s="227" cm="1">
        <f t="array" ref="H89">AVERAGE(MIN(MAX(D89:G89)+10,105),MIN(D89:G89)+12,SMALL(D89:G89,{2,3}))</f>
        <v>56.25</v>
      </c>
      <c r="I89" s="229" t="str" cm="1">
        <f t="array" ref="I89">_xlfn.IFS(H89&lt;60,"F",H89&lt;70,"D",H89&lt;80,"C",H89&lt;90,"B",H89&gt;=90,"A")</f>
        <v>F</v>
      </c>
    </row>
    <row r="90" spans="1:9" x14ac:dyDescent="0.35">
      <c r="A90" s="234" t="s">
        <v>182</v>
      </c>
      <c r="B90" s="234" t="s">
        <v>1918</v>
      </c>
      <c r="C90" s="227" t="str">
        <f t="shared" si="2"/>
        <v>EXAL</v>
      </c>
      <c r="D90" s="235">
        <v>60</v>
      </c>
      <c r="E90" s="235">
        <v>47</v>
      </c>
      <c r="F90" s="235">
        <v>45</v>
      </c>
      <c r="G90" s="235">
        <v>45</v>
      </c>
      <c r="H90" s="227" cm="1">
        <f t="array" ref="H90">AVERAGE(MIN(MAX(D90:G90)+10,105),MIN(D90:G90)+12,SMALL(D90:G90,{2,3}))</f>
        <v>54.75</v>
      </c>
      <c r="I90" s="229" t="str" cm="1">
        <f t="array" ref="I90">_xlfn.IFS(H90&lt;60,"F",H90&lt;70,"D",H90&lt;80,"C",H90&lt;90,"B",H90&gt;=90,"A")</f>
        <v>F</v>
      </c>
    </row>
    <row r="91" spans="1:9" x14ac:dyDescent="0.35">
      <c r="A91" s="233" t="s">
        <v>203</v>
      </c>
      <c r="B91" s="234" t="s">
        <v>204</v>
      </c>
      <c r="C91" s="227" t="str">
        <f t="shared" si="2"/>
        <v>AJTE</v>
      </c>
      <c r="D91" s="235">
        <v>54</v>
      </c>
      <c r="E91" s="235">
        <v>29</v>
      </c>
      <c r="F91" s="235">
        <v>74</v>
      </c>
      <c r="G91" s="235">
        <v>32</v>
      </c>
      <c r="H91" s="227" cm="1">
        <f t="array" ref="H91">AVERAGE(MIN(MAX(D91:G91)+10,105),MIN(D91:G91)+12,SMALL(D91:G91,{2,3}))</f>
        <v>52.75</v>
      </c>
      <c r="I91" s="229" t="str" cm="1">
        <f t="array" ref="I91">_xlfn.IFS(H91&lt;60,"F",H91&lt;70,"D",H91&lt;80,"C",H91&lt;90,"B",H91&gt;=90,"A")</f>
        <v>F</v>
      </c>
    </row>
    <row r="92" spans="1:9" x14ac:dyDescent="0.35">
      <c r="A92" s="233" t="s">
        <v>200</v>
      </c>
      <c r="B92" s="234" t="s">
        <v>1919</v>
      </c>
      <c r="C92" s="227" t="str">
        <f t="shared" si="2"/>
        <v>LANA</v>
      </c>
      <c r="D92" s="235">
        <v>31</v>
      </c>
      <c r="E92" s="235">
        <v>33</v>
      </c>
      <c r="F92" s="235">
        <v>77</v>
      </c>
      <c r="G92" s="235">
        <v>46</v>
      </c>
      <c r="H92" s="227" cm="1">
        <f t="array" ref="H92">AVERAGE(MIN(MAX(D92:G92)+10,105),MIN(D92:G92)+12,SMALL(D92:G92,{2,3}))</f>
        <v>52.25</v>
      </c>
      <c r="I92" s="229" t="str" cm="1">
        <f t="array" ref="I92">_xlfn.IFS(H92&lt;60,"F",H92&lt;70,"D",H92&lt;80,"C",H92&lt;90,"B",H92&gt;=90,"A")</f>
        <v>F</v>
      </c>
    </row>
    <row r="93" spans="1:9" x14ac:dyDescent="0.35">
      <c r="A93" s="233" t="s">
        <v>194</v>
      </c>
      <c r="B93" s="234" t="s">
        <v>1920</v>
      </c>
      <c r="C93" s="227" t="str">
        <f t="shared" si="2"/>
        <v>LAMA</v>
      </c>
      <c r="D93" s="235">
        <v>39</v>
      </c>
      <c r="E93" s="235">
        <v>42</v>
      </c>
      <c r="F93" s="235">
        <v>46</v>
      </c>
      <c r="G93" s="235">
        <v>53</v>
      </c>
      <c r="H93" s="227" cm="1">
        <f t="array" ref="H93">AVERAGE(MIN(MAX(D93:G93)+10,105),MIN(D93:G93)+12,SMALL(D93:G93,{2,3}))</f>
        <v>50.5</v>
      </c>
      <c r="I93" s="229" t="str" cm="1">
        <f t="array" ref="I93">_xlfn.IFS(H93&lt;60,"F",H93&lt;70,"D",H93&lt;80,"C",H93&lt;90,"B",H93&gt;=90,"A")</f>
        <v>F</v>
      </c>
    </row>
    <row r="94" spans="1:9" x14ac:dyDescent="0.35">
      <c r="A94" s="233" t="s">
        <v>212</v>
      </c>
      <c r="B94" s="234" t="s">
        <v>1921</v>
      </c>
      <c r="C94" s="227" t="str">
        <f t="shared" si="2"/>
        <v>ASER</v>
      </c>
      <c r="D94" s="235">
        <v>46</v>
      </c>
      <c r="E94" s="235">
        <v>30</v>
      </c>
      <c r="F94" s="235">
        <v>98</v>
      </c>
      <c r="G94" s="235">
        <v>0</v>
      </c>
      <c r="H94" s="227" cm="1">
        <f t="array" ref="H94">AVERAGE(MIN(MAX(D94:G94)+10,105),MIN(D94:G94)+12,SMALL(D94:G94,{2,3}))</f>
        <v>48.25</v>
      </c>
      <c r="I94" s="229" t="str" cm="1">
        <f t="array" ref="I94">_xlfn.IFS(H94&lt;60,"F",H94&lt;70,"D",H94&lt;80,"C",H94&lt;90,"B",H94&gt;=90,"A")</f>
        <v>F</v>
      </c>
    </row>
    <row r="95" spans="1:9" x14ac:dyDescent="0.35">
      <c r="A95" s="233" t="s">
        <v>206</v>
      </c>
      <c r="B95" s="234" t="s">
        <v>1922</v>
      </c>
      <c r="C95" s="227" t="str">
        <f t="shared" si="2"/>
        <v>ESEY</v>
      </c>
      <c r="D95" s="235">
        <v>40</v>
      </c>
      <c r="E95" s="235">
        <v>32</v>
      </c>
      <c r="F95" s="235">
        <v>45</v>
      </c>
      <c r="G95" s="235">
        <v>37</v>
      </c>
      <c r="H95" s="227" cm="1">
        <f t="array" ref="H95">AVERAGE(MIN(MAX(D95:G95)+10,105),MIN(D95:G95)+12,SMALL(D95:G95,{2,3}))</f>
        <v>44</v>
      </c>
      <c r="I95" s="229" t="str" cm="1">
        <f t="array" ref="I95">_xlfn.IFS(H95&lt;60,"F",H95&lt;70,"D",H95&lt;80,"C",H95&lt;90,"B",H95&gt;=90,"A")</f>
        <v>F</v>
      </c>
    </row>
    <row r="96" spans="1:9" x14ac:dyDescent="0.35">
      <c r="A96" s="234" t="s">
        <v>209</v>
      </c>
      <c r="B96" s="234" t="s">
        <v>1923</v>
      </c>
      <c r="C96" s="227" t="str">
        <f t="shared" si="2"/>
        <v>RATT</v>
      </c>
      <c r="D96" s="235">
        <v>25</v>
      </c>
      <c r="E96" s="235">
        <v>29</v>
      </c>
      <c r="F96" s="235">
        <v>59</v>
      </c>
      <c r="G96" s="235">
        <v>27</v>
      </c>
      <c r="H96" s="227" cm="1">
        <f t="array" ref="H96">AVERAGE(MIN(MAX(D96:G96)+10,105),MIN(D96:G96)+12,SMALL(D96:G96,{2,3}))</f>
        <v>40.5</v>
      </c>
      <c r="I96" s="229" t="str" cm="1">
        <f t="array" ref="I96">_xlfn.IFS(H96&lt;60,"F",H96&lt;70,"D",H96&lt;80,"C",H96&lt;90,"B",H96&gt;=90,"A")</f>
        <v>F</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BB16E-55AB-4D80-8F6B-98817B4C685C}">
  <dimension ref="A1:N331"/>
  <sheetViews>
    <sheetView topLeftCell="A10" zoomScaleNormal="100" workbookViewId="0">
      <selection activeCell="K28" sqref="K28"/>
    </sheetView>
  </sheetViews>
  <sheetFormatPr defaultColWidth="8.6640625" defaultRowHeight="15.5" x14ac:dyDescent="0.35"/>
  <cols>
    <col min="1" max="1" width="18.1640625" style="244" customWidth="1"/>
    <col min="2" max="2" width="8.6640625" style="245"/>
    <col min="3" max="3" width="11.58203125" style="244" customWidth="1"/>
    <col min="4" max="4" width="10.6640625" style="244" bestFit="1" customWidth="1"/>
    <col min="5" max="5" width="11.1640625" style="244" bestFit="1" customWidth="1"/>
    <col min="6" max="6" width="9.9140625" style="244" bestFit="1" customWidth="1"/>
    <col min="7" max="7" width="9.5" style="244" customWidth="1"/>
    <col min="8" max="8" width="9.5" style="246" customWidth="1"/>
    <col min="9" max="9" width="9.1640625" style="244" bestFit="1" customWidth="1"/>
    <col min="10" max="10" width="5.1640625" style="244" customWidth="1"/>
    <col min="11" max="11" width="58.6640625" style="244" customWidth="1"/>
    <col min="12" max="12" width="16" style="244" bestFit="1" customWidth="1"/>
    <col min="13" max="13" width="10" style="244" bestFit="1" customWidth="1"/>
    <col min="14" max="14" width="16.08203125" style="244" bestFit="1" customWidth="1"/>
    <col min="15" max="15" width="14.58203125" style="244" customWidth="1"/>
    <col min="16" max="16" width="11.6640625" style="244" customWidth="1"/>
    <col min="17" max="17" width="20.9140625" style="244" bestFit="1" customWidth="1"/>
    <col min="18" max="18" width="5.9140625" style="244" customWidth="1"/>
    <col min="19" max="19" width="23.6640625" style="244" customWidth="1"/>
    <col min="20" max="16384" width="8.6640625" style="244"/>
  </cols>
  <sheetData>
    <row r="1" spans="1:13" ht="16" thickBot="1" x14ac:dyDescent="0.4"/>
    <row r="2" spans="1:13" x14ac:dyDescent="0.35">
      <c r="A2" s="247" t="s">
        <v>1924</v>
      </c>
      <c r="B2" s="248"/>
      <c r="C2" s="249"/>
      <c r="D2" s="249"/>
      <c r="E2" s="249"/>
      <c r="F2" s="249"/>
      <c r="G2" s="249"/>
      <c r="H2" s="250"/>
      <c r="I2" s="249"/>
      <c r="J2" s="251"/>
    </row>
    <row r="3" spans="1:13" x14ac:dyDescent="0.35">
      <c r="A3" s="252" t="s">
        <v>1925</v>
      </c>
      <c r="B3" s="253"/>
      <c r="C3" s="254"/>
      <c r="D3" s="254"/>
      <c r="E3" s="254"/>
      <c r="F3" s="254"/>
      <c r="G3" s="254"/>
      <c r="H3" s="255"/>
      <c r="I3" s="254"/>
      <c r="J3" s="256"/>
    </row>
    <row r="4" spans="1:13" x14ac:dyDescent="0.35">
      <c r="A4" s="252" t="s">
        <v>1926</v>
      </c>
      <c r="B4" s="253"/>
      <c r="C4" s="254"/>
      <c r="D4" s="254"/>
      <c r="E4" s="254"/>
      <c r="F4" s="254"/>
      <c r="G4" s="254"/>
      <c r="H4" s="255"/>
      <c r="I4" s="254"/>
      <c r="J4" s="256"/>
    </row>
    <row r="5" spans="1:13" x14ac:dyDescent="0.35">
      <c r="A5" s="252" t="s">
        <v>1927</v>
      </c>
      <c r="B5" s="253"/>
      <c r="C5" s="254"/>
      <c r="D5" s="254"/>
      <c r="E5" s="254"/>
      <c r="F5" s="254"/>
      <c r="G5" s="254"/>
      <c r="H5" s="255"/>
      <c r="I5" s="254"/>
      <c r="J5" s="256"/>
    </row>
    <row r="6" spans="1:13" x14ac:dyDescent="0.35">
      <c r="A6" s="252" t="s">
        <v>1928</v>
      </c>
      <c r="B6" s="253"/>
      <c r="C6" s="254"/>
      <c r="D6" s="254"/>
      <c r="E6" s="254"/>
      <c r="F6" s="254"/>
      <c r="G6" s="254"/>
      <c r="H6" s="255"/>
      <c r="I6" s="254"/>
      <c r="J6" s="256"/>
    </row>
    <row r="7" spans="1:13" ht="16" thickBot="1" x14ac:dyDescent="0.4">
      <c r="A7" s="257" t="s">
        <v>1929</v>
      </c>
      <c r="B7" s="258"/>
      <c r="C7" s="259"/>
      <c r="D7" s="259"/>
      <c r="E7" s="259"/>
      <c r="F7" s="259"/>
      <c r="G7" s="259"/>
      <c r="H7" s="260"/>
      <c r="I7" s="259"/>
      <c r="J7" s="261"/>
    </row>
    <row r="9" spans="1:13" ht="16" thickBot="1" x14ac:dyDescent="0.4">
      <c r="A9" s="262"/>
      <c r="B9" s="263"/>
      <c r="C9" s="262"/>
      <c r="D9" s="262"/>
      <c r="E9" s="264"/>
      <c r="F9" s="262"/>
    </row>
    <row r="10" spans="1:13" ht="31.5" thickBot="1" x14ac:dyDescent="0.4">
      <c r="A10" s="265" t="s">
        <v>1930</v>
      </c>
      <c r="B10" s="265" t="s">
        <v>1931</v>
      </c>
      <c r="C10" s="265" t="s">
        <v>419</v>
      </c>
      <c r="D10" s="265" t="s">
        <v>1932</v>
      </c>
      <c r="E10" s="265" t="s">
        <v>1933</v>
      </c>
      <c r="F10" s="265" t="s">
        <v>1934</v>
      </c>
      <c r="G10" s="266" t="s">
        <v>1935</v>
      </c>
      <c r="H10" s="267" t="s">
        <v>1936</v>
      </c>
      <c r="I10" s="266" t="s">
        <v>1937</v>
      </c>
      <c r="K10" s="268" t="s">
        <v>1938</v>
      </c>
      <c r="L10" s="269"/>
      <c r="M10" s="270"/>
    </row>
    <row r="11" spans="1:13" x14ac:dyDescent="0.35">
      <c r="A11" s="271" t="s">
        <v>1939</v>
      </c>
      <c r="B11" s="272">
        <v>20</v>
      </c>
      <c r="C11" s="271" t="s">
        <v>1940</v>
      </c>
      <c r="D11" s="273">
        <v>4330</v>
      </c>
      <c r="E11" s="274">
        <v>44556</v>
      </c>
      <c r="F11" s="274">
        <v>44599</v>
      </c>
      <c r="G11" s="275">
        <f>F11-E11</f>
        <v>43</v>
      </c>
      <c r="H11" s="276">
        <v>0.01</v>
      </c>
      <c r="I11" s="277">
        <v>43.300000000000004</v>
      </c>
      <c r="K11" s="278" t="s">
        <v>1941</v>
      </c>
      <c r="L11" s="279"/>
      <c r="M11" s="280"/>
    </row>
    <row r="12" spans="1:13" x14ac:dyDescent="0.35">
      <c r="A12" s="281" t="s">
        <v>1942</v>
      </c>
      <c r="B12" s="282">
        <v>8</v>
      </c>
      <c r="C12" s="281" t="s">
        <v>1943</v>
      </c>
      <c r="D12" s="283">
        <v>2330</v>
      </c>
      <c r="E12" s="284">
        <v>44536</v>
      </c>
      <c r="F12" s="284">
        <v>44599</v>
      </c>
      <c r="G12" s="285">
        <f>F12-E12</f>
        <v>63</v>
      </c>
      <c r="H12" s="286">
        <f>IF(G12&lt;=30,0,IF(G12&lt;60,1%,IF(G12&lt;80,2%,3%)))</f>
        <v>0.02</v>
      </c>
      <c r="I12" s="287">
        <f>H12*D12</f>
        <v>46.6</v>
      </c>
      <c r="K12" s="288" t="s">
        <v>1944</v>
      </c>
      <c r="L12" s="289"/>
      <c r="M12" s="290"/>
    </row>
    <row r="13" spans="1:13" x14ac:dyDescent="0.35">
      <c r="A13" s="281" t="s">
        <v>1945</v>
      </c>
      <c r="B13" s="282">
        <v>21</v>
      </c>
      <c r="C13" s="281" t="s">
        <v>1946</v>
      </c>
      <c r="D13" s="283">
        <v>9544</v>
      </c>
      <c r="E13" s="284">
        <v>44534</v>
      </c>
      <c r="F13" s="284">
        <v>44599</v>
      </c>
      <c r="G13" s="285">
        <f t="shared" ref="G13:G76" si="0">F13-E13</f>
        <v>65</v>
      </c>
      <c r="H13" s="286">
        <f t="shared" ref="H13:H76" si="1">IF(G13&lt;=30,0,IF(G13&lt;60,1%,IF(G13&lt;80,2%,3%)))</f>
        <v>0.02</v>
      </c>
      <c r="I13" s="287">
        <f t="shared" ref="I13:I76" si="2">H13*D13</f>
        <v>190.88</v>
      </c>
      <c r="K13" s="288" t="s">
        <v>1947</v>
      </c>
      <c r="L13" s="289"/>
      <c r="M13" s="290"/>
    </row>
    <row r="14" spans="1:13" x14ac:dyDescent="0.35">
      <c r="A14" s="281" t="s">
        <v>1948</v>
      </c>
      <c r="B14" s="282">
        <v>18</v>
      </c>
      <c r="C14" s="281" t="s">
        <v>1949</v>
      </c>
      <c r="D14" s="283">
        <v>7427</v>
      </c>
      <c r="E14" s="284">
        <v>44525</v>
      </c>
      <c r="F14" s="284">
        <v>44599</v>
      </c>
      <c r="G14" s="285">
        <f t="shared" si="0"/>
        <v>74</v>
      </c>
      <c r="H14" s="286">
        <f t="shared" si="1"/>
        <v>0.02</v>
      </c>
      <c r="I14" s="287">
        <f t="shared" si="2"/>
        <v>148.54</v>
      </c>
      <c r="K14" s="288" t="s">
        <v>1950</v>
      </c>
      <c r="L14" s="289"/>
      <c r="M14" s="290"/>
    </row>
    <row r="15" spans="1:13" ht="16" thickBot="1" x14ac:dyDescent="0.4">
      <c r="A15" s="281" t="s">
        <v>1951</v>
      </c>
      <c r="B15" s="282">
        <v>25</v>
      </c>
      <c r="C15" s="281" t="s">
        <v>1952</v>
      </c>
      <c r="D15" s="283">
        <v>8637</v>
      </c>
      <c r="E15" s="284">
        <v>44527</v>
      </c>
      <c r="F15" s="284">
        <v>44599</v>
      </c>
      <c r="G15" s="285">
        <f t="shared" si="0"/>
        <v>72</v>
      </c>
      <c r="H15" s="286">
        <f t="shared" si="1"/>
        <v>0.02</v>
      </c>
      <c r="I15" s="287">
        <f t="shared" si="2"/>
        <v>172.74</v>
      </c>
      <c r="K15" s="291" t="s">
        <v>1953</v>
      </c>
      <c r="L15" s="292"/>
      <c r="M15" s="293"/>
    </row>
    <row r="16" spans="1:13" x14ac:dyDescent="0.35">
      <c r="A16" s="281" t="s">
        <v>1954</v>
      </c>
      <c r="B16" s="282">
        <v>24</v>
      </c>
      <c r="C16" s="281" t="s">
        <v>1955</v>
      </c>
      <c r="D16" s="283">
        <v>7949</v>
      </c>
      <c r="E16" s="284">
        <v>44540</v>
      </c>
      <c r="F16" s="284">
        <v>44599</v>
      </c>
      <c r="G16" s="285">
        <f t="shared" si="0"/>
        <v>59</v>
      </c>
      <c r="H16" s="286">
        <f t="shared" si="1"/>
        <v>0.01</v>
      </c>
      <c r="I16" s="287">
        <f t="shared" si="2"/>
        <v>79.489999999999995</v>
      </c>
    </row>
    <row r="17" spans="1:14" x14ac:dyDescent="0.35">
      <c r="A17" s="281" t="s">
        <v>1942</v>
      </c>
      <c r="B17" s="282">
        <v>8</v>
      </c>
      <c r="C17" s="281" t="s">
        <v>1956</v>
      </c>
      <c r="D17" s="283">
        <v>5543</v>
      </c>
      <c r="E17" s="284">
        <v>44509</v>
      </c>
      <c r="F17" s="284">
        <v>44599</v>
      </c>
      <c r="G17" s="285">
        <f t="shared" si="0"/>
        <v>90</v>
      </c>
      <c r="H17" s="286">
        <f t="shared" si="1"/>
        <v>0.03</v>
      </c>
      <c r="I17" s="287">
        <f t="shared" si="2"/>
        <v>166.29</v>
      </c>
    </row>
    <row r="18" spans="1:14" x14ac:dyDescent="0.35">
      <c r="A18" s="281" t="s">
        <v>1957</v>
      </c>
      <c r="B18" s="282">
        <v>10</v>
      </c>
      <c r="C18" s="281" t="s">
        <v>1958</v>
      </c>
      <c r="D18" s="283">
        <v>7585</v>
      </c>
      <c r="E18" s="284">
        <v>44552</v>
      </c>
      <c r="F18" s="284">
        <v>44599</v>
      </c>
      <c r="G18" s="285">
        <f t="shared" si="0"/>
        <v>47</v>
      </c>
      <c r="H18" s="286">
        <f t="shared" si="1"/>
        <v>0.01</v>
      </c>
      <c r="I18" s="287">
        <f t="shared" si="2"/>
        <v>75.850000000000009</v>
      </c>
    </row>
    <row r="19" spans="1:14" x14ac:dyDescent="0.35">
      <c r="A19" s="281" t="s">
        <v>1945</v>
      </c>
      <c r="B19" s="282">
        <v>21</v>
      </c>
      <c r="C19" s="281" t="s">
        <v>1959</v>
      </c>
      <c r="D19" s="283">
        <v>2441</v>
      </c>
      <c r="E19" s="284">
        <v>44534</v>
      </c>
      <c r="F19" s="284">
        <v>44599</v>
      </c>
      <c r="G19" s="285">
        <f t="shared" si="0"/>
        <v>65</v>
      </c>
      <c r="H19" s="286">
        <f t="shared" si="1"/>
        <v>0.02</v>
      </c>
      <c r="I19" s="287">
        <f t="shared" si="2"/>
        <v>48.82</v>
      </c>
    </row>
    <row r="20" spans="1:14" ht="16" thickBot="1" x14ac:dyDescent="0.4">
      <c r="A20" s="281" t="s">
        <v>1960</v>
      </c>
      <c r="B20" s="282">
        <v>6</v>
      </c>
      <c r="C20" s="281" t="s">
        <v>1961</v>
      </c>
      <c r="D20" s="283">
        <v>1290</v>
      </c>
      <c r="E20" s="284">
        <v>44506</v>
      </c>
      <c r="F20" s="284">
        <v>44599</v>
      </c>
      <c r="G20" s="285">
        <f t="shared" si="0"/>
        <v>93</v>
      </c>
      <c r="H20" s="286">
        <f t="shared" si="1"/>
        <v>0.03</v>
      </c>
      <c r="I20" s="287">
        <f t="shared" si="2"/>
        <v>38.699999999999996</v>
      </c>
    </row>
    <row r="21" spans="1:14" x14ac:dyDescent="0.35">
      <c r="A21" s="281" t="s">
        <v>1962</v>
      </c>
      <c r="B21" s="282">
        <v>1</v>
      </c>
      <c r="C21" s="281" t="s">
        <v>1963</v>
      </c>
      <c r="D21" s="283">
        <v>1976</v>
      </c>
      <c r="E21" s="284">
        <v>44568</v>
      </c>
      <c r="F21" s="284">
        <v>44599</v>
      </c>
      <c r="G21" s="285">
        <f t="shared" si="0"/>
        <v>31</v>
      </c>
      <c r="H21" s="286">
        <f t="shared" si="1"/>
        <v>0.01</v>
      </c>
      <c r="I21" s="287">
        <f t="shared" si="2"/>
        <v>19.760000000000002</v>
      </c>
      <c r="K21" s="352" t="s">
        <v>1964</v>
      </c>
      <c r="L21" s="344">
        <f>_xlfn.XLOOKUP(K21,C11:C331,I11:I331)</f>
        <v>94.95</v>
      </c>
      <c r="M21" s="353" t="s">
        <v>1965</v>
      </c>
      <c r="N21" s="345">
        <f>_xlfn.XLOOKUP(M21,C11:C331,I11:I331)</f>
        <v>63.04</v>
      </c>
    </row>
    <row r="22" spans="1:14" x14ac:dyDescent="0.35">
      <c r="A22" s="281" t="s">
        <v>1966</v>
      </c>
      <c r="B22" s="282">
        <v>12</v>
      </c>
      <c r="C22" s="281" t="s">
        <v>1967</v>
      </c>
      <c r="D22" s="283">
        <v>3407</v>
      </c>
      <c r="E22" s="284">
        <v>44529</v>
      </c>
      <c r="F22" s="284">
        <v>44599</v>
      </c>
      <c r="G22" s="285">
        <f t="shared" si="0"/>
        <v>70</v>
      </c>
      <c r="H22" s="286">
        <f t="shared" si="1"/>
        <v>0.02</v>
      </c>
      <c r="I22" s="287">
        <f t="shared" si="2"/>
        <v>68.14</v>
      </c>
      <c r="K22" s="354" t="s">
        <v>1968</v>
      </c>
      <c r="L22" s="355">
        <f>_xlfn.XLOOKUP(K22,C11:C331,H11:H331)</f>
        <v>0</v>
      </c>
      <c r="M22" s="356" t="s">
        <v>1965</v>
      </c>
      <c r="N22" s="348">
        <f>_xlfn.XLOOKUP(M22,C11:C331,H11:H331)</f>
        <v>0.02</v>
      </c>
    </row>
    <row r="23" spans="1:14" x14ac:dyDescent="0.35">
      <c r="A23" s="281" t="s">
        <v>1969</v>
      </c>
      <c r="B23" s="282">
        <v>2</v>
      </c>
      <c r="C23" s="281" t="s">
        <v>1970</v>
      </c>
      <c r="D23" s="283">
        <v>4557</v>
      </c>
      <c r="E23" s="284">
        <v>44539</v>
      </c>
      <c r="F23" s="284">
        <v>44599</v>
      </c>
      <c r="G23" s="285">
        <f t="shared" si="0"/>
        <v>60</v>
      </c>
      <c r="H23" s="286">
        <f t="shared" si="1"/>
        <v>0.02</v>
      </c>
      <c r="I23" s="287">
        <f t="shared" si="2"/>
        <v>91.14</v>
      </c>
      <c r="K23" s="346" t="s">
        <v>1971</v>
      </c>
      <c r="L23" s="357">
        <f>SUM(I11:I331)</f>
        <v>28337.280000000021</v>
      </c>
      <c r="M23" s="355"/>
      <c r="N23" s="348"/>
    </row>
    <row r="24" spans="1:14" x14ac:dyDescent="0.35">
      <c r="A24" s="281" t="s">
        <v>1969</v>
      </c>
      <c r="B24" s="282">
        <v>2</v>
      </c>
      <c r="C24" s="281" t="s">
        <v>1972</v>
      </c>
      <c r="D24" s="283">
        <v>6058</v>
      </c>
      <c r="E24" s="284">
        <v>44571</v>
      </c>
      <c r="F24" s="284">
        <v>44599</v>
      </c>
      <c r="G24" s="285">
        <f t="shared" si="0"/>
        <v>28</v>
      </c>
      <c r="H24" s="286">
        <f t="shared" si="1"/>
        <v>0</v>
      </c>
      <c r="I24" s="287">
        <f t="shared" si="2"/>
        <v>0</v>
      </c>
      <c r="K24" s="346" t="s">
        <v>1973</v>
      </c>
      <c r="L24" s="355">
        <f>SUMIF(A11:A331,"JSW Steel",I11:I331)</f>
        <v>1929.09</v>
      </c>
      <c r="M24" s="355" t="s">
        <v>1974</v>
      </c>
      <c r="N24" s="348">
        <f>SUMIF(A11:A331,"SAIL",I11:I331)</f>
        <v>1434.1499999999999</v>
      </c>
    </row>
    <row r="25" spans="1:14" ht="16" thickBot="1" x14ac:dyDescent="0.4">
      <c r="A25" s="281" t="s">
        <v>1969</v>
      </c>
      <c r="B25" s="282">
        <v>2</v>
      </c>
      <c r="C25" s="281" t="s">
        <v>1975</v>
      </c>
      <c r="D25" s="283">
        <v>8016</v>
      </c>
      <c r="E25" s="284">
        <v>44533</v>
      </c>
      <c r="F25" s="284">
        <v>44599</v>
      </c>
      <c r="G25" s="285">
        <f t="shared" si="0"/>
        <v>66</v>
      </c>
      <c r="H25" s="286">
        <f t="shared" si="1"/>
        <v>0.02</v>
      </c>
      <c r="I25" s="287">
        <f t="shared" si="2"/>
        <v>160.32</v>
      </c>
      <c r="K25" s="349" t="s">
        <v>1976</v>
      </c>
      <c r="L25" s="350" cm="1">
        <f t="array" ref="L25">MAX(_xlfn._xlws.FILTER(G11:G331,A11:A331=K25))</f>
        <v>97</v>
      </c>
      <c r="M25" s="358" t="s">
        <v>1977</v>
      </c>
      <c r="N25" s="351">
        <f>COUNTIFS(A11:A331,M25,G11:G331,"&lt;30")</f>
        <v>4</v>
      </c>
    </row>
    <row r="26" spans="1:14" x14ac:dyDescent="0.35">
      <c r="A26" s="281" t="s">
        <v>1978</v>
      </c>
      <c r="B26" s="282">
        <v>15</v>
      </c>
      <c r="C26" s="281" t="s">
        <v>1968</v>
      </c>
      <c r="D26" s="283">
        <v>9672</v>
      </c>
      <c r="E26" s="284">
        <v>44580</v>
      </c>
      <c r="F26" s="284">
        <v>44599</v>
      </c>
      <c r="G26" s="285">
        <f t="shared" si="0"/>
        <v>19</v>
      </c>
      <c r="H26" s="286">
        <f t="shared" si="1"/>
        <v>0</v>
      </c>
      <c r="I26" s="287">
        <f t="shared" si="2"/>
        <v>0</v>
      </c>
    </row>
    <row r="27" spans="1:14" x14ac:dyDescent="0.35">
      <c r="A27" s="281" t="s">
        <v>1957</v>
      </c>
      <c r="B27" s="282">
        <v>10</v>
      </c>
      <c r="C27" s="281" t="s">
        <v>1979</v>
      </c>
      <c r="D27" s="283">
        <v>2984</v>
      </c>
      <c r="E27" s="284">
        <v>44505</v>
      </c>
      <c r="F27" s="284">
        <v>44599</v>
      </c>
      <c r="G27" s="285">
        <f t="shared" si="0"/>
        <v>94</v>
      </c>
      <c r="H27" s="286">
        <f t="shared" si="1"/>
        <v>0.03</v>
      </c>
      <c r="I27" s="287">
        <f t="shared" si="2"/>
        <v>89.52</v>
      </c>
    </row>
    <row r="28" spans="1:14" x14ac:dyDescent="0.35">
      <c r="A28" s="281" t="s">
        <v>1980</v>
      </c>
      <c r="B28" s="282">
        <v>7</v>
      </c>
      <c r="C28" s="281" t="s">
        <v>1981</v>
      </c>
      <c r="D28" s="283">
        <v>5283</v>
      </c>
      <c r="E28" s="284">
        <v>44553</v>
      </c>
      <c r="F28" s="284">
        <v>44599</v>
      </c>
      <c r="G28" s="285">
        <f t="shared" si="0"/>
        <v>46</v>
      </c>
      <c r="H28" s="286">
        <f t="shared" si="1"/>
        <v>0.01</v>
      </c>
      <c r="I28" s="287">
        <f t="shared" si="2"/>
        <v>52.83</v>
      </c>
    </row>
    <row r="29" spans="1:14" x14ac:dyDescent="0.35">
      <c r="A29" s="281" t="s">
        <v>1966</v>
      </c>
      <c r="B29" s="282">
        <v>12</v>
      </c>
      <c r="C29" s="281" t="s">
        <v>1982</v>
      </c>
      <c r="D29" s="283">
        <v>4104</v>
      </c>
      <c r="E29" s="284">
        <v>44566</v>
      </c>
      <c r="F29" s="284">
        <v>44599</v>
      </c>
      <c r="G29" s="285">
        <f t="shared" si="0"/>
        <v>33</v>
      </c>
      <c r="H29" s="286">
        <f t="shared" si="1"/>
        <v>0.01</v>
      </c>
      <c r="I29" s="287">
        <f t="shared" si="2"/>
        <v>41.04</v>
      </c>
    </row>
    <row r="30" spans="1:14" x14ac:dyDescent="0.35">
      <c r="A30" s="281" t="s">
        <v>1976</v>
      </c>
      <c r="B30" s="282">
        <v>3</v>
      </c>
      <c r="C30" s="281" t="s">
        <v>1983</v>
      </c>
      <c r="D30" s="283">
        <v>5223</v>
      </c>
      <c r="E30" s="284">
        <v>44541</v>
      </c>
      <c r="F30" s="284">
        <v>44599</v>
      </c>
      <c r="G30" s="285">
        <f t="shared" si="0"/>
        <v>58</v>
      </c>
      <c r="H30" s="286">
        <f t="shared" si="1"/>
        <v>0.01</v>
      </c>
      <c r="I30" s="287">
        <f t="shared" si="2"/>
        <v>52.230000000000004</v>
      </c>
    </row>
    <row r="31" spans="1:14" x14ac:dyDescent="0.35">
      <c r="A31" s="281" t="s">
        <v>1960</v>
      </c>
      <c r="B31" s="282">
        <v>6</v>
      </c>
      <c r="C31" s="281" t="s">
        <v>1984</v>
      </c>
      <c r="D31" s="283">
        <v>2170</v>
      </c>
      <c r="E31" s="284">
        <v>44510</v>
      </c>
      <c r="F31" s="284">
        <v>44599</v>
      </c>
      <c r="G31" s="285">
        <f t="shared" si="0"/>
        <v>89</v>
      </c>
      <c r="H31" s="286">
        <f t="shared" si="1"/>
        <v>0.03</v>
      </c>
      <c r="I31" s="287">
        <f t="shared" si="2"/>
        <v>65.099999999999994</v>
      </c>
    </row>
    <row r="32" spans="1:14" x14ac:dyDescent="0.35">
      <c r="A32" s="281" t="s">
        <v>1977</v>
      </c>
      <c r="B32" s="282">
        <v>22</v>
      </c>
      <c r="C32" s="281" t="s">
        <v>1985</v>
      </c>
      <c r="D32" s="283">
        <v>1684</v>
      </c>
      <c r="E32" s="284">
        <v>44571</v>
      </c>
      <c r="F32" s="284">
        <v>44599</v>
      </c>
      <c r="G32" s="285">
        <f t="shared" si="0"/>
        <v>28</v>
      </c>
      <c r="H32" s="286">
        <f t="shared" si="1"/>
        <v>0</v>
      </c>
      <c r="I32" s="287">
        <f t="shared" si="2"/>
        <v>0</v>
      </c>
    </row>
    <row r="33" spans="1:9" x14ac:dyDescent="0.35">
      <c r="A33" s="281" t="s">
        <v>1986</v>
      </c>
      <c r="B33" s="282">
        <v>16</v>
      </c>
      <c r="C33" s="281" t="s">
        <v>1987</v>
      </c>
      <c r="D33" s="283">
        <v>7865</v>
      </c>
      <c r="E33" s="284">
        <v>44494</v>
      </c>
      <c r="F33" s="284">
        <v>44599</v>
      </c>
      <c r="G33" s="285">
        <f t="shared" si="0"/>
        <v>105</v>
      </c>
      <c r="H33" s="286">
        <f t="shared" si="1"/>
        <v>0.03</v>
      </c>
      <c r="I33" s="287">
        <f t="shared" si="2"/>
        <v>235.95</v>
      </c>
    </row>
    <row r="34" spans="1:9" x14ac:dyDescent="0.35">
      <c r="A34" s="281" t="s">
        <v>1978</v>
      </c>
      <c r="B34" s="282">
        <v>15</v>
      </c>
      <c r="C34" s="281" t="s">
        <v>1988</v>
      </c>
      <c r="D34" s="283">
        <v>9881</v>
      </c>
      <c r="E34" s="284">
        <v>44538</v>
      </c>
      <c r="F34" s="284">
        <v>44599</v>
      </c>
      <c r="G34" s="285">
        <f t="shared" si="0"/>
        <v>61</v>
      </c>
      <c r="H34" s="286">
        <f t="shared" si="1"/>
        <v>0.02</v>
      </c>
      <c r="I34" s="287">
        <f t="shared" si="2"/>
        <v>197.62</v>
      </c>
    </row>
    <row r="35" spans="1:9" x14ac:dyDescent="0.35">
      <c r="A35" s="281" t="s">
        <v>1989</v>
      </c>
      <c r="B35" s="282">
        <v>14</v>
      </c>
      <c r="C35" s="281" t="s">
        <v>1990</v>
      </c>
      <c r="D35" s="283">
        <v>1040</v>
      </c>
      <c r="E35" s="284">
        <v>44515</v>
      </c>
      <c r="F35" s="284">
        <v>44599</v>
      </c>
      <c r="G35" s="285">
        <f t="shared" si="0"/>
        <v>84</v>
      </c>
      <c r="H35" s="286">
        <f t="shared" si="1"/>
        <v>0.03</v>
      </c>
      <c r="I35" s="287">
        <f t="shared" si="2"/>
        <v>31.2</v>
      </c>
    </row>
    <row r="36" spans="1:9" x14ac:dyDescent="0.35">
      <c r="A36" s="281" t="s">
        <v>1960</v>
      </c>
      <c r="B36" s="282">
        <v>6</v>
      </c>
      <c r="C36" s="281" t="s">
        <v>1991</v>
      </c>
      <c r="D36" s="283">
        <v>4567</v>
      </c>
      <c r="E36" s="284">
        <v>44512</v>
      </c>
      <c r="F36" s="284">
        <v>44599</v>
      </c>
      <c r="G36" s="285">
        <f t="shared" si="0"/>
        <v>87</v>
      </c>
      <c r="H36" s="286">
        <f t="shared" si="1"/>
        <v>0.03</v>
      </c>
      <c r="I36" s="287">
        <f t="shared" si="2"/>
        <v>137.01</v>
      </c>
    </row>
    <row r="37" spans="1:9" x14ac:dyDescent="0.35">
      <c r="A37" s="281" t="s">
        <v>1992</v>
      </c>
      <c r="B37" s="282">
        <v>19</v>
      </c>
      <c r="C37" s="281" t="s">
        <v>1993</v>
      </c>
      <c r="D37" s="283">
        <v>4516</v>
      </c>
      <c r="E37" s="284">
        <v>44544</v>
      </c>
      <c r="F37" s="284">
        <v>44599</v>
      </c>
      <c r="G37" s="285">
        <f t="shared" si="0"/>
        <v>55</v>
      </c>
      <c r="H37" s="286">
        <f t="shared" si="1"/>
        <v>0.01</v>
      </c>
      <c r="I37" s="287">
        <f t="shared" si="2"/>
        <v>45.160000000000004</v>
      </c>
    </row>
    <row r="38" spans="1:9" x14ac:dyDescent="0.35">
      <c r="A38" s="281" t="s">
        <v>1994</v>
      </c>
      <c r="B38" s="282">
        <v>13</v>
      </c>
      <c r="C38" s="281" t="s">
        <v>1995</v>
      </c>
      <c r="D38" s="283">
        <v>5240</v>
      </c>
      <c r="E38" s="284">
        <v>44536</v>
      </c>
      <c r="F38" s="284">
        <v>44599</v>
      </c>
      <c r="G38" s="285">
        <f t="shared" si="0"/>
        <v>63</v>
      </c>
      <c r="H38" s="286">
        <f t="shared" si="1"/>
        <v>0.02</v>
      </c>
      <c r="I38" s="287">
        <f t="shared" si="2"/>
        <v>104.8</v>
      </c>
    </row>
    <row r="39" spans="1:9" x14ac:dyDescent="0.35">
      <c r="A39" s="281" t="s">
        <v>1954</v>
      </c>
      <c r="B39" s="282">
        <v>24</v>
      </c>
      <c r="C39" s="281" t="s">
        <v>1996</v>
      </c>
      <c r="D39" s="283">
        <v>9138</v>
      </c>
      <c r="E39" s="284">
        <v>44507</v>
      </c>
      <c r="F39" s="284">
        <v>44599</v>
      </c>
      <c r="G39" s="285">
        <f t="shared" si="0"/>
        <v>92</v>
      </c>
      <c r="H39" s="286">
        <f t="shared" si="1"/>
        <v>0.03</v>
      </c>
      <c r="I39" s="287">
        <f t="shared" si="2"/>
        <v>274.14</v>
      </c>
    </row>
    <row r="40" spans="1:9" x14ac:dyDescent="0.35">
      <c r="A40" s="281" t="s">
        <v>1980</v>
      </c>
      <c r="B40" s="282">
        <v>7</v>
      </c>
      <c r="C40" s="281" t="s">
        <v>1997</v>
      </c>
      <c r="D40" s="283">
        <v>7737</v>
      </c>
      <c r="E40" s="284">
        <v>44546</v>
      </c>
      <c r="F40" s="284">
        <v>44599</v>
      </c>
      <c r="G40" s="285">
        <f t="shared" si="0"/>
        <v>53</v>
      </c>
      <c r="H40" s="286">
        <f t="shared" si="1"/>
        <v>0.01</v>
      </c>
      <c r="I40" s="287">
        <f t="shared" si="2"/>
        <v>77.37</v>
      </c>
    </row>
    <row r="41" spans="1:9" x14ac:dyDescent="0.35">
      <c r="A41" s="281" t="s">
        <v>1942</v>
      </c>
      <c r="B41" s="282">
        <v>8</v>
      </c>
      <c r="C41" s="281" t="s">
        <v>1998</v>
      </c>
      <c r="D41" s="283">
        <v>4137</v>
      </c>
      <c r="E41" s="284">
        <v>44526</v>
      </c>
      <c r="F41" s="284">
        <v>44599</v>
      </c>
      <c r="G41" s="285">
        <f t="shared" si="0"/>
        <v>73</v>
      </c>
      <c r="H41" s="286">
        <f t="shared" si="1"/>
        <v>0.02</v>
      </c>
      <c r="I41" s="287">
        <f t="shared" si="2"/>
        <v>82.74</v>
      </c>
    </row>
    <row r="42" spans="1:9" x14ac:dyDescent="0.35">
      <c r="A42" s="281" t="s">
        <v>1966</v>
      </c>
      <c r="B42" s="282">
        <v>12</v>
      </c>
      <c r="C42" s="281" t="s">
        <v>1999</v>
      </c>
      <c r="D42" s="283">
        <v>6256</v>
      </c>
      <c r="E42" s="284">
        <v>44524</v>
      </c>
      <c r="F42" s="284">
        <v>44599</v>
      </c>
      <c r="G42" s="285">
        <f t="shared" si="0"/>
        <v>75</v>
      </c>
      <c r="H42" s="286">
        <f t="shared" si="1"/>
        <v>0.02</v>
      </c>
      <c r="I42" s="287">
        <f t="shared" si="2"/>
        <v>125.12</v>
      </c>
    </row>
    <row r="43" spans="1:9" x14ac:dyDescent="0.35">
      <c r="A43" s="281" t="s">
        <v>2000</v>
      </c>
      <c r="B43" s="282">
        <v>23</v>
      </c>
      <c r="C43" s="281" t="s">
        <v>2001</v>
      </c>
      <c r="D43" s="283">
        <v>1182</v>
      </c>
      <c r="E43" s="284">
        <v>44575</v>
      </c>
      <c r="F43" s="284">
        <v>44599</v>
      </c>
      <c r="G43" s="285">
        <f t="shared" si="0"/>
        <v>24</v>
      </c>
      <c r="H43" s="286">
        <f t="shared" si="1"/>
        <v>0</v>
      </c>
      <c r="I43" s="287">
        <f t="shared" si="2"/>
        <v>0</v>
      </c>
    </row>
    <row r="44" spans="1:9" x14ac:dyDescent="0.35">
      <c r="A44" s="281" t="s">
        <v>1960</v>
      </c>
      <c r="B44" s="282">
        <v>6</v>
      </c>
      <c r="C44" s="281" t="s">
        <v>2002</v>
      </c>
      <c r="D44" s="283">
        <v>6549</v>
      </c>
      <c r="E44" s="284">
        <v>44554</v>
      </c>
      <c r="F44" s="284">
        <v>44599</v>
      </c>
      <c r="G44" s="285">
        <f t="shared" si="0"/>
        <v>45</v>
      </c>
      <c r="H44" s="286">
        <f t="shared" si="1"/>
        <v>0.01</v>
      </c>
      <c r="I44" s="287">
        <f t="shared" si="2"/>
        <v>65.489999999999995</v>
      </c>
    </row>
    <row r="45" spans="1:9" x14ac:dyDescent="0.35">
      <c r="A45" s="281" t="s">
        <v>1969</v>
      </c>
      <c r="B45" s="282">
        <v>2</v>
      </c>
      <c r="C45" s="281" t="s">
        <v>2003</v>
      </c>
      <c r="D45" s="283">
        <v>2291</v>
      </c>
      <c r="E45" s="284">
        <v>44560</v>
      </c>
      <c r="F45" s="284">
        <v>44599</v>
      </c>
      <c r="G45" s="285">
        <f t="shared" si="0"/>
        <v>39</v>
      </c>
      <c r="H45" s="286">
        <f t="shared" si="1"/>
        <v>0.01</v>
      </c>
      <c r="I45" s="287">
        <f t="shared" si="2"/>
        <v>22.91</v>
      </c>
    </row>
    <row r="46" spans="1:9" x14ac:dyDescent="0.35">
      <c r="A46" s="281" t="s">
        <v>2004</v>
      </c>
      <c r="B46" s="282">
        <v>11</v>
      </c>
      <c r="C46" s="281" t="s">
        <v>2005</v>
      </c>
      <c r="D46" s="283">
        <v>5353</v>
      </c>
      <c r="E46" s="284">
        <v>44523</v>
      </c>
      <c r="F46" s="284">
        <v>44599</v>
      </c>
      <c r="G46" s="285">
        <f t="shared" si="0"/>
        <v>76</v>
      </c>
      <c r="H46" s="286">
        <f t="shared" si="1"/>
        <v>0.02</v>
      </c>
      <c r="I46" s="287">
        <f t="shared" si="2"/>
        <v>107.06</v>
      </c>
    </row>
    <row r="47" spans="1:9" x14ac:dyDescent="0.35">
      <c r="A47" s="281" t="s">
        <v>1976</v>
      </c>
      <c r="B47" s="282">
        <v>3</v>
      </c>
      <c r="C47" s="281" t="s">
        <v>2006</v>
      </c>
      <c r="D47" s="283">
        <v>8964</v>
      </c>
      <c r="E47" s="284">
        <v>44541</v>
      </c>
      <c r="F47" s="284">
        <v>44599</v>
      </c>
      <c r="G47" s="285">
        <f t="shared" si="0"/>
        <v>58</v>
      </c>
      <c r="H47" s="286">
        <f t="shared" si="1"/>
        <v>0.01</v>
      </c>
      <c r="I47" s="287">
        <f t="shared" si="2"/>
        <v>89.64</v>
      </c>
    </row>
    <row r="48" spans="1:9" x14ac:dyDescent="0.35">
      <c r="A48" s="281" t="s">
        <v>2004</v>
      </c>
      <c r="B48" s="282">
        <v>11</v>
      </c>
      <c r="C48" s="281" t="s">
        <v>2007</v>
      </c>
      <c r="D48" s="283">
        <v>7505</v>
      </c>
      <c r="E48" s="284">
        <v>44534</v>
      </c>
      <c r="F48" s="284">
        <v>44599</v>
      </c>
      <c r="G48" s="285">
        <f t="shared" si="0"/>
        <v>65</v>
      </c>
      <c r="H48" s="286">
        <f t="shared" si="1"/>
        <v>0.02</v>
      </c>
      <c r="I48" s="287">
        <f t="shared" si="2"/>
        <v>150.1</v>
      </c>
    </row>
    <row r="49" spans="1:9" x14ac:dyDescent="0.35">
      <c r="A49" s="281" t="s">
        <v>1945</v>
      </c>
      <c r="B49" s="282">
        <v>21</v>
      </c>
      <c r="C49" s="281" t="s">
        <v>2008</v>
      </c>
      <c r="D49" s="283">
        <v>9763</v>
      </c>
      <c r="E49" s="284">
        <v>44562</v>
      </c>
      <c r="F49" s="284">
        <v>44599</v>
      </c>
      <c r="G49" s="285">
        <f t="shared" si="0"/>
        <v>37</v>
      </c>
      <c r="H49" s="286">
        <f t="shared" si="1"/>
        <v>0.01</v>
      </c>
      <c r="I49" s="287">
        <f t="shared" si="2"/>
        <v>97.63</v>
      </c>
    </row>
    <row r="50" spans="1:9" x14ac:dyDescent="0.35">
      <c r="A50" s="281" t="s">
        <v>2009</v>
      </c>
      <c r="B50" s="282">
        <v>9</v>
      </c>
      <c r="C50" s="281" t="s">
        <v>2010</v>
      </c>
      <c r="D50" s="283">
        <v>1238</v>
      </c>
      <c r="E50" s="284">
        <v>44523</v>
      </c>
      <c r="F50" s="284">
        <v>44599</v>
      </c>
      <c r="G50" s="285">
        <f t="shared" si="0"/>
        <v>76</v>
      </c>
      <c r="H50" s="286">
        <f t="shared" si="1"/>
        <v>0.02</v>
      </c>
      <c r="I50" s="287">
        <f t="shared" si="2"/>
        <v>24.76</v>
      </c>
    </row>
    <row r="51" spans="1:9" x14ac:dyDescent="0.35">
      <c r="A51" s="281" t="s">
        <v>1980</v>
      </c>
      <c r="B51" s="282">
        <v>7</v>
      </c>
      <c r="C51" s="281" t="s">
        <v>2011</v>
      </c>
      <c r="D51" s="283">
        <v>2011</v>
      </c>
      <c r="E51" s="284">
        <v>44523</v>
      </c>
      <c r="F51" s="284">
        <v>44599</v>
      </c>
      <c r="G51" s="285">
        <f t="shared" si="0"/>
        <v>76</v>
      </c>
      <c r="H51" s="286">
        <f t="shared" si="1"/>
        <v>0.02</v>
      </c>
      <c r="I51" s="287">
        <f t="shared" si="2"/>
        <v>40.22</v>
      </c>
    </row>
    <row r="52" spans="1:9" x14ac:dyDescent="0.35">
      <c r="A52" s="281" t="s">
        <v>1939</v>
      </c>
      <c r="B52" s="282">
        <v>20</v>
      </c>
      <c r="C52" s="281" t="s">
        <v>2012</v>
      </c>
      <c r="D52" s="283">
        <v>9566</v>
      </c>
      <c r="E52" s="284">
        <v>44529</v>
      </c>
      <c r="F52" s="284">
        <v>44599</v>
      </c>
      <c r="G52" s="285">
        <f t="shared" si="0"/>
        <v>70</v>
      </c>
      <c r="H52" s="286">
        <f t="shared" si="1"/>
        <v>0.02</v>
      </c>
      <c r="I52" s="287">
        <f t="shared" si="2"/>
        <v>191.32</v>
      </c>
    </row>
    <row r="53" spans="1:9" x14ac:dyDescent="0.35">
      <c r="A53" s="281" t="s">
        <v>1945</v>
      </c>
      <c r="B53" s="282">
        <v>21</v>
      </c>
      <c r="C53" s="281" t="s">
        <v>2013</v>
      </c>
      <c r="D53" s="283">
        <v>7751</v>
      </c>
      <c r="E53" s="284">
        <v>44510</v>
      </c>
      <c r="F53" s="284">
        <v>44599</v>
      </c>
      <c r="G53" s="285">
        <f t="shared" si="0"/>
        <v>89</v>
      </c>
      <c r="H53" s="286">
        <f t="shared" si="1"/>
        <v>0.03</v>
      </c>
      <c r="I53" s="287">
        <f t="shared" si="2"/>
        <v>232.53</v>
      </c>
    </row>
    <row r="54" spans="1:9" x14ac:dyDescent="0.35">
      <c r="A54" s="281" t="s">
        <v>1960</v>
      </c>
      <c r="B54" s="282">
        <v>6</v>
      </c>
      <c r="C54" s="281" t="s">
        <v>2014</v>
      </c>
      <c r="D54" s="283">
        <v>5126</v>
      </c>
      <c r="E54" s="284">
        <v>44573</v>
      </c>
      <c r="F54" s="284">
        <v>44599</v>
      </c>
      <c r="G54" s="285">
        <f t="shared" si="0"/>
        <v>26</v>
      </c>
      <c r="H54" s="286">
        <f t="shared" si="1"/>
        <v>0</v>
      </c>
      <c r="I54" s="287">
        <f t="shared" si="2"/>
        <v>0</v>
      </c>
    </row>
    <row r="55" spans="1:9" x14ac:dyDescent="0.35">
      <c r="A55" s="281" t="s">
        <v>2000</v>
      </c>
      <c r="B55" s="282">
        <v>23</v>
      </c>
      <c r="C55" s="281" t="s">
        <v>2015</v>
      </c>
      <c r="D55" s="283">
        <v>5201</v>
      </c>
      <c r="E55" s="284">
        <v>44570</v>
      </c>
      <c r="F55" s="284">
        <v>44599</v>
      </c>
      <c r="G55" s="285">
        <f t="shared" si="0"/>
        <v>29</v>
      </c>
      <c r="H55" s="286">
        <f t="shared" si="1"/>
        <v>0</v>
      </c>
      <c r="I55" s="287">
        <f t="shared" si="2"/>
        <v>0</v>
      </c>
    </row>
    <row r="56" spans="1:9" x14ac:dyDescent="0.35">
      <c r="A56" s="281" t="s">
        <v>1945</v>
      </c>
      <c r="B56" s="282">
        <v>21</v>
      </c>
      <c r="C56" s="281" t="s">
        <v>2016</v>
      </c>
      <c r="D56" s="283">
        <v>5226</v>
      </c>
      <c r="E56" s="284">
        <v>44562</v>
      </c>
      <c r="F56" s="284">
        <v>44599</v>
      </c>
      <c r="G56" s="285">
        <f t="shared" si="0"/>
        <v>37</v>
      </c>
      <c r="H56" s="286">
        <f t="shared" si="1"/>
        <v>0.01</v>
      </c>
      <c r="I56" s="287">
        <f t="shared" si="2"/>
        <v>52.26</v>
      </c>
    </row>
    <row r="57" spans="1:9" x14ac:dyDescent="0.35">
      <c r="A57" s="281" t="s">
        <v>1948</v>
      </c>
      <c r="B57" s="282">
        <v>18</v>
      </c>
      <c r="C57" s="281" t="s">
        <v>2017</v>
      </c>
      <c r="D57" s="283">
        <v>1051</v>
      </c>
      <c r="E57" s="284">
        <v>44537</v>
      </c>
      <c r="F57" s="284">
        <v>44599</v>
      </c>
      <c r="G57" s="285">
        <f t="shared" si="0"/>
        <v>62</v>
      </c>
      <c r="H57" s="286">
        <f t="shared" si="1"/>
        <v>0.02</v>
      </c>
      <c r="I57" s="287">
        <f t="shared" si="2"/>
        <v>21.02</v>
      </c>
    </row>
    <row r="58" spans="1:9" x14ac:dyDescent="0.35">
      <c r="A58" s="281" t="s">
        <v>2018</v>
      </c>
      <c r="B58" s="282">
        <v>4</v>
      </c>
      <c r="C58" s="281" t="s">
        <v>2019</v>
      </c>
      <c r="D58" s="283">
        <v>5842</v>
      </c>
      <c r="E58" s="284">
        <v>44578</v>
      </c>
      <c r="F58" s="284">
        <v>44599</v>
      </c>
      <c r="G58" s="285">
        <f t="shared" si="0"/>
        <v>21</v>
      </c>
      <c r="H58" s="286">
        <f t="shared" si="1"/>
        <v>0</v>
      </c>
      <c r="I58" s="287">
        <f t="shared" si="2"/>
        <v>0</v>
      </c>
    </row>
    <row r="59" spans="1:9" x14ac:dyDescent="0.35">
      <c r="A59" s="281" t="s">
        <v>2000</v>
      </c>
      <c r="B59" s="282">
        <v>23</v>
      </c>
      <c r="C59" s="281" t="s">
        <v>2020</v>
      </c>
      <c r="D59" s="283">
        <v>3415</v>
      </c>
      <c r="E59" s="284">
        <v>44547</v>
      </c>
      <c r="F59" s="284">
        <v>44599</v>
      </c>
      <c r="G59" s="285">
        <f t="shared" si="0"/>
        <v>52</v>
      </c>
      <c r="H59" s="286">
        <f t="shared" si="1"/>
        <v>0.01</v>
      </c>
      <c r="I59" s="287">
        <f t="shared" si="2"/>
        <v>34.15</v>
      </c>
    </row>
    <row r="60" spans="1:9" x14ac:dyDescent="0.35">
      <c r="A60" s="281" t="s">
        <v>1945</v>
      </c>
      <c r="B60" s="282">
        <v>21</v>
      </c>
      <c r="C60" s="281" t="s">
        <v>2021</v>
      </c>
      <c r="D60" s="283">
        <v>1543</v>
      </c>
      <c r="E60" s="284">
        <v>44512</v>
      </c>
      <c r="F60" s="284">
        <v>44599</v>
      </c>
      <c r="G60" s="285">
        <f t="shared" si="0"/>
        <v>87</v>
      </c>
      <c r="H60" s="286">
        <f t="shared" si="1"/>
        <v>0.03</v>
      </c>
      <c r="I60" s="287">
        <f t="shared" si="2"/>
        <v>46.29</v>
      </c>
    </row>
    <row r="61" spans="1:9" x14ac:dyDescent="0.35">
      <c r="A61" s="281" t="s">
        <v>1989</v>
      </c>
      <c r="B61" s="282">
        <v>14</v>
      </c>
      <c r="C61" s="281" t="s">
        <v>2022</v>
      </c>
      <c r="D61" s="283">
        <v>9879</v>
      </c>
      <c r="E61" s="284">
        <v>44566</v>
      </c>
      <c r="F61" s="284">
        <v>44599</v>
      </c>
      <c r="G61" s="285">
        <f t="shared" si="0"/>
        <v>33</v>
      </c>
      <c r="H61" s="286">
        <f t="shared" si="1"/>
        <v>0.01</v>
      </c>
      <c r="I61" s="287">
        <f t="shared" si="2"/>
        <v>98.79</v>
      </c>
    </row>
    <row r="62" spans="1:9" x14ac:dyDescent="0.35">
      <c r="A62" s="281" t="s">
        <v>1977</v>
      </c>
      <c r="B62" s="282">
        <v>19</v>
      </c>
      <c r="C62" s="281" t="s">
        <v>2023</v>
      </c>
      <c r="D62" s="283">
        <v>6048</v>
      </c>
      <c r="E62" s="284">
        <v>44579</v>
      </c>
      <c r="F62" s="284">
        <v>44599</v>
      </c>
      <c r="G62" s="285">
        <f t="shared" si="0"/>
        <v>20</v>
      </c>
      <c r="H62" s="286">
        <f t="shared" si="1"/>
        <v>0</v>
      </c>
      <c r="I62" s="287">
        <f t="shared" si="2"/>
        <v>0</v>
      </c>
    </row>
    <row r="63" spans="1:9" x14ac:dyDescent="0.35">
      <c r="A63" s="281" t="s">
        <v>1992</v>
      </c>
      <c r="B63" s="282">
        <v>19</v>
      </c>
      <c r="C63" s="281" t="s">
        <v>2024</v>
      </c>
      <c r="D63" s="283">
        <v>3848</v>
      </c>
      <c r="E63" s="284">
        <v>44506</v>
      </c>
      <c r="F63" s="284">
        <v>44599</v>
      </c>
      <c r="G63" s="285">
        <f t="shared" si="0"/>
        <v>93</v>
      </c>
      <c r="H63" s="286">
        <f t="shared" si="1"/>
        <v>0.03</v>
      </c>
      <c r="I63" s="287">
        <f t="shared" si="2"/>
        <v>115.44</v>
      </c>
    </row>
    <row r="64" spans="1:9" x14ac:dyDescent="0.35">
      <c r="A64" s="281" t="s">
        <v>1980</v>
      </c>
      <c r="B64" s="282">
        <v>7</v>
      </c>
      <c r="C64" s="281" t="s">
        <v>2025</v>
      </c>
      <c r="D64" s="283">
        <v>9985</v>
      </c>
      <c r="E64" s="284">
        <v>44472</v>
      </c>
      <c r="F64" s="284">
        <v>44599</v>
      </c>
      <c r="G64" s="285">
        <f t="shared" si="0"/>
        <v>127</v>
      </c>
      <c r="H64" s="286">
        <f t="shared" si="1"/>
        <v>0.03</v>
      </c>
      <c r="I64" s="287">
        <f t="shared" si="2"/>
        <v>299.55</v>
      </c>
    </row>
    <row r="65" spans="1:9" x14ac:dyDescent="0.35">
      <c r="A65" s="281" t="s">
        <v>2026</v>
      </c>
      <c r="B65" s="282">
        <v>5</v>
      </c>
      <c r="C65" s="281" t="s">
        <v>2027</v>
      </c>
      <c r="D65" s="283">
        <v>3050</v>
      </c>
      <c r="E65" s="284">
        <v>44564</v>
      </c>
      <c r="F65" s="284">
        <v>44599</v>
      </c>
      <c r="G65" s="285">
        <f t="shared" si="0"/>
        <v>35</v>
      </c>
      <c r="H65" s="286">
        <f t="shared" si="1"/>
        <v>0.01</v>
      </c>
      <c r="I65" s="287">
        <f t="shared" si="2"/>
        <v>30.5</v>
      </c>
    </row>
    <row r="66" spans="1:9" x14ac:dyDescent="0.35">
      <c r="A66" s="281" t="s">
        <v>2026</v>
      </c>
      <c r="B66" s="282">
        <v>5</v>
      </c>
      <c r="C66" s="281" t="s">
        <v>2028</v>
      </c>
      <c r="D66" s="283">
        <v>9681</v>
      </c>
      <c r="E66" s="284">
        <v>44528</v>
      </c>
      <c r="F66" s="284">
        <v>44599</v>
      </c>
      <c r="G66" s="285">
        <f t="shared" si="0"/>
        <v>71</v>
      </c>
      <c r="H66" s="286">
        <f t="shared" si="1"/>
        <v>0.02</v>
      </c>
      <c r="I66" s="287">
        <f t="shared" si="2"/>
        <v>193.62</v>
      </c>
    </row>
    <row r="67" spans="1:9" x14ac:dyDescent="0.35">
      <c r="A67" s="281" t="s">
        <v>1989</v>
      </c>
      <c r="B67" s="282">
        <v>14</v>
      </c>
      <c r="C67" s="281" t="s">
        <v>2029</v>
      </c>
      <c r="D67" s="283">
        <v>9916</v>
      </c>
      <c r="E67" s="284">
        <v>44570</v>
      </c>
      <c r="F67" s="284">
        <v>44599</v>
      </c>
      <c r="G67" s="285">
        <f t="shared" si="0"/>
        <v>29</v>
      </c>
      <c r="H67" s="286">
        <f t="shared" si="1"/>
        <v>0</v>
      </c>
      <c r="I67" s="287">
        <f t="shared" si="2"/>
        <v>0</v>
      </c>
    </row>
    <row r="68" spans="1:9" x14ac:dyDescent="0.35">
      <c r="A68" s="281" t="s">
        <v>2000</v>
      </c>
      <c r="B68" s="282">
        <v>23</v>
      </c>
      <c r="C68" s="281" t="s">
        <v>2030</v>
      </c>
      <c r="D68" s="283">
        <v>8362</v>
      </c>
      <c r="E68" s="284">
        <v>44532</v>
      </c>
      <c r="F68" s="284">
        <v>44599</v>
      </c>
      <c r="G68" s="285">
        <f t="shared" si="0"/>
        <v>67</v>
      </c>
      <c r="H68" s="286">
        <f t="shared" si="1"/>
        <v>0.02</v>
      </c>
      <c r="I68" s="287">
        <f t="shared" si="2"/>
        <v>167.24</v>
      </c>
    </row>
    <row r="69" spans="1:9" x14ac:dyDescent="0.35">
      <c r="A69" s="281" t="s">
        <v>1994</v>
      </c>
      <c r="B69" s="282">
        <v>13</v>
      </c>
      <c r="C69" s="281" t="s">
        <v>2031</v>
      </c>
      <c r="D69" s="283">
        <v>7721</v>
      </c>
      <c r="E69" s="284">
        <v>44522</v>
      </c>
      <c r="F69" s="284">
        <v>44599</v>
      </c>
      <c r="G69" s="285">
        <f t="shared" si="0"/>
        <v>77</v>
      </c>
      <c r="H69" s="286">
        <f t="shared" si="1"/>
        <v>0.02</v>
      </c>
      <c r="I69" s="287">
        <f t="shared" si="2"/>
        <v>154.42000000000002</v>
      </c>
    </row>
    <row r="70" spans="1:9" x14ac:dyDescent="0.35">
      <c r="A70" s="281" t="s">
        <v>1948</v>
      </c>
      <c r="B70" s="282">
        <v>18</v>
      </c>
      <c r="C70" s="281" t="s">
        <v>2032</v>
      </c>
      <c r="D70" s="283">
        <v>8931</v>
      </c>
      <c r="E70" s="284">
        <v>44518</v>
      </c>
      <c r="F70" s="284">
        <v>44599</v>
      </c>
      <c r="G70" s="285">
        <f t="shared" si="0"/>
        <v>81</v>
      </c>
      <c r="H70" s="286">
        <f t="shared" si="1"/>
        <v>0.03</v>
      </c>
      <c r="I70" s="287">
        <f t="shared" si="2"/>
        <v>267.93</v>
      </c>
    </row>
    <row r="71" spans="1:9" x14ac:dyDescent="0.35">
      <c r="A71" s="281" t="s">
        <v>2004</v>
      </c>
      <c r="B71" s="282">
        <v>11</v>
      </c>
      <c r="C71" s="281" t="s">
        <v>2033</v>
      </c>
      <c r="D71" s="283">
        <v>9917</v>
      </c>
      <c r="E71" s="284">
        <v>44557</v>
      </c>
      <c r="F71" s="284">
        <v>44599</v>
      </c>
      <c r="G71" s="285">
        <f t="shared" si="0"/>
        <v>42</v>
      </c>
      <c r="H71" s="286">
        <f t="shared" si="1"/>
        <v>0.01</v>
      </c>
      <c r="I71" s="287">
        <f t="shared" si="2"/>
        <v>99.17</v>
      </c>
    </row>
    <row r="72" spans="1:9" x14ac:dyDescent="0.35">
      <c r="A72" s="281" t="s">
        <v>1957</v>
      </c>
      <c r="B72" s="282">
        <v>10</v>
      </c>
      <c r="C72" s="281" t="s">
        <v>2034</v>
      </c>
      <c r="D72" s="283">
        <v>8157</v>
      </c>
      <c r="E72" s="284">
        <v>44570</v>
      </c>
      <c r="F72" s="284">
        <v>44599</v>
      </c>
      <c r="G72" s="285">
        <f t="shared" si="0"/>
        <v>29</v>
      </c>
      <c r="H72" s="286">
        <f t="shared" si="1"/>
        <v>0</v>
      </c>
      <c r="I72" s="287">
        <f t="shared" si="2"/>
        <v>0</v>
      </c>
    </row>
    <row r="73" spans="1:9" x14ac:dyDescent="0.35">
      <c r="A73" s="281" t="s">
        <v>1954</v>
      </c>
      <c r="B73" s="282">
        <v>24</v>
      </c>
      <c r="C73" s="281" t="s">
        <v>2035</v>
      </c>
      <c r="D73" s="283">
        <v>5500</v>
      </c>
      <c r="E73" s="284">
        <v>44564</v>
      </c>
      <c r="F73" s="284">
        <v>44599</v>
      </c>
      <c r="G73" s="285">
        <f t="shared" si="0"/>
        <v>35</v>
      </c>
      <c r="H73" s="286">
        <f t="shared" si="1"/>
        <v>0.01</v>
      </c>
      <c r="I73" s="287">
        <f t="shared" si="2"/>
        <v>55</v>
      </c>
    </row>
    <row r="74" spans="1:9" x14ac:dyDescent="0.35">
      <c r="A74" s="281" t="s">
        <v>1942</v>
      </c>
      <c r="B74" s="282">
        <v>8</v>
      </c>
      <c r="C74" s="281" t="s">
        <v>2036</v>
      </c>
      <c r="D74" s="283">
        <v>3117</v>
      </c>
      <c r="E74" s="284">
        <v>44578</v>
      </c>
      <c r="F74" s="284">
        <v>44599</v>
      </c>
      <c r="G74" s="285">
        <f t="shared" si="0"/>
        <v>21</v>
      </c>
      <c r="H74" s="286">
        <f t="shared" si="1"/>
        <v>0</v>
      </c>
      <c r="I74" s="287">
        <f t="shared" si="2"/>
        <v>0</v>
      </c>
    </row>
    <row r="75" spans="1:9" x14ac:dyDescent="0.35">
      <c r="A75" s="281" t="s">
        <v>1951</v>
      </c>
      <c r="B75" s="282">
        <v>25</v>
      </c>
      <c r="C75" s="281" t="s">
        <v>2037</v>
      </c>
      <c r="D75" s="283">
        <v>4826</v>
      </c>
      <c r="E75" s="284">
        <v>44514</v>
      </c>
      <c r="F75" s="284">
        <v>44599</v>
      </c>
      <c r="G75" s="285">
        <f t="shared" si="0"/>
        <v>85</v>
      </c>
      <c r="H75" s="286">
        <f t="shared" si="1"/>
        <v>0.03</v>
      </c>
      <c r="I75" s="287">
        <f t="shared" si="2"/>
        <v>144.78</v>
      </c>
    </row>
    <row r="76" spans="1:9" x14ac:dyDescent="0.35">
      <c r="A76" s="281" t="s">
        <v>1951</v>
      </c>
      <c r="B76" s="282">
        <v>25</v>
      </c>
      <c r="C76" s="281" t="s">
        <v>2038</v>
      </c>
      <c r="D76" s="283">
        <v>4834</v>
      </c>
      <c r="E76" s="284">
        <v>44559</v>
      </c>
      <c r="F76" s="284">
        <v>44599</v>
      </c>
      <c r="G76" s="285">
        <f t="shared" si="0"/>
        <v>40</v>
      </c>
      <c r="H76" s="286">
        <f t="shared" si="1"/>
        <v>0.01</v>
      </c>
      <c r="I76" s="287">
        <f t="shared" si="2"/>
        <v>48.34</v>
      </c>
    </row>
    <row r="77" spans="1:9" x14ac:dyDescent="0.35">
      <c r="A77" s="281" t="s">
        <v>1992</v>
      </c>
      <c r="B77" s="282">
        <v>19</v>
      </c>
      <c r="C77" s="281" t="s">
        <v>2039</v>
      </c>
      <c r="D77" s="283">
        <v>1799</v>
      </c>
      <c r="E77" s="284">
        <v>44516</v>
      </c>
      <c r="F77" s="284">
        <v>44599</v>
      </c>
      <c r="G77" s="285">
        <f t="shared" ref="G77:G140" si="3">F77-E77</f>
        <v>83</v>
      </c>
      <c r="H77" s="286">
        <f t="shared" ref="H77:H140" si="4">IF(G77&lt;=30,0,IF(G77&lt;60,1%,IF(G77&lt;80,2%,3%)))</f>
        <v>0.03</v>
      </c>
      <c r="I77" s="287">
        <f t="shared" ref="I77:I140" si="5">H77*D77</f>
        <v>53.97</v>
      </c>
    </row>
    <row r="78" spans="1:9" x14ac:dyDescent="0.35">
      <c r="A78" s="281" t="s">
        <v>1976</v>
      </c>
      <c r="B78" s="282">
        <v>3</v>
      </c>
      <c r="C78" s="281" t="s">
        <v>2040</v>
      </c>
      <c r="D78" s="283">
        <v>2366</v>
      </c>
      <c r="E78" s="284">
        <v>44531</v>
      </c>
      <c r="F78" s="284">
        <v>44599</v>
      </c>
      <c r="G78" s="285">
        <f t="shared" si="3"/>
        <v>68</v>
      </c>
      <c r="H78" s="286">
        <f t="shared" si="4"/>
        <v>0.02</v>
      </c>
      <c r="I78" s="287">
        <f t="shared" si="5"/>
        <v>47.32</v>
      </c>
    </row>
    <row r="79" spans="1:9" x14ac:dyDescent="0.35">
      <c r="A79" s="281" t="s">
        <v>1977</v>
      </c>
      <c r="B79" s="282">
        <v>22</v>
      </c>
      <c r="C79" s="281" t="s">
        <v>2041</v>
      </c>
      <c r="D79" s="283">
        <v>3695</v>
      </c>
      <c r="E79" s="284">
        <v>44565</v>
      </c>
      <c r="F79" s="284">
        <v>44599</v>
      </c>
      <c r="G79" s="285">
        <f t="shared" si="3"/>
        <v>34</v>
      </c>
      <c r="H79" s="286">
        <f t="shared" si="4"/>
        <v>0.01</v>
      </c>
      <c r="I79" s="287">
        <f t="shared" si="5"/>
        <v>36.950000000000003</v>
      </c>
    </row>
    <row r="80" spans="1:9" x14ac:dyDescent="0.35">
      <c r="A80" s="281" t="s">
        <v>1945</v>
      </c>
      <c r="B80" s="282">
        <v>21</v>
      </c>
      <c r="C80" s="281" t="s">
        <v>2042</v>
      </c>
      <c r="D80" s="283">
        <v>8551</v>
      </c>
      <c r="E80" s="284">
        <v>44519</v>
      </c>
      <c r="F80" s="284">
        <v>44599</v>
      </c>
      <c r="G80" s="285">
        <f t="shared" si="3"/>
        <v>80</v>
      </c>
      <c r="H80" s="286">
        <f t="shared" si="4"/>
        <v>0.03</v>
      </c>
      <c r="I80" s="287">
        <f t="shared" si="5"/>
        <v>256.52999999999997</v>
      </c>
    </row>
    <row r="81" spans="1:9" x14ac:dyDescent="0.35">
      <c r="A81" s="281" t="s">
        <v>1939</v>
      </c>
      <c r="B81" s="282">
        <v>20</v>
      </c>
      <c r="C81" s="281" t="s">
        <v>2043</v>
      </c>
      <c r="D81" s="283">
        <v>7049</v>
      </c>
      <c r="E81" s="284">
        <v>44511</v>
      </c>
      <c r="F81" s="284">
        <v>44599</v>
      </c>
      <c r="G81" s="285">
        <f t="shared" si="3"/>
        <v>88</v>
      </c>
      <c r="H81" s="286">
        <f t="shared" si="4"/>
        <v>0.03</v>
      </c>
      <c r="I81" s="287">
        <f t="shared" si="5"/>
        <v>211.47</v>
      </c>
    </row>
    <row r="82" spans="1:9" x14ac:dyDescent="0.35">
      <c r="A82" s="281" t="s">
        <v>1951</v>
      </c>
      <c r="B82" s="282">
        <v>25</v>
      </c>
      <c r="C82" s="281" t="s">
        <v>2044</v>
      </c>
      <c r="D82" s="283">
        <v>2954</v>
      </c>
      <c r="E82" s="284">
        <v>44503</v>
      </c>
      <c r="F82" s="284">
        <v>44599</v>
      </c>
      <c r="G82" s="285">
        <f t="shared" si="3"/>
        <v>96</v>
      </c>
      <c r="H82" s="286">
        <f t="shared" si="4"/>
        <v>0.03</v>
      </c>
      <c r="I82" s="287">
        <f t="shared" si="5"/>
        <v>88.61999999999999</v>
      </c>
    </row>
    <row r="83" spans="1:9" x14ac:dyDescent="0.35">
      <c r="A83" s="281" t="s">
        <v>2018</v>
      </c>
      <c r="B83" s="282">
        <v>4</v>
      </c>
      <c r="C83" s="281" t="s">
        <v>2045</v>
      </c>
      <c r="D83" s="283">
        <v>9115</v>
      </c>
      <c r="E83" s="284">
        <v>44517</v>
      </c>
      <c r="F83" s="284">
        <v>44599</v>
      </c>
      <c r="G83" s="285">
        <f t="shared" si="3"/>
        <v>82</v>
      </c>
      <c r="H83" s="286">
        <f t="shared" si="4"/>
        <v>0.03</v>
      </c>
      <c r="I83" s="287">
        <f t="shared" si="5"/>
        <v>273.45</v>
      </c>
    </row>
    <row r="84" spans="1:9" x14ac:dyDescent="0.35">
      <c r="A84" s="281" t="s">
        <v>1989</v>
      </c>
      <c r="B84" s="282">
        <v>14</v>
      </c>
      <c r="C84" s="281" t="s">
        <v>2046</v>
      </c>
      <c r="D84" s="283">
        <v>8890</v>
      </c>
      <c r="E84" s="284">
        <v>44519</v>
      </c>
      <c r="F84" s="284">
        <v>44599</v>
      </c>
      <c r="G84" s="285">
        <f t="shared" si="3"/>
        <v>80</v>
      </c>
      <c r="H84" s="286">
        <f t="shared" si="4"/>
        <v>0.03</v>
      </c>
      <c r="I84" s="287">
        <f t="shared" si="5"/>
        <v>266.7</v>
      </c>
    </row>
    <row r="85" spans="1:9" x14ac:dyDescent="0.35">
      <c r="A85" s="281" t="s">
        <v>1978</v>
      </c>
      <c r="B85" s="282">
        <v>15</v>
      </c>
      <c r="C85" s="281" t="s">
        <v>2047</v>
      </c>
      <c r="D85" s="283">
        <v>9728</v>
      </c>
      <c r="E85" s="284">
        <v>44503</v>
      </c>
      <c r="F85" s="284">
        <v>44599</v>
      </c>
      <c r="G85" s="285">
        <f t="shared" si="3"/>
        <v>96</v>
      </c>
      <c r="H85" s="286">
        <f t="shared" si="4"/>
        <v>0.03</v>
      </c>
      <c r="I85" s="287">
        <f t="shared" si="5"/>
        <v>291.83999999999997</v>
      </c>
    </row>
    <row r="86" spans="1:9" x14ac:dyDescent="0.35">
      <c r="A86" s="281" t="s">
        <v>1969</v>
      </c>
      <c r="B86" s="282">
        <v>2</v>
      </c>
      <c r="C86" s="281" t="s">
        <v>2048</v>
      </c>
      <c r="D86" s="283">
        <v>9859</v>
      </c>
      <c r="E86" s="284">
        <v>44573</v>
      </c>
      <c r="F86" s="284">
        <v>44599</v>
      </c>
      <c r="G86" s="285">
        <f t="shared" si="3"/>
        <v>26</v>
      </c>
      <c r="H86" s="286">
        <f t="shared" si="4"/>
        <v>0</v>
      </c>
      <c r="I86" s="287">
        <f t="shared" si="5"/>
        <v>0</v>
      </c>
    </row>
    <row r="87" spans="1:9" x14ac:dyDescent="0.35">
      <c r="A87" s="281" t="s">
        <v>1978</v>
      </c>
      <c r="B87" s="282">
        <v>15</v>
      </c>
      <c r="C87" s="281" t="s">
        <v>2049</v>
      </c>
      <c r="D87" s="283">
        <v>7832</v>
      </c>
      <c r="E87" s="284">
        <v>44545</v>
      </c>
      <c r="F87" s="284">
        <v>44599</v>
      </c>
      <c r="G87" s="285">
        <f t="shared" si="3"/>
        <v>54</v>
      </c>
      <c r="H87" s="286">
        <f t="shared" si="4"/>
        <v>0.01</v>
      </c>
      <c r="I87" s="287">
        <f t="shared" si="5"/>
        <v>78.320000000000007</v>
      </c>
    </row>
    <row r="88" spans="1:9" x14ac:dyDescent="0.35">
      <c r="A88" s="281" t="s">
        <v>2009</v>
      </c>
      <c r="B88" s="282">
        <v>9</v>
      </c>
      <c r="C88" s="281" t="s">
        <v>2050</v>
      </c>
      <c r="D88" s="283">
        <v>4839</v>
      </c>
      <c r="E88" s="284">
        <v>44543</v>
      </c>
      <c r="F88" s="284">
        <v>44599</v>
      </c>
      <c r="G88" s="285">
        <f t="shared" si="3"/>
        <v>56</v>
      </c>
      <c r="H88" s="286">
        <f t="shared" si="4"/>
        <v>0.01</v>
      </c>
      <c r="I88" s="287">
        <f t="shared" si="5"/>
        <v>48.39</v>
      </c>
    </row>
    <row r="89" spans="1:9" x14ac:dyDescent="0.35">
      <c r="A89" s="281" t="s">
        <v>1966</v>
      </c>
      <c r="B89" s="282">
        <v>12</v>
      </c>
      <c r="C89" s="281" t="s">
        <v>2051</v>
      </c>
      <c r="D89" s="283">
        <v>3198</v>
      </c>
      <c r="E89" s="284">
        <v>44525</v>
      </c>
      <c r="F89" s="284">
        <v>44599</v>
      </c>
      <c r="G89" s="285">
        <f t="shared" si="3"/>
        <v>74</v>
      </c>
      <c r="H89" s="286">
        <f t="shared" si="4"/>
        <v>0.02</v>
      </c>
      <c r="I89" s="287">
        <f t="shared" si="5"/>
        <v>63.96</v>
      </c>
    </row>
    <row r="90" spans="1:9" x14ac:dyDescent="0.35">
      <c r="A90" s="281" t="s">
        <v>1948</v>
      </c>
      <c r="B90" s="282">
        <v>18</v>
      </c>
      <c r="C90" s="281" t="s">
        <v>2052</v>
      </c>
      <c r="D90" s="283">
        <v>2354</v>
      </c>
      <c r="E90" s="284">
        <v>44532</v>
      </c>
      <c r="F90" s="284">
        <v>44599</v>
      </c>
      <c r="G90" s="285">
        <f t="shared" si="3"/>
        <v>67</v>
      </c>
      <c r="H90" s="286">
        <f t="shared" si="4"/>
        <v>0.02</v>
      </c>
      <c r="I90" s="287">
        <f t="shared" si="5"/>
        <v>47.08</v>
      </c>
    </row>
    <row r="91" spans="1:9" x14ac:dyDescent="0.35">
      <c r="A91" s="281" t="s">
        <v>1948</v>
      </c>
      <c r="B91" s="282">
        <v>18</v>
      </c>
      <c r="C91" s="281" t="s">
        <v>2053</v>
      </c>
      <c r="D91" s="283">
        <v>2002</v>
      </c>
      <c r="E91" s="284">
        <v>44575</v>
      </c>
      <c r="F91" s="284">
        <v>44599</v>
      </c>
      <c r="G91" s="285">
        <f t="shared" si="3"/>
        <v>24</v>
      </c>
      <c r="H91" s="286">
        <f t="shared" si="4"/>
        <v>0</v>
      </c>
      <c r="I91" s="287">
        <f t="shared" si="5"/>
        <v>0</v>
      </c>
    </row>
    <row r="92" spans="1:9" x14ac:dyDescent="0.35">
      <c r="A92" s="281" t="s">
        <v>2009</v>
      </c>
      <c r="B92" s="282">
        <v>9</v>
      </c>
      <c r="C92" s="281" t="s">
        <v>2054</v>
      </c>
      <c r="D92" s="283">
        <v>3844</v>
      </c>
      <c r="E92" s="284">
        <v>44539</v>
      </c>
      <c r="F92" s="284">
        <v>44599</v>
      </c>
      <c r="G92" s="285">
        <f t="shared" si="3"/>
        <v>60</v>
      </c>
      <c r="H92" s="286">
        <f t="shared" si="4"/>
        <v>0.02</v>
      </c>
      <c r="I92" s="287">
        <f t="shared" si="5"/>
        <v>76.88</v>
      </c>
    </row>
    <row r="93" spans="1:9" x14ac:dyDescent="0.35">
      <c r="A93" s="281" t="s">
        <v>1978</v>
      </c>
      <c r="B93" s="282">
        <v>15</v>
      </c>
      <c r="C93" s="281" t="s">
        <v>2055</v>
      </c>
      <c r="D93" s="283">
        <v>4616</v>
      </c>
      <c r="E93" s="284">
        <v>44544</v>
      </c>
      <c r="F93" s="284">
        <v>44599</v>
      </c>
      <c r="G93" s="285">
        <f t="shared" si="3"/>
        <v>55</v>
      </c>
      <c r="H93" s="286">
        <f t="shared" si="4"/>
        <v>0.01</v>
      </c>
      <c r="I93" s="287">
        <f t="shared" si="5"/>
        <v>46.160000000000004</v>
      </c>
    </row>
    <row r="94" spans="1:9" x14ac:dyDescent="0.35">
      <c r="A94" s="281" t="s">
        <v>2004</v>
      </c>
      <c r="B94" s="282">
        <v>11</v>
      </c>
      <c r="C94" s="281" t="s">
        <v>2056</v>
      </c>
      <c r="D94" s="283">
        <v>2906</v>
      </c>
      <c r="E94" s="284">
        <v>44526</v>
      </c>
      <c r="F94" s="284">
        <v>44599</v>
      </c>
      <c r="G94" s="285">
        <f t="shared" si="3"/>
        <v>73</v>
      </c>
      <c r="H94" s="286">
        <f t="shared" si="4"/>
        <v>0.02</v>
      </c>
      <c r="I94" s="287">
        <f t="shared" si="5"/>
        <v>58.120000000000005</v>
      </c>
    </row>
    <row r="95" spans="1:9" x14ac:dyDescent="0.35">
      <c r="A95" s="281" t="s">
        <v>2004</v>
      </c>
      <c r="B95" s="282">
        <v>11</v>
      </c>
      <c r="C95" s="281" t="s">
        <v>2057</v>
      </c>
      <c r="D95" s="283">
        <v>2703</v>
      </c>
      <c r="E95" s="284">
        <v>44536</v>
      </c>
      <c r="F95" s="284">
        <v>44599</v>
      </c>
      <c r="G95" s="285">
        <f t="shared" si="3"/>
        <v>63</v>
      </c>
      <c r="H95" s="286">
        <f t="shared" si="4"/>
        <v>0.02</v>
      </c>
      <c r="I95" s="287">
        <f t="shared" si="5"/>
        <v>54.06</v>
      </c>
    </row>
    <row r="96" spans="1:9" x14ac:dyDescent="0.35">
      <c r="A96" s="281" t="s">
        <v>1945</v>
      </c>
      <c r="B96" s="282">
        <v>21</v>
      </c>
      <c r="C96" s="281" t="s">
        <v>2058</v>
      </c>
      <c r="D96" s="283">
        <v>2636</v>
      </c>
      <c r="E96" s="284">
        <v>44520</v>
      </c>
      <c r="F96" s="284">
        <v>44599</v>
      </c>
      <c r="G96" s="285">
        <f t="shared" si="3"/>
        <v>79</v>
      </c>
      <c r="H96" s="286">
        <f t="shared" si="4"/>
        <v>0.02</v>
      </c>
      <c r="I96" s="287">
        <f t="shared" si="5"/>
        <v>52.72</v>
      </c>
    </row>
    <row r="97" spans="1:9" x14ac:dyDescent="0.35">
      <c r="A97" s="281" t="s">
        <v>1962</v>
      </c>
      <c r="B97" s="282">
        <v>1</v>
      </c>
      <c r="C97" s="281" t="s">
        <v>2059</v>
      </c>
      <c r="D97" s="283">
        <v>7109</v>
      </c>
      <c r="E97" s="284">
        <v>44531</v>
      </c>
      <c r="F97" s="284">
        <v>44599</v>
      </c>
      <c r="G97" s="285">
        <f t="shared" si="3"/>
        <v>68</v>
      </c>
      <c r="H97" s="286">
        <f t="shared" si="4"/>
        <v>0.02</v>
      </c>
      <c r="I97" s="287">
        <f t="shared" si="5"/>
        <v>142.18</v>
      </c>
    </row>
    <row r="98" spans="1:9" x14ac:dyDescent="0.35">
      <c r="A98" s="281" t="s">
        <v>1969</v>
      </c>
      <c r="B98" s="282">
        <v>2</v>
      </c>
      <c r="C98" s="281" t="s">
        <v>2060</v>
      </c>
      <c r="D98" s="283">
        <v>9090</v>
      </c>
      <c r="E98" s="284">
        <v>44569</v>
      </c>
      <c r="F98" s="284">
        <v>44599</v>
      </c>
      <c r="G98" s="285">
        <f t="shared" si="3"/>
        <v>30</v>
      </c>
      <c r="H98" s="286">
        <f t="shared" si="4"/>
        <v>0</v>
      </c>
      <c r="I98" s="287">
        <f t="shared" si="5"/>
        <v>0</v>
      </c>
    </row>
    <row r="99" spans="1:9" x14ac:dyDescent="0.35">
      <c r="A99" s="281" t="s">
        <v>2018</v>
      </c>
      <c r="B99" s="282">
        <v>4</v>
      </c>
      <c r="C99" s="281" t="s">
        <v>2061</v>
      </c>
      <c r="D99" s="283">
        <v>7861</v>
      </c>
      <c r="E99" s="284">
        <v>44577</v>
      </c>
      <c r="F99" s="284">
        <v>44599</v>
      </c>
      <c r="G99" s="285">
        <f t="shared" si="3"/>
        <v>22</v>
      </c>
      <c r="H99" s="286">
        <f t="shared" si="4"/>
        <v>0</v>
      </c>
      <c r="I99" s="287">
        <f t="shared" si="5"/>
        <v>0</v>
      </c>
    </row>
    <row r="100" spans="1:9" x14ac:dyDescent="0.35">
      <c r="A100" s="281" t="s">
        <v>1939</v>
      </c>
      <c r="B100" s="282">
        <v>20</v>
      </c>
      <c r="C100" s="281" t="s">
        <v>2062</v>
      </c>
      <c r="D100" s="283">
        <v>9938</v>
      </c>
      <c r="E100" s="284">
        <v>44555</v>
      </c>
      <c r="F100" s="284">
        <v>44599</v>
      </c>
      <c r="G100" s="285">
        <f t="shared" si="3"/>
        <v>44</v>
      </c>
      <c r="H100" s="286">
        <f t="shared" si="4"/>
        <v>0.01</v>
      </c>
      <c r="I100" s="287">
        <f t="shared" si="5"/>
        <v>99.38</v>
      </c>
    </row>
    <row r="101" spans="1:9" x14ac:dyDescent="0.35">
      <c r="A101" s="281" t="s">
        <v>1978</v>
      </c>
      <c r="B101" s="282">
        <v>15</v>
      </c>
      <c r="C101" s="281" t="s">
        <v>2063</v>
      </c>
      <c r="D101" s="283">
        <v>2971</v>
      </c>
      <c r="E101" s="284">
        <v>44527</v>
      </c>
      <c r="F101" s="284">
        <v>44599</v>
      </c>
      <c r="G101" s="285">
        <f t="shared" si="3"/>
        <v>72</v>
      </c>
      <c r="H101" s="286">
        <f t="shared" si="4"/>
        <v>0.02</v>
      </c>
      <c r="I101" s="287">
        <f t="shared" si="5"/>
        <v>59.42</v>
      </c>
    </row>
    <row r="102" spans="1:9" x14ac:dyDescent="0.35">
      <c r="A102" s="281" t="s">
        <v>1942</v>
      </c>
      <c r="B102" s="282">
        <v>8</v>
      </c>
      <c r="C102" s="281" t="s">
        <v>2064</v>
      </c>
      <c r="D102" s="283">
        <v>3504</v>
      </c>
      <c r="E102" s="284">
        <v>44557</v>
      </c>
      <c r="F102" s="284">
        <v>44599</v>
      </c>
      <c r="G102" s="285">
        <f t="shared" si="3"/>
        <v>42</v>
      </c>
      <c r="H102" s="286">
        <f t="shared" si="4"/>
        <v>0.01</v>
      </c>
      <c r="I102" s="287">
        <f t="shared" si="5"/>
        <v>35.04</v>
      </c>
    </row>
    <row r="103" spans="1:9" x14ac:dyDescent="0.35">
      <c r="A103" s="281" t="s">
        <v>1986</v>
      </c>
      <c r="B103" s="282">
        <v>16</v>
      </c>
      <c r="C103" s="281" t="s">
        <v>2065</v>
      </c>
      <c r="D103" s="283">
        <v>3196</v>
      </c>
      <c r="E103" s="284">
        <v>44552</v>
      </c>
      <c r="F103" s="284">
        <v>44599</v>
      </c>
      <c r="G103" s="285">
        <f t="shared" si="3"/>
        <v>47</v>
      </c>
      <c r="H103" s="286">
        <f t="shared" si="4"/>
        <v>0.01</v>
      </c>
      <c r="I103" s="287">
        <f t="shared" si="5"/>
        <v>31.96</v>
      </c>
    </row>
    <row r="104" spans="1:9" x14ac:dyDescent="0.35">
      <c r="A104" s="281" t="s">
        <v>2018</v>
      </c>
      <c r="B104" s="282">
        <v>4</v>
      </c>
      <c r="C104" s="281" t="s">
        <v>2066</v>
      </c>
      <c r="D104" s="283">
        <v>4586</v>
      </c>
      <c r="E104" s="284">
        <v>44531</v>
      </c>
      <c r="F104" s="284">
        <v>44599</v>
      </c>
      <c r="G104" s="285">
        <f t="shared" si="3"/>
        <v>68</v>
      </c>
      <c r="H104" s="286">
        <f t="shared" si="4"/>
        <v>0.02</v>
      </c>
      <c r="I104" s="287">
        <f t="shared" si="5"/>
        <v>91.72</v>
      </c>
    </row>
    <row r="105" spans="1:9" x14ac:dyDescent="0.35">
      <c r="A105" s="281" t="s">
        <v>1989</v>
      </c>
      <c r="B105" s="282">
        <v>14</v>
      </c>
      <c r="C105" s="281" t="s">
        <v>2067</v>
      </c>
      <c r="D105" s="283">
        <v>9713</v>
      </c>
      <c r="E105" s="284">
        <v>44503</v>
      </c>
      <c r="F105" s="284">
        <v>44599</v>
      </c>
      <c r="G105" s="285">
        <f t="shared" si="3"/>
        <v>96</v>
      </c>
      <c r="H105" s="286">
        <f t="shared" si="4"/>
        <v>0.03</v>
      </c>
      <c r="I105" s="287">
        <f t="shared" si="5"/>
        <v>291.39</v>
      </c>
    </row>
    <row r="106" spans="1:9" x14ac:dyDescent="0.35">
      <c r="A106" s="281" t="s">
        <v>2026</v>
      </c>
      <c r="B106" s="282">
        <v>5</v>
      </c>
      <c r="C106" s="281" t="s">
        <v>2068</v>
      </c>
      <c r="D106" s="283">
        <v>7970</v>
      </c>
      <c r="E106" s="284">
        <v>44547</v>
      </c>
      <c r="F106" s="284">
        <v>44599</v>
      </c>
      <c r="G106" s="285">
        <f t="shared" si="3"/>
        <v>52</v>
      </c>
      <c r="H106" s="286">
        <f t="shared" si="4"/>
        <v>0.01</v>
      </c>
      <c r="I106" s="287">
        <f t="shared" si="5"/>
        <v>79.7</v>
      </c>
    </row>
    <row r="107" spans="1:9" x14ac:dyDescent="0.35">
      <c r="A107" s="281" t="s">
        <v>1966</v>
      </c>
      <c r="B107" s="282">
        <v>12</v>
      </c>
      <c r="C107" s="281" t="s">
        <v>2069</v>
      </c>
      <c r="D107" s="283">
        <v>9303</v>
      </c>
      <c r="E107" s="284">
        <v>44564</v>
      </c>
      <c r="F107" s="284">
        <v>44599</v>
      </c>
      <c r="G107" s="285">
        <f t="shared" si="3"/>
        <v>35</v>
      </c>
      <c r="H107" s="286">
        <f t="shared" si="4"/>
        <v>0.01</v>
      </c>
      <c r="I107" s="287">
        <f t="shared" si="5"/>
        <v>93.03</v>
      </c>
    </row>
    <row r="108" spans="1:9" x14ac:dyDescent="0.35">
      <c r="A108" s="281" t="s">
        <v>1939</v>
      </c>
      <c r="B108" s="282">
        <v>20</v>
      </c>
      <c r="C108" s="281" t="s">
        <v>2070</v>
      </c>
      <c r="D108" s="283">
        <v>8604</v>
      </c>
      <c r="E108" s="284">
        <v>44579</v>
      </c>
      <c r="F108" s="284">
        <v>44599</v>
      </c>
      <c r="G108" s="285">
        <f t="shared" si="3"/>
        <v>20</v>
      </c>
      <c r="H108" s="286">
        <f t="shared" si="4"/>
        <v>0</v>
      </c>
      <c r="I108" s="287">
        <f t="shared" si="5"/>
        <v>0</v>
      </c>
    </row>
    <row r="109" spans="1:9" x14ac:dyDescent="0.35">
      <c r="A109" s="281" t="s">
        <v>1989</v>
      </c>
      <c r="B109" s="282">
        <v>14</v>
      </c>
      <c r="C109" s="281" t="s">
        <v>2071</v>
      </c>
      <c r="D109" s="283">
        <v>3956</v>
      </c>
      <c r="E109" s="284">
        <v>44513</v>
      </c>
      <c r="F109" s="284">
        <v>44599</v>
      </c>
      <c r="G109" s="285">
        <f t="shared" si="3"/>
        <v>86</v>
      </c>
      <c r="H109" s="286">
        <f t="shared" si="4"/>
        <v>0.03</v>
      </c>
      <c r="I109" s="287">
        <f t="shared" si="5"/>
        <v>118.67999999999999</v>
      </c>
    </row>
    <row r="110" spans="1:9" x14ac:dyDescent="0.35">
      <c r="A110" s="281" t="s">
        <v>1976</v>
      </c>
      <c r="B110" s="282">
        <v>3</v>
      </c>
      <c r="C110" s="281" t="s">
        <v>2072</v>
      </c>
      <c r="D110" s="283">
        <v>9490</v>
      </c>
      <c r="E110" s="284">
        <v>44511</v>
      </c>
      <c r="F110" s="284">
        <v>44599</v>
      </c>
      <c r="G110" s="285">
        <f t="shared" si="3"/>
        <v>88</v>
      </c>
      <c r="H110" s="286">
        <f t="shared" si="4"/>
        <v>0.03</v>
      </c>
      <c r="I110" s="287">
        <f t="shared" si="5"/>
        <v>284.7</v>
      </c>
    </row>
    <row r="111" spans="1:9" x14ac:dyDescent="0.35">
      <c r="A111" s="281" t="s">
        <v>1966</v>
      </c>
      <c r="B111" s="282">
        <v>12</v>
      </c>
      <c r="C111" s="281" t="s">
        <v>2073</v>
      </c>
      <c r="D111" s="283">
        <v>7716</v>
      </c>
      <c r="E111" s="284">
        <v>44580</v>
      </c>
      <c r="F111" s="284">
        <v>44599</v>
      </c>
      <c r="G111" s="285">
        <f t="shared" si="3"/>
        <v>19</v>
      </c>
      <c r="H111" s="286">
        <f t="shared" si="4"/>
        <v>0</v>
      </c>
      <c r="I111" s="287">
        <f t="shared" si="5"/>
        <v>0</v>
      </c>
    </row>
    <row r="112" spans="1:9" x14ac:dyDescent="0.35">
      <c r="A112" s="281" t="s">
        <v>1945</v>
      </c>
      <c r="B112" s="282">
        <v>21</v>
      </c>
      <c r="C112" s="281" t="s">
        <v>2074</v>
      </c>
      <c r="D112" s="283">
        <v>8653</v>
      </c>
      <c r="E112" s="284">
        <v>44545</v>
      </c>
      <c r="F112" s="284">
        <v>44599</v>
      </c>
      <c r="G112" s="285">
        <f t="shared" si="3"/>
        <v>54</v>
      </c>
      <c r="H112" s="286">
        <f t="shared" si="4"/>
        <v>0.01</v>
      </c>
      <c r="I112" s="287">
        <f t="shared" si="5"/>
        <v>86.53</v>
      </c>
    </row>
    <row r="113" spans="1:9" x14ac:dyDescent="0.35">
      <c r="A113" s="281" t="s">
        <v>1994</v>
      </c>
      <c r="B113" s="282">
        <v>13</v>
      </c>
      <c r="C113" s="281" t="s">
        <v>2075</v>
      </c>
      <c r="D113" s="283">
        <v>6450</v>
      </c>
      <c r="E113" s="284">
        <v>44542</v>
      </c>
      <c r="F113" s="284">
        <v>44599</v>
      </c>
      <c r="G113" s="285">
        <f t="shared" si="3"/>
        <v>57</v>
      </c>
      <c r="H113" s="286">
        <f t="shared" si="4"/>
        <v>0.01</v>
      </c>
      <c r="I113" s="287">
        <f t="shared" si="5"/>
        <v>64.5</v>
      </c>
    </row>
    <row r="114" spans="1:9" x14ac:dyDescent="0.35">
      <c r="A114" s="281" t="s">
        <v>1986</v>
      </c>
      <c r="B114" s="282">
        <v>16</v>
      </c>
      <c r="C114" s="281" t="s">
        <v>2076</v>
      </c>
      <c r="D114" s="283">
        <v>6842</v>
      </c>
      <c r="E114" s="284">
        <v>44550</v>
      </c>
      <c r="F114" s="284">
        <v>44599</v>
      </c>
      <c r="G114" s="285">
        <f t="shared" si="3"/>
        <v>49</v>
      </c>
      <c r="H114" s="286">
        <f t="shared" si="4"/>
        <v>0.01</v>
      </c>
      <c r="I114" s="287">
        <f t="shared" si="5"/>
        <v>68.42</v>
      </c>
    </row>
    <row r="115" spans="1:9" x14ac:dyDescent="0.35">
      <c r="A115" s="281" t="s">
        <v>2026</v>
      </c>
      <c r="B115" s="282">
        <v>5</v>
      </c>
      <c r="C115" s="281" t="s">
        <v>2077</v>
      </c>
      <c r="D115" s="283">
        <v>8077</v>
      </c>
      <c r="E115" s="284">
        <v>44550</v>
      </c>
      <c r="F115" s="284">
        <v>44599</v>
      </c>
      <c r="G115" s="285">
        <f t="shared" si="3"/>
        <v>49</v>
      </c>
      <c r="H115" s="286">
        <f t="shared" si="4"/>
        <v>0.01</v>
      </c>
      <c r="I115" s="287">
        <f t="shared" si="5"/>
        <v>80.77</v>
      </c>
    </row>
    <row r="116" spans="1:9" x14ac:dyDescent="0.35">
      <c r="A116" s="281" t="s">
        <v>1948</v>
      </c>
      <c r="B116" s="282">
        <v>18</v>
      </c>
      <c r="C116" s="281" t="s">
        <v>2078</v>
      </c>
      <c r="D116" s="283">
        <v>3087</v>
      </c>
      <c r="E116" s="284">
        <v>44523</v>
      </c>
      <c r="F116" s="284">
        <v>44599</v>
      </c>
      <c r="G116" s="285">
        <f t="shared" si="3"/>
        <v>76</v>
      </c>
      <c r="H116" s="286">
        <f t="shared" si="4"/>
        <v>0.02</v>
      </c>
      <c r="I116" s="287">
        <f t="shared" si="5"/>
        <v>61.74</v>
      </c>
    </row>
    <row r="117" spans="1:9" x14ac:dyDescent="0.35">
      <c r="A117" s="281" t="s">
        <v>1954</v>
      </c>
      <c r="B117" s="282">
        <v>24</v>
      </c>
      <c r="C117" s="281" t="s">
        <v>2079</v>
      </c>
      <c r="D117" s="283">
        <v>2671</v>
      </c>
      <c r="E117" s="284">
        <v>44545</v>
      </c>
      <c r="F117" s="284">
        <v>44599</v>
      </c>
      <c r="G117" s="285">
        <f t="shared" si="3"/>
        <v>54</v>
      </c>
      <c r="H117" s="286">
        <f t="shared" si="4"/>
        <v>0.01</v>
      </c>
      <c r="I117" s="287">
        <f t="shared" si="5"/>
        <v>26.71</v>
      </c>
    </row>
    <row r="118" spans="1:9" x14ac:dyDescent="0.35">
      <c r="A118" s="281" t="s">
        <v>1942</v>
      </c>
      <c r="B118" s="282">
        <v>8</v>
      </c>
      <c r="C118" s="281" t="s">
        <v>2080</v>
      </c>
      <c r="D118" s="283">
        <v>4058</v>
      </c>
      <c r="E118" s="284">
        <v>44511</v>
      </c>
      <c r="F118" s="284">
        <v>44599</v>
      </c>
      <c r="G118" s="285">
        <f t="shared" si="3"/>
        <v>88</v>
      </c>
      <c r="H118" s="286">
        <f t="shared" si="4"/>
        <v>0.03</v>
      </c>
      <c r="I118" s="287">
        <f t="shared" si="5"/>
        <v>121.74</v>
      </c>
    </row>
    <row r="119" spans="1:9" x14ac:dyDescent="0.35">
      <c r="A119" s="281" t="s">
        <v>2004</v>
      </c>
      <c r="B119" s="282">
        <v>11</v>
      </c>
      <c r="C119" s="281" t="s">
        <v>2081</v>
      </c>
      <c r="D119" s="283">
        <v>6410</v>
      </c>
      <c r="E119" s="284">
        <v>44572</v>
      </c>
      <c r="F119" s="284">
        <v>44599</v>
      </c>
      <c r="G119" s="285">
        <f t="shared" si="3"/>
        <v>27</v>
      </c>
      <c r="H119" s="286">
        <f t="shared" si="4"/>
        <v>0</v>
      </c>
      <c r="I119" s="287">
        <f t="shared" si="5"/>
        <v>0</v>
      </c>
    </row>
    <row r="120" spans="1:9" x14ac:dyDescent="0.35">
      <c r="A120" s="281" t="s">
        <v>1980</v>
      </c>
      <c r="B120" s="282">
        <v>7</v>
      </c>
      <c r="C120" s="281" t="s">
        <v>2082</v>
      </c>
      <c r="D120" s="283">
        <v>3741</v>
      </c>
      <c r="E120" s="284">
        <v>44514</v>
      </c>
      <c r="F120" s="284">
        <v>44599</v>
      </c>
      <c r="G120" s="285">
        <f t="shared" si="3"/>
        <v>85</v>
      </c>
      <c r="H120" s="286">
        <f t="shared" si="4"/>
        <v>0.03</v>
      </c>
      <c r="I120" s="287">
        <f t="shared" si="5"/>
        <v>112.22999999999999</v>
      </c>
    </row>
    <row r="121" spans="1:9" x14ac:dyDescent="0.35">
      <c r="A121" s="281" t="s">
        <v>1966</v>
      </c>
      <c r="B121" s="282">
        <v>12</v>
      </c>
      <c r="C121" s="281" t="s">
        <v>2083</v>
      </c>
      <c r="D121" s="283">
        <v>9132</v>
      </c>
      <c r="E121" s="284">
        <v>44575</v>
      </c>
      <c r="F121" s="284">
        <v>44599</v>
      </c>
      <c r="G121" s="285">
        <f t="shared" si="3"/>
        <v>24</v>
      </c>
      <c r="H121" s="286">
        <f t="shared" si="4"/>
        <v>0</v>
      </c>
      <c r="I121" s="287">
        <f t="shared" si="5"/>
        <v>0</v>
      </c>
    </row>
    <row r="122" spans="1:9" x14ac:dyDescent="0.35">
      <c r="A122" s="281" t="s">
        <v>1951</v>
      </c>
      <c r="B122" s="282">
        <v>25</v>
      </c>
      <c r="C122" s="281" t="s">
        <v>2084</v>
      </c>
      <c r="D122" s="283">
        <v>7390</v>
      </c>
      <c r="E122" s="284">
        <v>44563</v>
      </c>
      <c r="F122" s="284">
        <v>44599</v>
      </c>
      <c r="G122" s="285">
        <f t="shared" si="3"/>
        <v>36</v>
      </c>
      <c r="H122" s="286">
        <f t="shared" si="4"/>
        <v>0.01</v>
      </c>
      <c r="I122" s="287">
        <f t="shared" si="5"/>
        <v>73.900000000000006</v>
      </c>
    </row>
    <row r="123" spans="1:9" x14ac:dyDescent="0.35">
      <c r="A123" s="281" t="s">
        <v>1994</v>
      </c>
      <c r="B123" s="282">
        <v>13</v>
      </c>
      <c r="C123" s="281" t="s">
        <v>2085</v>
      </c>
      <c r="D123" s="283">
        <v>8814</v>
      </c>
      <c r="E123" s="284">
        <v>44512</v>
      </c>
      <c r="F123" s="284">
        <v>44599</v>
      </c>
      <c r="G123" s="285">
        <f t="shared" si="3"/>
        <v>87</v>
      </c>
      <c r="H123" s="286">
        <f t="shared" si="4"/>
        <v>0.03</v>
      </c>
      <c r="I123" s="287">
        <f t="shared" si="5"/>
        <v>264.42</v>
      </c>
    </row>
    <row r="124" spans="1:9" x14ac:dyDescent="0.35">
      <c r="A124" s="281" t="s">
        <v>1951</v>
      </c>
      <c r="B124" s="282">
        <v>25</v>
      </c>
      <c r="C124" s="281" t="s">
        <v>2086</v>
      </c>
      <c r="D124" s="283">
        <v>4679</v>
      </c>
      <c r="E124" s="284">
        <v>44578</v>
      </c>
      <c r="F124" s="284">
        <v>44599</v>
      </c>
      <c r="G124" s="285">
        <f t="shared" si="3"/>
        <v>21</v>
      </c>
      <c r="H124" s="286">
        <f t="shared" si="4"/>
        <v>0</v>
      </c>
      <c r="I124" s="287">
        <f t="shared" si="5"/>
        <v>0</v>
      </c>
    </row>
    <row r="125" spans="1:9" x14ac:dyDescent="0.35">
      <c r="A125" s="281" t="s">
        <v>1954</v>
      </c>
      <c r="B125" s="282">
        <v>24</v>
      </c>
      <c r="C125" s="281" t="s">
        <v>1964</v>
      </c>
      <c r="D125" s="283">
        <v>3165</v>
      </c>
      <c r="E125" s="284">
        <v>44503</v>
      </c>
      <c r="F125" s="284">
        <v>44599</v>
      </c>
      <c r="G125" s="285">
        <f t="shared" si="3"/>
        <v>96</v>
      </c>
      <c r="H125" s="286">
        <f t="shared" si="4"/>
        <v>0.03</v>
      </c>
      <c r="I125" s="287">
        <f t="shared" si="5"/>
        <v>94.95</v>
      </c>
    </row>
    <row r="126" spans="1:9" x14ac:dyDescent="0.35">
      <c r="A126" s="281" t="s">
        <v>1986</v>
      </c>
      <c r="B126" s="282">
        <v>16</v>
      </c>
      <c r="C126" s="281" t="s">
        <v>2087</v>
      </c>
      <c r="D126" s="283">
        <v>7121</v>
      </c>
      <c r="E126" s="284">
        <v>44578</v>
      </c>
      <c r="F126" s="284">
        <v>44599</v>
      </c>
      <c r="G126" s="285">
        <f t="shared" si="3"/>
        <v>21</v>
      </c>
      <c r="H126" s="286">
        <f t="shared" si="4"/>
        <v>0</v>
      </c>
      <c r="I126" s="287">
        <f t="shared" si="5"/>
        <v>0</v>
      </c>
    </row>
    <row r="127" spans="1:9" x14ac:dyDescent="0.35">
      <c r="A127" s="281" t="s">
        <v>1978</v>
      </c>
      <c r="B127" s="282">
        <v>15</v>
      </c>
      <c r="C127" s="281" t="s">
        <v>2088</v>
      </c>
      <c r="D127" s="283">
        <v>5584</v>
      </c>
      <c r="E127" s="284">
        <v>44556</v>
      </c>
      <c r="F127" s="284">
        <v>44599</v>
      </c>
      <c r="G127" s="285">
        <f t="shared" si="3"/>
        <v>43</v>
      </c>
      <c r="H127" s="286">
        <f t="shared" si="4"/>
        <v>0.01</v>
      </c>
      <c r="I127" s="287">
        <f t="shared" si="5"/>
        <v>55.84</v>
      </c>
    </row>
    <row r="128" spans="1:9" x14ac:dyDescent="0.35">
      <c r="A128" s="281" t="s">
        <v>1986</v>
      </c>
      <c r="B128" s="282">
        <v>16</v>
      </c>
      <c r="C128" s="281" t="s">
        <v>2089</v>
      </c>
      <c r="D128" s="283">
        <v>8792</v>
      </c>
      <c r="E128" s="284">
        <v>44501</v>
      </c>
      <c r="F128" s="284">
        <v>44599</v>
      </c>
      <c r="G128" s="285">
        <f t="shared" si="3"/>
        <v>98</v>
      </c>
      <c r="H128" s="286">
        <f t="shared" si="4"/>
        <v>0.03</v>
      </c>
      <c r="I128" s="287">
        <f t="shared" si="5"/>
        <v>263.76</v>
      </c>
    </row>
    <row r="129" spans="1:9" x14ac:dyDescent="0.35">
      <c r="A129" s="281" t="s">
        <v>1976</v>
      </c>
      <c r="B129" s="282">
        <v>3</v>
      </c>
      <c r="C129" s="281" t="s">
        <v>2090</v>
      </c>
      <c r="D129" s="283">
        <v>7851</v>
      </c>
      <c r="E129" s="284">
        <v>44502</v>
      </c>
      <c r="F129" s="284">
        <v>44599</v>
      </c>
      <c r="G129" s="285">
        <f t="shared" si="3"/>
        <v>97</v>
      </c>
      <c r="H129" s="286">
        <f t="shared" si="4"/>
        <v>0.03</v>
      </c>
      <c r="I129" s="287">
        <f t="shared" si="5"/>
        <v>235.53</v>
      </c>
    </row>
    <row r="130" spans="1:9" x14ac:dyDescent="0.35">
      <c r="A130" s="281" t="s">
        <v>1951</v>
      </c>
      <c r="B130" s="282">
        <v>25</v>
      </c>
      <c r="C130" s="281" t="s">
        <v>2091</v>
      </c>
      <c r="D130" s="283">
        <v>8855</v>
      </c>
      <c r="E130" s="284">
        <v>44553</v>
      </c>
      <c r="F130" s="284">
        <v>44599</v>
      </c>
      <c r="G130" s="285">
        <f t="shared" si="3"/>
        <v>46</v>
      </c>
      <c r="H130" s="286">
        <f t="shared" si="4"/>
        <v>0.01</v>
      </c>
      <c r="I130" s="287">
        <f t="shared" si="5"/>
        <v>88.55</v>
      </c>
    </row>
    <row r="131" spans="1:9" x14ac:dyDescent="0.35">
      <c r="A131" s="281" t="s">
        <v>1954</v>
      </c>
      <c r="B131" s="282">
        <v>24</v>
      </c>
      <c r="C131" s="281" t="s">
        <v>2092</v>
      </c>
      <c r="D131" s="283">
        <v>1303</v>
      </c>
      <c r="E131" s="284">
        <v>44540</v>
      </c>
      <c r="F131" s="284">
        <v>44599</v>
      </c>
      <c r="G131" s="285">
        <f t="shared" si="3"/>
        <v>59</v>
      </c>
      <c r="H131" s="286">
        <f t="shared" si="4"/>
        <v>0.01</v>
      </c>
      <c r="I131" s="287">
        <f t="shared" si="5"/>
        <v>13.030000000000001</v>
      </c>
    </row>
    <row r="132" spans="1:9" x14ac:dyDescent="0.35">
      <c r="A132" s="281" t="s">
        <v>1942</v>
      </c>
      <c r="B132" s="282">
        <v>8</v>
      </c>
      <c r="C132" s="281" t="s">
        <v>2093</v>
      </c>
      <c r="D132" s="283">
        <v>9349</v>
      </c>
      <c r="E132" s="284">
        <v>44569</v>
      </c>
      <c r="F132" s="284">
        <v>44599</v>
      </c>
      <c r="G132" s="285">
        <f t="shared" si="3"/>
        <v>30</v>
      </c>
      <c r="H132" s="286">
        <f t="shared" si="4"/>
        <v>0</v>
      </c>
      <c r="I132" s="287">
        <f t="shared" si="5"/>
        <v>0</v>
      </c>
    </row>
    <row r="133" spans="1:9" x14ac:dyDescent="0.35">
      <c r="A133" s="281" t="s">
        <v>1966</v>
      </c>
      <c r="B133" s="282">
        <v>12</v>
      </c>
      <c r="C133" s="281" t="s">
        <v>2094</v>
      </c>
      <c r="D133" s="283">
        <v>7503</v>
      </c>
      <c r="E133" s="284">
        <v>44550</v>
      </c>
      <c r="F133" s="284">
        <v>44599</v>
      </c>
      <c r="G133" s="285">
        <f t="shared" si="3"/>
        <v>49</v>
      </c>
      <c r="H133" s="286">
        <f t="shared" si="4"/>
        <v>0.01</v>
      </c>
      <c r="I133" s="287">
        <f t="shared" si="5"/>
        <v>75.03</v>
      </c>
    </row>
    <row r="134" spans="1:9" x14ac:dyDescent="0.35">
      <c r="A134" s="281" t="s">
        <v>1954</v>
      </c>
      <c r="B134" s="282">
        <v>24</v>
      </c>
      <c r="C134" s="281" t="s">
        <v>2095</v>
      </c>
      <c r="D134" s="283">
        <v>6809</v>
      </c>
      <c r="E134" s="284">
        <v>44541</v>
      </c>
      <c r="F134" s="284">
        <v>44599</v>
      </c>
      <c r="G134" s="285">
        <f t="shared" si="3"/>
        <v>58</v>
      </c>
      <c r="H134" s="286">
        <f t="shared" si="4"/>
        <v>0.01</v>
      </c>
      <c r="I134" s="287">
        <f t="shared" si="5"/>
        <v>68.09</v>
      </c>
    </row>
    <row r="135" spans="1:9" x14ac:dyDescent="0.35">
      <c r="A135" s="281" t="s">
        <v>1951</v>
      </c>
      <c r="B135" s="282">
        <v>25</v>
      </c>
      <c r="C135" s="281" t="s">
        <v>2096</v>
      </c>
      <c r="D135" s="283">
        <v>8422</v>
      </c>
      <c r="E135" s="284">
        <v>44567</v>
      </c>
      <c r="F135" s="284">
        <v>44599</v>
      </c>
      <c r="G135" s="285">
        <f t="shared" si="3"/>
        <v>32</v>
      </c>
      <c r="H135" s="286">
        <f t="shared" si="4"/>
        <v>0.01</v>
      </c>
      <c r="I135" s="287">
        <f t="shared" si="5"/>
        <v>84.22</v>
      </c>
    </row>
    <row r="136" spans="1:9" x14ac:dyDescent="0.35">
      <c r="A136" s="281" t="s">
        <v>1976</v>
      </c>
      <c r="B136" s="282">
        <v>3</v>
      </c>
      <c r="C136" s="281" t="s">
        <v>2097</v>
      </c>
      <c r="D136" s="283">
        <v>7082</v>
      </c>
      <c r="E136" s="284">
        <v>44528</v>
      </c>
      <c r="F136" s="284">
        <v>44599</v>
      </c>
      <c r="G136" s="285">
        <f t="shared" si="3"/>
        <v>71</v>
      </c>
      <c r="H136" s="286">
        <f t="shared" si="4"/>
        <v>0.02</v>
      </c>
      <c r="I136" s="287">
        <f t="shared" si="5"/>
        <v>141.64000000000001</v>
      </c>
    </row>
    <row r="137" spans="1:9" x14ac:dyDescent="0.35">
      <c r="A137" s="281" t="s">
        <v>1976</v>
      </c>
      <c r="B137" s="282">
        <v>3</v>
      </c>
      <c r="C137" s="281" t="s">
        <v>2098</v>
      </c>
      <c r="D137" s="283">
        <v>2775</v>
      </c>
      <c r="E137" s="284">
        <v>44533</v>
      </c>
      <c r="F137" s="284">
        <v>44599</v>
      </c>
      <c r="G137" s="285">
        <f t="shared" si="3"/>
        <v>66</v>
      </c>
      <c r="H137" s="286">
        <f t="shared" si="4"/>
        <v>0.02</v>
      </c>
      <c r="I137" s="287">
        <f t="shared" si="5"/>
        <v>55.5</v>
      </c>
    </row>
    <row r="138" spans="1:9" x14ac:dyDescent="0.35">
      <c r="A138" s="281" t="s">
        <v>1980</v>
      </c>
      <c r="B138" s="282">
        <v>7</v>
      </c>
      <c r="C138" s="281" t="s">
        <v>2099</v>
      </c>
      <c r="D138" s="283">
        <v>5382</v>
      </c>
      <c r="E138" s="284">
        <v>44541</v>
      </c>
      <c r="F138" s="284">
        <v>44599</v>
      </c>
      <c r="G138" s="285">
        <f t="shared" si="3"/>
        <v>58</v>
      </c>
      <c r="H138" s="286">
        <f t="shared" si="4"/>
        <v>0.01</v>
      </c>
      <c r="I138" s="287">
        <f t="shared" si="5"/>
        <v>53.82</v>
      </c>
    </row>
    <row r="139" spans="1:9" x14ac:dyDescent="0.35">
      <c r="A139" s="281" t="s">
        <v>1948</v>
      </c>
      <c r="B139" s="282">
        <v>18</v>
      </c>
      <c r="C139" s="281" t="s">
        <v>2100</v>
      </c>
      <c r="D139" s="283">
        <v>9478</v>
      </c>
      <c r="E139" s="284">
        <v>44542</v>
      </c>
      <c r="F139" s="284">
        <v>44599</v>
      </c>
      <c r="G139" s="285">
        <f t="shared" si="3"/>
        <v>57</v>
      </c>
      <c r="H139" s="286">
        <f t="shared" si="4"/>
        <v>0.01</v>
      </c>
      <c r="I139" s="287">
        <f t="shared" si="5"/>
        <v>94.78</v>
      </c>
    </row>
    <row r="140" spans="1:9" x14ac:dyDescent="0.35">
      <c r="A140" s="281" t="s">
        <v>1977</v>
      </c>
      <c r="B140" s="282">
        <v>22</v>
      </c>
      <c r="C140" s="281" t="s">
        <v>2101</v>
      </c>
      <c r="D140" s="283">
        <v>8146</v>
      </c>
      <c r="E140" s="284">
        <v>44575</v>
      </c>
      <c r="F140" s="284">
        <v>44599</v>
      </c>
      <c r="G140" s="285">
        <f t="shared" si="3"/>
        <v>24</v>
      </c>
      <c r="H140" s="286">
        <f t="shared" si="4"/>
        <v>0</v>
      </c>
      <c r="I140" s="287">
        <f t="shared" si="5"/>
        <v>0</v>
      </c>
    </row>
    <row r="141" spans="1:9" x14ac:dyDescent="0.35">
      <c r="A141" s="281" t="s">
        <v>1969</v>
      </c>
      <c r="B141" s="282">
        <v>2</v>
      </c>
      <c r="C141" s="281" t="s">
        <v>2102</v>
      </c>
      <c r="D141" s="283">
        <v>1876</v>
      </c>
      <c r="E141" s="284">
        <v>44543</v>
      </c>
      <c r="F141" s="284">
        <v>44599</v>
      </c>
      <c r="G141" s="285">
        <f t="shared" ref="G141:G204" si="6">F141-E141</f>
        <v>56</v>
      </c>
      <c r="H141" s="286">
        <f t="shared" ref="H141:H204" si="7">IF(G141&lt;=30,0,IF(G141&lt;60,1%,IF(G141&lt;80,2%,3%)))</f>
        <v>0.01</v>
      </c>
      <c r="I141" s="287">
        <f t="shared" ref="I141:I204" si="8">H141*D141</f>
        <v>18.760000000000002</v>
      </c>
    </row>
    <row r="142" spans="1:9" x14ac:dyDescent="0.35">
      <c r="A142" s="281" t="s">
        <v>1989</v>
      </c>
      <c r="B142" s="282">
        <v>14</v>
      </c>
      <c r="C142" s="281" t="s">
        <v>2103</v>
      </c>
      <c r="D142" s="283">
        <v>7635</v>
      </c>
      <c r="E142" s="284">
        <v>44557</v>
      </c>
      <c r="F142" s="284">
        <v>44599</v>
      </c>
      <c r="G142" s="285">
        <f t="shared" si="6"/>
        <v>42</v>
      </c>
      <c r="H142" s="286">
        <f t="shared" si="7"/>
        <v>0.01</v>
      </c>
      <c r="I142" s="287">
        <f t="shared" si="8"/>
        <v>76.350000000000009</v>
      </c>
    </row>
    <row r="143" spans="1:9" x14ac:dyDescent="0.35">
      <c r="A143" s="281" t="s">
        <v>1969</v>
      </c>
      <c r="B143" s="282">
        <v>2</v>
      </c>
      <c r="C143" s="281" t="s">
        <v>2104</v>
      </c>
      <c r="D143" s="283">
        <v>3878</v>
      </c>
      <c r="E143" s="284">
        <v>44535</v>
      </c>
      <c r="F143" s="284">
        <v>44599</v>
      </c>
      <c r="G143" s="285">
        <f t="shared" si="6"/>
        <v>64</v>
      </c>
      <c r="H143" s="286">
        <f t="shared" si="7"/>
        <v>0.02</v>
      </c>
      <c r="I143" s="287">
        <f t="shared" si="8"/>
        <v>77.56</v>
      </c>
    </row>
    <row r="144" spans="1:9" x14ac:dyDescent="0.35">
      <c r="A144" s="281" t="s">
        <v>1942</v>
      </c>
      <c r="B144" s="282">
        <v>8</v>
      </c>
      <c r="C144" s="281" t="s">
        <v>2105</v>
      </c>
      <c r="D144" s="283">
        <v>5308</v>
      </c>
      <c r="E144" s="284">
        <v>44549</v>
      </c>
      <c r="F144" s="284">
        <v>44599</v>
      </c>
      <c r="G144" s="285">
        <f t="shared" si="6"/>
        <v>50</v>
      </c>
      <c r="H144" s="286">
        <f t="shared" si="7"/>
        <v>0.01</v>
      </c>
      <c r="I144" s="287">
        <f t="shared" si="8"/>
        <v>53.08</v>
      </c>
    </row>
    <row r="145" spans="1:9" x14ac:dyDescent="0.35">
      <c r="A145" s="281" t="s">
        <v>1978</v>
      </c>
      <c r="B145" s="282">
        <v>15</v>
      </c>
      <c r="C145" s="281" t="s">
        <v>2106</v>
      </c>
      <c r="D145" s="283">
        <v>5403</v>
      </c>
      <c r="E145" s="284">
        <v>44543</v>
      </c>
      <c r="F145" s="284">
        <v>44599</v>
      </c>
      <c r="G145" s="285">
        <f t="shared" si="6"/>
        <v>56</v>
      </c>
      <c r="H145" s="286">
        <f t="shared" si="7"/>
        <v>0.01</v>
      </c>
      <c r="I145" s="287">
        <f t="shared" si="8"/>
        <v>54.03</v>
      </c>
    </row>
    <row r="146" spans="1:9" x14ac:dyDescent="0.35">
      <c r="A146" s="281" t="s">
        <v>2018</v>
      </c>
      <c r="B146" s="282">
        <v>4</v>
      </c>
      <c r="C146" s="281" t="s">
        <v>2107</v>
      </c>
      <c r="D146" s="283">
        <v>8025</v>
      </c>
      <c r="E146" s="284">
        <v>44545</v>
      </c>
      <c r="F146" s="284">
        <v>44599</v>
      </c>
      <c r="G146" s="285">
        <f t="shared" si="6"/>
        <v>54</v>
      </c>
      <c r="H146" s="286">
        <f t="shared" si="7"/>
        <v>0.01</v>
      </c>
      <c r="I146" s="287">
        <f t="shared" si="8"/>
        <v>80.25</v>
      </c>
    </row>
    <row r="147" spans="1:9" x14ac:dyDescent="0.35">
      <c r="A147" s="281" t="s">
        <v>1969</v>
      </c>
      <c r="B147" s="282">
        <v>2</v>
      </c>
      <c r="C147" s="281" t="s">
        <v>2108</v>
      </c>
      <c r="D147" s="283">
        <v>9171</v>
      </c>
      <c r="E147" s="284">
        <v>44580</v>
      </c>
      <c r="F147" s="284">
        <v>44599</v>
      </c>
      <c r="G147" s="285">
        <f t="shared" si="6"/>
        <v>19</v>
      </c>
      <c r="H147" s="286">
        <f t="shared" si="7"/>
        <v>0</v>
      </c>
      <c r="I147" s="287">
        <f t="shared" si="8"/>
        <v>0</v>
      </c>
    </row>
    <row r="148" spans="1:9" x14ac:dyDescent="0.35">
      <c r="A148" s="281" t="s">
        <v>1992</v>
      </c>
      <c r="B148" s="282">
        <v>19</v>
      </c>
      <c r="C148" s="281" t="s">
        <v>2109</v>
      </c>
      <c r="D148" s="283">
        <v>6969</v>
      </c>
      <c r="E148" s="284">
        <v>44554</v>
      </c>
      <c r="F148" s="284">
        <v>44599</v>
      </c>
      <c r="G148" s="285">
        <f t="shared" si="6"/>
        <v>45</v>
      </c>
      <c r="H148" s="286">
        <f t="shared" si="7"/>
        <v>0.01</v>
      </c>
      <c r="I148" s="287">
        <f t="shared" si="8"/>
        <v>69.69</v>
      </c>
    </row>
    <row r="149" spans="1:9" x14ac:dyDescent="0.35">
      <c r="A149" s="281" t="s">
        <v>2018</v>
      </c>
      <c r="B149" s="282">
        <v>4</v>
      </c>
      <c r="C149" s="281" t="s">
        <v>2110</v>
      </c>
      <c r="D149" s="283">
        <v>1577</v>
      </c>
      <c r="E149" s="284">
        <v>44529</v>
      </c>
      <c r="F149" s="284">
        <v>44599</v>
      </c>
      <c r="G149" s="285">
        <f t="shared" si="6"/>
        <v>70</v>
      </c>
      <c r="H149" s="286">
        <f t="shared" si="7"/>
        <v>0.02</v>
      </c>
      <c r="I149" s="287">
        <f t="shared" si="8"/>
        <v>31.54</v>
      </c>
    </row>
    <row r="150" spans="1:9" x14ac:dyDescent="0.35">
      <c r="A150" s="281" t="s">
        <v>1939</v>
      </c>
      <c r="B150" s="282">
        <v>20</v>
      </c>
      <c r="C150" s="281" t="s">
        <v>2111</v>
      </c>
      <c r="D150" s="283">
        <v>4726</v>
      </c>
      <c r="E150" s="284">
        <v>44570</v>
      </c>
      <c r="F150" s="284">
        <v>44599</v>
      </c>
      <c r="G150" s="285">
        <f t="shared" si="6"/>
        <v>29</v>
      </c>
      <c r="H150" s="286">
        <f t="shared" si="7"/>
        <v>0</v>
      </c>
      <c r="I150" s="287">
        <f t="shared" si="8"/>
        <v>0</v>
      </c>
    </row>
    <row r="151" spans="1:9" x14ac:dyDescent="0.35">
      <c r="A151" s="281" t="s">
        <v>1969</v>
      </c>
      <c r="B151" s="282">
        <v>2</v>
      </c>
      <c r="C151" s="281" t="s">
        <v>2112</v>
      </c>
      <c r="D151" s="283">
        <v>3724</v>
      </c>
      <c r="E151" s="284">
        <v>44574</v>
      </c>
      <c r="F151" s="284">
        <v>44599</v>
      </c>
      <c r="G151" s="285">
        <f t="shared" si="6"/>
        <v>25</v>
      </c>
      <c r="H151" s="286">
        <f t="shared" si="7"/>
        <v>0</v>
      </c>
      <c r="I151" s="287">
        <f t="shared" si="8"/>
        <v>0</v>
      </c>
    </row>
    <row r="152" spans="1:9" x14ac:dyDescent="0.35">
      <c r="A152" s="281" t="s">
        <v>1945</v>
      </c>
      <c r="B152" s="282">
        <v>21</v>
      </c>
      <c r="C152" s="281" t="s">
        <v>2113</v>
      </c>
      <c r="D152" s="283">
        <v>5055</v>
      </c>
      <c r="E152" s="284">
        <v>44539</v>
      </c>
      <c r="F152" s="284">
        <v>44599</v>
      </c>
      <c r="G152" s="285">
        <f t="shared" si="6"/>
        <v>60</v>
      </c>
      <c r="H152" s="286">
        <f t="shared" si="7"/>
        <v>0.02</v>
      </c>
      <c r="I152" s="287">
        <f t="shared" si="8"/>
        <v>101.10000000000001</v>
      </c>
    </row>
    <row r="153" spans="1:9" x14ac:dyDescent="0.35">
      <c r="A153" s="281" t="s">
        <v>1989</v>
      </c>
      <c r="B153" s="282">
        <v>14</v>
      </c>
      <c r="C153" s="281" t="s">
        <v>2114</v>
      </c>
      <c r="D153" s="283">
        <v>6370</v>
      </c>
      <c r="E153" s="284">
        <v>44518</v>
      </c>
      <c r="F153" s="284">
        <v>44599</v>
      </c>
      <c r="G153" s="285">
        <f t="shared" si="6"/>
        <v>81</v>
      </c>
      <c r="H153" s="286">
        <f t="shared" si="7"/>
        <v>0.03</v>
      </c>
      <c r="I153" s="287">
        <f t="shared" si="8"/>
        <v>191.1</v>
      </c>
    </row>
    <row r="154" spans="1:9" x14ac:dyDescent="0.35">
      <c r="A154" s="281" t="s">
        <v>1976</v>
      </c>
      <c r="B154" s="282">
        <v>3</v>
      </c>
      <c r="C154" s="281" t="s">
        <v>2115</v>
      </c>
      <c r="D154" s="283">
        <v>3413</v>
      </c>
      <c r="E154" s="284">
        <v>44532</v>
      </c>
      <c r="F154" s="284">
        <v>44599</v>
      </c>
      <c r="G154" s="285">
        <f t="shared" si="6"/>
        <v>67</v>
      </c>
      <c r="H154" s="286">
        <f t="shared" si="7"/>
        <v>0.02</v>
      </c>
      <c r="I154" s="287">
        <f t="shared" si="8"/>
        <v>68.260000000000005</v>
      </c>
    </row>
    <row r="155" spans="1:9" x14ac:dyDescent="0.35">
      <c r="A155" s="281" t="s">
        <v>1976</v>
      </c>
      <c r="B155" s="282">
        <v>3</v>
      </c>
      <c r="C155" s="281" t="s">
        <v>2116</v>
      </c>
      <c r="D155" s="283">
        <v>5066</v>
      </c>
      <c r="E155" s="284">
        <v>44540</v>
      </c>
      <c r="F155" s="284">
        <v>44599</v>
      </c>
      <c r="G155" s="285">
        <f t="shared" si="6"/>
        <v>59</v>
      </c>
      <c r="H155" s="286">
        <f t="shared" si="7"/>
        <v>0.01</v>
      </c>
      <c r="I155" s="287">
        <f t="shared" si="8"/>
        <v>50.660000000000004</v>
      </c>
    </row>
    <row r="156" spans="1:9" x14ac:dyDescent="0.35">
      <c r="A156" s="281" t="s">
        <v>1969</v>
      </c>
      <c r="B156" s="282">
        <v>2</v>
      </c>
      <c r="C156" s="281" t="s">
        <v>2117</v>
      </c>
      <c r="D156" s="283">
        <v>7372</v>
      </c>
      <c r="E156" s="284">
        <v>44516</v>
      </c>
      <c r="F156" s="284">
        <v>44599</v>
      </c>
      <c r="G156" s="285">
        <f t="shared" si="6"/>
        <v>83</v>
      </c>
      <c r="H156" s="286">
        <f t="shared" si="7"/>
        <v>0.03</v>
      </c>
      <c r="I156" s="287">
        <f t="shared" si="8"/>
        <v>221.16</v>
      </c>
    </row>
    <row r="157" spans="1:9" x14ac:dyDescent="0.35">
      <c r="A157" s="281" t="s">
        <v>1962</v>
      </c>
      <c r="B157" s="282">
        <v>1</v>
      </c>
      <c r="C157" s="281" t="s">
        <v>2118</v>
      </c>
      <c r="D157" s="283">
        <v>6314</v>
      </c>
      <c r="E157" s="284">
        <v>44534</v>
      </c>
      <c r="F157" s="284">
        <v>44599</v>
      </c>
      <c r="G157" s="285">
        <f t="shared" si="6"/>
        <v>65</v>
      </c>
      <c r="H157" s="286">
        <f t="shared" si="7"/>
        <v>0.02</v>
      </c>
      <c r="I157" s="287">
        <f t="shared" si="8"/>
        <v>126.28</v>
      </c>
    </row>
    <row r="158" spans="1:9" x14ac:dyDescent="0.35">
      <c r="A158" s="281" t="s">
        <v>1989</v>
      </c>
      <c r="B158" s="282">
        <v>14</v>
      </c>
      <c r="C158" s="281" t="s">
        <v>2119</v>
      </c>
      <c r="D158" s="283">
        <v>7244</v>
      </c>
      <c r="E158" s="284">
        <v>44555</v>
      </c>
      <c r="F158" s="284">
        <v>44599</v>
      </c>
      <c r="G158" s="285">
        <f t="shared" si="6"/>
        <v>44</v>
      </c>
      <c r="H158" s="286">
        <f t="shared" si="7"/>
        <v>0.01</v>
      </c>
      <c r="I158" s="287">
        <f t="shared" si="8"/>
        <v>72.44</v>
      </c>
    </row>
    <row r="159" spans="1:9" x14ac:dyDescent="0.35">
      <c r="A159" s="281" t="s">
        <v>2018</v>
      </c>
      <c r="B159" s="282">
        <v>4</v>
      </c>
      <c r="C159" s="281" t="s">
        <v>2120</v>
      </c>
      <c r="D159" s="283">
        <v>1090</v>
      </c>
      <c r="E159" s="284">
        <v>44535</v>
      </c>
      <c r="F159" s="284">
        <v>44599</v>
      </c>
      <c r="G159" s="285">
        <f t="shared" si="6"/>
        <v>64</v>
      </c>
      <c r="H159" s="286">
        <f t="shared" si="7"/>
        <v>0.02</v>
      </c>
      <c r="I159" s="287">
        <f t="shared" si="8"/>
        <v>21.8</v>
      </c>
    </row>
    <row r="160" spans="1:9" x14ac:dyDescent="0.35">
      <c r="A160" s="281" t="s">
        <v>1966</v>
      </c>
      <c r="B160" s="282">
        <v>12</v>
      </c>
      <c r="C160" s="281" t="s">
        <v>2121</v>
      </c>
      <c r="D160" s="283">
        <v>3618</v>
      </c>
      <c r="E160" s="284">
        <v>44522</v>
      </c>
      <c r="F160" s="284">
        <v>44599</v>
      </c>
      <c r="G160" s="285">
        <f t="shared" si="6"/>
        <v>77</v>
      </c>
      <c r="H160" s="286">
        <f t="shared" si="7"/>
        <v>0.02</v>
      </c>
      <c r="I160" s="287">
        <f t="shared" si="8"/>
        <v>72.36</v>
      </c>
    </row>
    <row r="161" spans="1:9" x14ac:dyDescent="0.35">
      <c r="A161" s="281" t="s">
        <v>1945</v>
      </c>
      <c r="B161" s="282">
        <v>21</v>
      </c>
      <c r="C161" s="281" t="s">
        <v>2122</v>
      </c>
      <c r="D161" s="283">
        <v>3630</v>
      </c>
      <c r="E161" s="284">
        <v>44511</v>
      </c>
      <c r="F161" s="284">
        <v>44599</v>
      </c>
      <c r="G161" s="285">
        <f t="shared" si="6"/>
        <v>88</v>
      </c>
      <c r="H161" s="286">
        <f t="shared" si="7"/>
        <v>0.03</v>
      </c>
      <c r="I161" s="287">
        <f t="shared" si="8"/>
        <v>108.89999999999999</v>
      </c>
    </row>
    <row r="162" spans="1:9" x14ac:dyDescent="0.35">
      <c r="A162" s="281" t="s">
        <v>2026</v>
      </c>
      <c r="B162" s="282">
        <v>5</v>
      </c>
      <c r="C162" s="281" t="s">
        <v>2123</v>
      </c>
      <c r="D162" s="283">
        <v>6448</v>
      </c>
      <c r="E162" s="284">
        <v>44515</v>
      </c>
      <c r="F162" s="284">
        <v>44599</v>
      </c>
      <c r="G162" s="285">
        <f t="shared" si="6"/>
        <v>84</v>
      </c>
      <c r="H162" s="286">
        <f t="shared" si="7"/>
        <v>0.03</v>
      </c>
      <c r="I162" s="287">
        <f t="shared" si="8"/>
        <v>193.44</v>
      </c>
    </row>
    <row r="163" spans="1:9" x14ac:dyDescent="0.35">
      <c r="A163" s="281" t="s">
        <v>1942</v>
      </c>
      <c r="B163" s="282">
        <v>8</v>
      </c>
      <c r="C163" s="281" t="s">
        <v>2124</v>
      </c>
      <c r="D163" s="283">
        <v>2548</v>
      </c>
      <c r="E163" s="284">
        <v>44539</v>
      </c>
      <c r="F163" s="284">
        <v>44599</v>
      </c>
      <c r="G163" s="285">
        <f t="shared" si="6"/>
        <v>60</v>
      </c>
      <c r="H163" s="286">
        <f t="shared" si="7"/>
        <v>0.02</v>
      </c>
      <c r="I163" s="287">
        <f t="shared" si="8"/>
        <v>50.96</v>
      </c>
    </row>
    <row r="164" spans="1:9" x14ac:dyDescent="0.35">
      <c r="A164" s="281" t="s">
        <v>1986</v>
      </c>
      <c r="B164" s="282">
        <v>16</v>
      </c>
      <c r="C164" s="281" t="s">
        <v>2125</v>
      </c>
      <c r="D164" s="283">
        <v>6729</v>
      </c>
      <c r="E164" s="284">
        <v>44511</v>
      </c>
      <c r="F164" s="284">
        <v>44599</v>
      </c>
      <c r="G164" s="285">
        <f t="shared" si="6"/>
        <v>88</v>
      </c>
      <c r="H164" s="286">
        <f t="shared" si="7"/>
        <v>0.03</v>
      </c>
      <c r="I164" s="287">
        <f t="shared" si="8"/>
        <v>201.87</v>
      </c>
    </row>
    <row r="165" spans="1:9" x14ac:dyDescent="0.35">
      <c r="A165" s="281" t="s">
        <v>1980</v>
      </c>
      <c r="B165" s="282">
        <v>7</v>
      </c>
      <c r="C165" s="281" t="s">
        <v>2126</v>
      </c>
      <c r="D165" s="283">
        <v>9944</v>
      </c>
      <c r="E165" s="284">
        <v>44502</v>
      </c>
      <c r="F165" s="284">
        <v>44599</v>
      </c>
      <c r="G165" s="285">
        <f t="shared" si="6"/>
        <v>97</v>
      </c>
      <c r="H165" s="286">
        <f t="shared" si="7"/>
        <v>0.03</v>
      </c>
      <c r="I165" s="287">
        <f t="shared" si="8"/>
        <v>298.32</v>
      </c>
    </row>
    <row r="166" spans="1:9" x14ac:dyDescent="0.35">
      <c r="A166" s="281" t="s">
        <v>2018</v>
      </c>
      <c r="B166" s="282">
        <v>4</v>
      </c>
      <c r="C166" s="281" t="s">
        <v>2127</v>
      </c>
      <c r="D166" s="283">
        <v>1538</v>
      </c>
      <c r="E166" s="284">
        <v>44577</v>
      </c>
      <c r="F166" s="284">
        <v>44599</v>
      </c>
      <c r="G166" s="285">
        <f t="shared" si="6"/>
        <v>22</v>
      </c>
      <c r="H166" s="286">
        <f t="shared" si="7"/>
        <v>0</v>
      </c>
      <c r="I166" s="287">
        <f t="shared" si="8"/>
        <v>0</v>
      </c>
    </row>
    <row r="167" spans="1:9" x14ac:dyDescent="0.35">
      <c r="A167" s="281" t="s">
        <v>1942</v>
      </c>
      <c r="B167" s="282">
        <v>8</v>
      </c>
      <c r="C167" s="281" t="s">
        <v>2128</v>
      </c>
      <c r="D167" s="283">
        <v>6660</v>
      </c>
      <c r="E167" s="284">
        <v>44502</v>
      </c>
      <c r="F167" s="284">
        <v>44599</v>
      </c>
      <c r="G167" s="285">
        <f t="shared" si="6"/>
        <v>97</v>
      </c>
      <c r="H167" s="286">
        <f t="shared" si="7"/>
        <v>0.03</v>
      </c>
      <c r="I167" s="287">
        <f t="shared" si="8"/>
        <v>199.79999999999998</v>
      </c>
    </row>
    <row r="168" spans="1:9" x14ac:dyDescent="0.35">
      <c r="A168" s="281" t="s">
        <v>1951</v>
      </c>
      <c r="B168" s="282">
        <v>25</v>
      </c>
      <c r="C168" s="281" t="s">
        <v>2129</v>
      </c>
      <c r="D168" s="283">
        <v>6594</v>
      </c>
      <c r="E168" s="284">
        <v>44563</v>
      </c>
      <c r="F168" s="284">
        <v>44599</v>
      </c>
      <c r="G168" s="285">
        <f t="shared" si="6"/>
        <v>36</v>
      </c>
      <c r="H168" s="286">
        <f t="shared" si="7"/>
        <v>0.01</v>
      </c>
      <c r="I168" s="287">
        <f t="shared" si="8"/>
        <v>65.94</v>
      </c>
    </row>
    <row r="169" spans="1:9" x14ac:dyDescent="0.35">
      <c r="A169" s="281" t="s">
        <v>2004</v>
      </c>
      <c r="B169" s="282">
        <v>11</v>
      </c>
      <c r="C169" s="281" t="s">
        <v>2130</v>
      </c>
      <c r="D169" s="283">
        <v>4718</v>
      </c>
      <c r="E169" s="284">
        <v>44550</v>
      </c>
      <c r="F169" s="284">
        <v>44599</v>
      </c>
      <c r="G169" s="285">
        <f t="shared" si="6"/>
        <v>49</v>
      </c>
      <c r="H169" s="286">
        <f t="shared" si="7"/>
        <v>0.01</v>
      </c>
      <c r="I169" s="287">
        <f t="shared" si="8"/>
        <v>47.18</v>
      </c>
    </row>
    <row r="170" spans="1:9" x14ac:dyDescent="0.35">
      <c r="A170" s="281" t="s">
        <v>1951</v>
      </c>
      <c r="B170" s="282">
        <v>25</v>
      </c>
      <c r="C170" s="281" t="s">
        <v>2131</v>
      </c>
      <c r="D170" s="283">
        <v>3358</v>
      </c>
      <c r="E170" s="284">
        <v>44526</v>
      </c>
      <c r="F170" s="284">
        <v>44599</v>
      </c>
      <c r="G170" s="285">
        <f t="shared" si="6"/>
        <v>73</v>
      </c>
      <c r="H170" s="286">
        <f t="shared" si="7"/>
        <v>0.02</v>
      </c>
      <c r="I170" s="287">
        <f t="shared" si="8"/>
        <v>67.16</v>
      </c>
    </row>
    <row r="171" spans="1:9" x14ac:dyDescent="0.35">
      <c r="A171" s="281" t="s">
        <v>1960</v>
      </c>
      <c r="B171" s="282">
        <v>6</v>
      </c>
      <c r="C171" s="281" t="s">
        <v>2132</v>
      </c>
      <c r="D171" s="283">
        <v>3880</v>
      </c>
      <c r="E171" s="284">
        <v>44576</v>
      </c>
      <c r="F171" s="284">
        <v>44599</v>
      </c>
      <c r="G171" s="285">
        <f t="shared" si="6"/>
        <v>23</v>
      </c>
      <c r="H171" s="286">
        <f t="shared" si="7"/>
        <v>0</v>
      </c>
      <c r="I171" s="287">
        <f t="shared" si="8"/>
        <v>0</v>
      </c>
    </row>
    <row r="172" spans="1:9" x14ac:dyDescent="0.35">
      <c r="A172" s="281" t="s">
        <v>1954</v>
      </c>
      <c r="B172" s="282">
        <v>24</v>
      </c>
      <c r="C172" s="281" t="s">
        <v>2133</v>
      </c>
      <c r="D172" s="283">
        <v>4306</v>
      </c>
      <c r="E172" s="284">
        <v>44558</v>
      </c>
      <c r="F172" s="284">
        <v>44599</v>
      </c>
      <c r="G172" s="285">
        <f t="shared" si="6"/>
        <v>41</v>
      </c>
      <c r="H172" s="286">
        <f t="shared" si="7"/>
        <v>0.01</v>
      </c>
      <c r="I172" s="287">
        <f t="shared" si="8"/>
        <v>43.06</v>
      </c>
    </row>
    <row r="173" spans="1:9" x14ac:dyDescent="0.35">
      <c r="A173" s="281" t="s">
        <v>1957</v>
      </c>
      <c r="B173" s="282">
        <v>10</v>
      </c>
      <c r="C173" s="281" t="s">
        <v>2134</v>
      </c>
      <c r="D173" s="283">
        <v>7846</v>
      </c>
      <c r="E173" s="284">
        <v>44525</v>
      </c>
      <c r="F173" s="284">
        <v>44599</v>
      </c>
      <c r="G173" s="285">
        <f t="shared" si="6"/>
        <v>74</v>
      </c>
      <c r="H173" s="286">
        <f t="shared" si="7"/>
        <v>0.02</v>
      </c>
      <c r="I173" s="287">
        <f t="shared" si="8"/>
        <v>156.92000000000002</v>
      </c>
    </row>
    <row r="174" spans="1:9" x14ac:dyDescent="0.35">
      <c r="A174" s="281" t="s">
        <v>2004</v>
      </c>
      <c r="B174" s="282">
        <v>11</v>
      </c>
      <c r="C174" s="281" t="s">
        <v>2135</v>
      </c>
      <c r="D174" s="283">
        <v>1760</v>
      </c>
      <c r="E174" s="284">
        <v>44571</v>
      </c>
      <c r="F174" s="284">
        <v>44599</v>
      </c>
      <c r="G174" s="285">
        <f t="shared" si="6"/>
        <v>28</v>
      </c>
      <c r="H174" s="286">
        <f t="shared" si="7"/>
        <v>0</v>
      </c>
      <c r="I174" s="287">
        <f t="shared" si="8"/>
        <v>0</v>
      </c>
    </row>
    <row r="175" spans="1:9" x14ac:dyDescent="0.35">
      <c r="A175" s="281" t="s">
        <v>1954</v>
      </c>
      <c r="B175" s="282">
        <v>24</v>
      </c>
      <c r="C175" s="281" t="s">
        <v>2136</v>
      </c>
      <c r="D175" s="283">
        <v>5788</v>
      </c>
      <c r="E175" s="284">
        <v>44579</v>
      </c>
      <c r="F175" s="284">
        <v>44599</v>
      </c>
      <c r="G175" s="285">
        <f t="shared" si="6"/>
        <v>20</v>
      </c>
      <c r="H175" s="286">
        <f t="shared" si="7"/>
        <v>0</v>
      </c>
      <c r="I175" s="287">
        <f t="shared" si="8"/>
        <v>0</v>
      </c>
    </row>
    <row r="176" spans="1:9" x14ac:dyDescent="0.35">
      <c r="A176" s="281" t="s">
        <v>1978</v>
      </c>
      <c r="B176" s="282">
        <v>15</v>
      </c>
      <c r="C176" s="281" t="s">
        <v>2137</v>
      </c>
      <c r="D176" s="283">
        <v>6948</v>
      </c>
      <c r="E176" s="284">
        <v>44533</v>
      </c>
      <c r="F176" s="284">
        <v>44599</v>
      </c>
      <c r="G176" s="285">
        <f t="shared" si="6"/>
        <v>66</v>
      </c>
      <c r="H176" s="286">
        <f t="shared" si="7"/>
        <v>0.02</v>
      </c>
      <c r="I176" s="287">
        <f t="shared" si="8"/>
        <v>138.96</v>
      </c>
    </row>
    <row r="177" spans="1:9" x14ac:dyDescent="0.35">
      <c r="A177" s="281" t="s">
        <v>1951</v>
      </c>
      <c r="B177" s="282">
        <v>25</v>
      </c>
      <c r="C177" s="281" t="s">
        <v>2138</v>
      </c>
      <c r="D177" s="283">
        <v>5638</v>
      </c>
      <c r="E177" s="284">
        <v>44512</v>
      </c>
      <c r="F177" s="284">
        <v>44599</v>
      </c>
      <c r="G177" s="285">
        <f t="shared" si="6"/>
        <v>87</v>
      </c>
      <c r="H177" s="286">
        <f t="shared" si="7"/>
        <v>0.03</v>
      </c>
      <c r="I177" s="287">
        <f t="shared" si="8"/>
        <v>169.14</v>
      </c>
    </row>
    <row r="178" spans="1:9" x14ac:dyDescent="0.35">
      <c r="A178" s="281" t="s">
        <v>1966</v>
      </c>
      <c r="B178" s="282">
        <v>12</v>
      </c>
      <c r="C178" s="281" t="s">
        <v>2139</v>
      </c>
      <c r="D178" s="283">
        <v>3483</v>
      </c>
      <c r="E178" s="284">
        <v>44541</v>
      </c>
      <c r="F178" s="284">
        <v>44599</v>
      </c>
      <c r="G178" s="285">
        <f t="shared" si="6"/>
        <v>58</v>
      </c>
      <c r="H178" s="286">
        <f t="shared" si="7"/>
        <v>0.01</v>
      </c>
      <c r="I178" s="287">
        <f t="shared" si="8"/>
        <v>34.83</v>
      </c>
    </row>
    <row r="179" spans="1:9" x14ac:dyDescent="0.35">
      <c r="A179" s="281" t="s">
        <v>1939</v>
      </c>
      <c r="B179" s="282">
        <v>20</v>
      </c>
      <c r="C179" s="281" t="s">
        <v>2140</v>
      </c>
      <c r="D179" s="283">
        <v>4408</v>
      </c>
      <c r="E179" s="284">
        <v>44578</v>
      </c>
      <c r="F179" s="284">
        <v>44599</v>
      </c>
      <c r="G179" s="285">
        <f t="shared" si="6"/>
        <v>21</v>
      </c>
      <c r="H179" s="286">
        <f t="shared" si="7"/>
        <v>0</v>
      </c>
      <c r="I179" s="287">
        <f t="shared" si="8"/>
        <v>0</v>
      </c>
    </row>
    <row r="180" spans="1:9" x14ac:dyDescent="0.35">
      <c r="A180" s="281" t="s">
        <v>2141</v>
      </c>
      <c r="B180" s="282">
        <v>17</v>
      </c>
      <c r="C180" s="281" t="s">
        <v>2142</v>
      </c>
      <c r="D180" s="283">
        <v>6375</v>
      </c>
      <c r="E180" s="284">
        <v>44507</v>
      </c>
      <c r="F180" s="284">
        <v>44599</v>
      </c>
      <c r="G180" s="285">
        <f t="shared" si="6"/>
        <v>92</v>
      </c>
      <c r="H180" s="286">
        <f t="shared" si="7"/>
        <v>0.03</v>
      </c>
      <c r="I180" s="287">
        <f t="shared" si="8"/>
        <v>191.25</v>
      </c>
    </row>
    <row r="181" spans="1:9" x14ac:dyDescent="0.35">
      <c r="A181" s="281" t="s">
        <v>2018</v>
      </c>
      <c r="B181" s="282">
        <v>4</v>
      </c>
      <c r="C181" s="281" t="s">
        <v>2143</v>
      </c>
      <c r="D181" s="283">
        <v>4069</v>
      </c>
      <c r="E181" s="284">
        <v>44570</v>
      </c>
      <c r="F181" s="284">
        <v>44599</v>
      </c>
      <c r="G181" s="285">
        <f t="shared" si="6"/>
        <v>29</v>
      </c>
      <c r="H181" s="286">
        <f t="shared" si="7"/>
        <v>0</v>
      </c>
      <c r="I181" s="287">
        <f t="shared" si="8"/>
        <v>0</v>
      </c>
    </row>
    <row r="182" spans="1:9" x14ac:dyDescent="0.35">
      <c r="A182" s="281" t="s">
        <v>1962</v>
      </c>
      <c r="B182" s="282">
        <v>1</v>
      </c>
      <c r="C182" s="281" t="s">
        <v>2144</v>
      </c>
      <c r="D182" s="283">
        <v>8240</v>
      </c>
      <c r="E182" s="284">
        <v>44517</v>
      </c>
      <c r="F182" s="284">
        <v>44599</v>
      </c>
      <c r="G182" s="285">
        <f t="shared" si="6"/>
        <v>82</v>
      </c>
      <c r="H182" s="286">
        <f t="shared" si="7"/>
        <v>0.03</v>
      </c>
      <c r="I182" s="287">
        <f t="shared" si="8"/>
        <v>247.2</v>
      </c>
    </row>
    <row r="183" spans="1:9" x14ac:dyDescent="0.35">
      <c r="A183" s="281" t="s">
        <v>1960</v>
      </c>
      <c r="B183" s="282">
        <v>6</v>
      </c>
      <c r="C183" s="281" t="s">
        <v>2145</v>
      </c>
      <c r="D183" s="283">
        <v>6983</v>
      </c>
      <c r="E183" s="284">
        <v>44573</v>
      </c>
      <c r="F183" s="284">
        <v>44599</v>
      </c>
      <c r="G183" s="285">
        <f t="shared" si="6"/>
        <v>26</v>
      </c>
      <c r="H183" s="286">
        <f t="shared" si="7"/>
        <v>0</v>
      </c>
      <c r="I183" s="287">
        <f t="shared" si="8"/>
        <v>0</v>
      </c>
    </row>
    <row r="184" spans="1:9" x14ac:dyDescent="0.35">
      <c r="A184" s="281" t="s">
        <v>1960</v>
      </c>
      <c r="B184" s="282">
        <v>6</v>
      </c>
      <c r="C184" s="281" t="s">
        <v>2146</v>
      </c>
      <c r="D184" s="283">
        <v>6930</v>
      </c>
      <c r="E184" s="284">
        <v>44562</v>
      </c>
      <c r="F184" s="284">
        <v>44599</v>
      </c>
      <c r="G184" s="285">
        <f t="shared" si="6"/>
        <v>37</v>
      </c>
      <c r="H184" s="286">
        <f t="shared" si="7"/>
        <v>0.01</v>
      </c>
      <c r="I184" s="287">
        <f t="shared" si="8"/>
        <v>69.3</v>
      </c>
    </row>
    <row r="185" spans="1:9" x14ac:dyDescent="0.35">
      <c r="A185" s="281" t="s">
        <v>1977</v>
      </c>
      <c r="B185" s="282">
        <v>22</v>
      </c>
      <c r="C185" s="281" t="s">
        <v>2147</v>
      </c>
      <c r="D185" s="283">
        <v>8556</v>
      </c>
      <c r="E185" s="284">
        <v>44516</v>
      </c>
      <c r="F185" s="284">
        <v>44599</v>
      </c>
      <c r="G185" s="285">
        <f t="shared" si="6"/>
        <v>83</v>
      </c>
      <c r="H185" s="286">
        <f t="shared" si="7"/>
        <v>0.03</v>
      </c>
      <c r="I185" s="287">
        <f t="shared" si="8"/>
        <v>256.68</v>
      </c>
    </row>
    <row r="186" spans="1:9" x14ac:dyDescent="0.35">
      <c r="A186" s="281" t="s">
        <v>2141</v>
      </c>
      <c r="B186" s="282">
        <v>17</v>
      </c>
      <c r="C186" s="281" t="s">
        <v>2148</v>
      </c>
      <c r="D186" s="283">
        <v>8773</v>
      </c>
      <c r="E186" s="284">
        <v>44543</v>
      </c>
      <c r="F186" s="284">
        <v>44599</v>
      </c>
      <c r="G186" s="285">
        <f t="shared" si="6"/>
        <v>56</v>
      </c>
      <c r="H186" s="286">
        <f t="shared" si="7"/>
        <v>0.01</v>
      </c>
      <c r="I186" s="287">
        <f t="shared" si="8"/>
        <v>87.73</v>
      </c>
    </row>
    <row r="187" spans="1:9" x14ac:dyDescent="0.35">
      <c r="A187" s="281" t="s">
        <v>1986</v>
      </c>
      <c r="B187" s="282">
        <v>16</v>
      </c>
      <c r="C187" s="281" t="s">
        <v>2149</v>
      </c>
      <c r="D187" s="283">
        <v>5691</v>
      </c>
      <c r="E187" s="284">
        <v>44573</v>
      </c>
      <c r="F187" s="284">
        <v>44599</v>
      </c>
      <c r="G187" s="285">
        <f t="shared" si="6"/>
        <v>26</v>
      </c>
      <c r="H187" s="286">
        <f t="shared" si="7"/>
        <v>0</v>
      </c>
      <c r="I187" s="287">
        <f t="shared" si="8"/>
        <v>0</v>
      </c>
    </row>
    <row r="188" spans="1:9" x14ac:dyDescent="0.35">
      <c r="A188" s="281" t="s">
        <v>2000</v>
      </c>
      <c r="B188" s="282">
        <v>23</v>
      </c>
      <c r="C188" s="281" t="s">
        <v>2150</v>
      </c>
      <c r="D188" s="283">
        <v>9077</v>
      </c>
      <c r="E188" s="284">
        <v>44565</v>
      </c>
      <c r="F188" s="284">
        <v>44599</v>
      </c>
      <c r="G188" s="285">
        <f t="shared" si="6"/>
        <v>34</v>
      </c>
      <c r="H188" s="286">
        <f t="shared" si="7"/>
        <v>0.01</v>
      </c>
      <c r="I188" s="287">
        <f t="shared" si="8"/>
        <v>90.77</v>
      </c>
    </row>
    <row r="189" spans="1:9" x14ac:dyDescent="0.35">
      <c r="A189" s="281" t="s">
        <v>1962</v>
      </c>
      <c r="B189" s="282">
        <v>1</v>
      </c>
      <c r="C189" s="281" t="s">
        <v>2151</v>
      </c>
      <c r="D189" s="283">
        <v>3075</v>
      </c>
      <c r="E189" s="284">
        <v>44505</v>
      </c>
      <c r="F189" s="284">
        <v>44599</v>
      </c>
      <c r="G189" s="285">
        <f t="shared" si="6"/>
        <v>94</v>
      </c>
      <c r="H189" s="286">
        <f t="shared" si="7"/>
        <v>0.03</v>
      </c>
      <c r="I189" s="287">
        <f t="shared" si="8"/>
        <v>92.25</v>
      </c>
    </row>
    <row r="190" spans="1:9" x14ac:dyDescent="0.35">
      <c r="A190" s="281" t="s">
        <v>1951</v>
      </c>
      <c r="B190" s="282">
        <v>25</v>
      </c>
      <c r="C190" s="281" t="s">
        <v>2152</v>
      </c>
      <c r="D190" s="283">
        <v>2462</v>
      </c>
      <c r="E190" s="284">
        <v>44554</v>
      </c>
      <c r="F190" s="284">
        <v>44599</v>
      </c>
      <c r="G190" s="285">
        <f t="shared" si="6"/>
        <v>45</v>
      </c>
      <c r="H190" s="286">
        <f t="shared" si="7"/>
        <v>0.01</v>
      </c>
      <c r="I190" s="287">
        <f t="shared" si="8"/>
        <v>24.62</v>
      </c>
    </row>
    <row r="191" spans="1:9" x14ac:dyDescent="0.35">
      <c r="A191" s="281" t="s">
        <v>2018</v>
      </c>
      <c r="B191" s="282">
        <v>4</v>
      </c>
      <c r="C191" s="281" t="s">
        <v>2153</v>
      </c>
      <c r="D191" s="283">
        <v>7303</v>
      </c>
      <c r="E191" s="284">
        <v>44532</v>
      </c>
      <c r="F191" s="284">
        <v>44599</v>
      </c>
      <c r="G191" s="285">
        <f t="shared" si="6"/>
        <v>67</v>
      </c>
      <c r="H191" s="286">
        <f t="shared" si="7"/>
        <v>0.02</v>
      </c>
      <c r="I191" s="287">
        <f t="shared" si="8"/>
        <v>146.06</v>
      </c>
    </row>
    <row r="192" spans="1:9" x14ac:dyDescent="0.35">
      <c r="A192" s="281" t="s">
        <v>2141</v>
      </c>
      <c r="B192" s="282">
        <v>17</v>
      </c>
      <c r="C192" s="281" t="s">
        <v>2154</v>
      </c>
      <c r="D192" s="283">
        <v>9234</v>
      </c>
      <c r="E192" s="284">
        <v>44561</v>
      </c>
      <c r="F192" s="284">
        <v>44599</v>
      </c>
      <c r="G192" s="285">
        <f t="shared" si="6"/>
        <v>38</v>
      </c>
      <c r="H192" s="286">
        <f t="shared" si="7"/>
        <v>0.01</v>
      </c>
      <c r="I192" s="287">
        <f t="shared" si="8"/>
        <v>92.34</v>
      </c>
    </row>
    <row r="193" spans="1:9" x14ac:dyDescent="0.35">
      <c r="A193" s="281" t="s">
        <v>2026</v>
      </c>
      <c r="B193" s="282">
        <v>5</v>
      </c>
      <c r="C193" s="281" t="s">
        <v>2155</v>
      </c>
      <c r="D193" s="283">
        <v>7030</v>
      </c>
      <c r="E193" s="284">
        <v>44576</v>
      </c>
      <c r="F193" s="284">
        <v>44599</v>
      </c>
      <c r="G193" s="285">
        <f t="shared" si="6"/>
        <v>23</v>
      </c>
      <c r="H193" s="286">
        <f t="shared" si="7"/>
        <v>0</v>
      </c>
      <c r="I193" s="287">
        <f t="shared" si="8"/>
        <v>0</v>
      </c>
    </row>
    <row r="194" spans="1:9" x14ac:dyDescent="0.35">
      <c r="A194" s="281" t="s">
        <v>1989</v>
      </c>
      <c r="B194" s="282">
        <v>14</v>
      </c>
      <c r="C194" s="281" t="s">
        <v>2156</v>
      </c>
      <c r="D194" s="283">
        <v>3146</v>
      </c>
      <c r="E194" s="284">
        <v>44562</v>
      </c>
      <c r="F194" s="284">
        <v>44599</v>
      </c>
      <c r="G194" s="285">
        <f t="shared" si="6"/>
        <v>37</v>
      </c>
      <c r="H194" s="286">
        <f t="shared" si="7"/>
        <v>0.01</v>
      </c>
      <c r="I194" s="287">
        <f t="shared" si="8"/>
        <v>31.46</v>
      </c>
    </row>
    <row r="195" spans="1:9" x14ac:dyDescent="0.35">
      <c r="A195" s="281" t="s">
        <v>1980</v>
      </c>
      <c r="B195" s="282">
        <v>7</v>
      </c>
      <c r="C195" s="281" t="s">
        <v>2157</v>
      </c>
      <c r="D195" s="283">
        <v>7758</v>
      </c>
      <c r="E195" s="284">
        <v>44512</v>
      </c>
      <c r="F195" s="284">
        <v>44599</v>
      </c>
      <c r="G195" s="285">
        <f t="shared" si="6"/>
        <v>87</v>
      </c>
      <c r="H195" s="286">
        <f t="shared" si="7"/>
        <v>0.03</v>
      </c>
      <c r="I195" s="287">
        <f t="shared" si="8"/>
        <v>232.73999999999998</v>
      </c>
    </row>
    <row r="196" spans="1:9" x14ac:dyDescent="0.35">
      <c r="A196" s="281" t="s">
        <v>2009</v>
      </c>
      <c r="B196" s="282">
        <v>9</v>
      </c>
      <c r="C196" s="281" t="s">
        <v>2158</v>
      </c>
      <c r="D196" s="283">
        <v>9093</v>
      </c>
      <c r="E196" s="284">
        <v>44537</v>
      </c>
      <c r="F196" s="284">
        <v>44599</v>
      </c>
      <c r="G196" s="285">
        <f t="shared" si="6"/>
        <v>62</v>
      </c>
      <c r="H196" s="286">
        <f t="shared" si="7"/>
        <v>0.02</v>
      </c>
      <c r="I196" s="287">
        <f t="shared" si="8"/>
        <v>181.86</v>
      </c>
    </row>
    <row r="197" spans="1:9" x14ac:dyDescent="0.35">
      <c r="A197" s="281" t="s">
        <v>1977</v>
      </c>
      <c r="B197" s="282">
        <v>22</v>
      </c>
      <c r="C197" s="281" t="s">
        <v>2159</v>
      </c>
      <c r="D197" s="283">
        <v>4892</v>
      </c>
      <c r="E197" s="284">
        <v>44539</v>
      </c>
      <c r="F197" s="284">
        <v>44599</v>
      </c>
      <c r="G197" s="285">
        <f t="shared" si="6"/>
        <v>60</v>
      </c>
      <c r="H197" s="286">
        <f t="shared" si="7"/>
        <v>0.02</v>
      </c>
      <c r="I197" s="287">
        <f t="shared" si="8"/>
        <v>97.84</v>
      </c>
    </row>
    <row r="198" spans="1:9" x14ac:dyDescent="0.35">
      <c r="A198" s="281" t="s">
        <v>2026</v>
      </c>
      <c r="B198" s="282">
        <v>5</v>
      </c>
      <c r="C198" s="281" t="s">
        <v>2160</v>
      </c>
      <c r="D198" s="283">
        <v>4350</v>
      </c>
      <c r="E198" s="284">
        <v>44523</v>
      </c>
      <c r="F198" s="284">
        <v>44599</v>
      </c>
      <c r="G198" s="285">
        <f t="shared" si="6"/>
        <v>76</v>
      </c>
      <c r="H198" s="286">
        <f t="shared" si="7"/>
        <v>0.02</v>
      </c>
      <c r="I198" s="287">
        <f t="shared" si="8"/>
        <v>87</v>
      </c>
    </row>
    <row r="199" spans="1:9" x14ac:dyDescent="0.35">
      <c r="A199" s="281" t="s">
        <v>2004</v>
      </c>
      <c r="B199" s="282">
        <v>11</v>
      </c>
      <c r="C199" s="281" t="s">
        <v>2161</v>
      </c>
      <c r="D199" s="283">
        <v>8676</v>
      </c>
      <c r="E199" s="284">
        <v>44538</v>
      </c>
      <c r="F199" s="284">
        <v>44599</v>
      </c>
      <c r="G199" s="285">
        <f t="shared" si="6"/>
        <v>61</v>
      </c>
      <c r="H199" s="286">
        <f t="shared" si="7"/>
        <v>0.02</v>
      </c>
      <c r="I199" s="287">
        <f t="shared" si="8"/>
        <v>173.52</v>
      </c>
    </row>
    <row r="200" spans="1:9" x14ac:dyDescent="0.35">
      <c r="A200" s="281" t="s">
        <v>1992</v>
      </c>
      <c r="B200" s="282">
        <v>19</v>
      </c>
      <c r="C200" s="281" t="s">
        <v>2162</v>
      </c>
      <c r="D200" s="283">
        <v>8827</v>
      </c>
      <c r="E200" s="284">
        <v>44555</v>
      </c>
      <c r="F200" s="284">
        <v>44599</v>
      </c>
      <c r="G200" s="285">
        <f t="shared" si="6"/>
        <v>44</v>
      </c>
      <c r="H200" s="286">
        <f t="shared" si="7"/>
        <v>0.01</v>
      </c>
      <c r="I200" s="287">
        <f t="shared" si="8"/>
        <v>88.27</v>
      </c>
    </row>
    <row r="201" spans="1:9" x14ac:dyDescent="0.35">
      <c r="A201" s="281" t="s">
        <v>1939</v>
      </c>
      <c r="B201" s="282">
        <v>20</v>
      </c>
      <c r="C201" s="281" t="s">
        <v>2163</v>
      </c>
      <c r="D201" s="283">
        <v>2642</v>
      </c>
      <c r="E201" s="284">
        <v>44510</v>
      </c>
      <c r="F201" s="284">
        <v>44599</v>
      </c>
      <c r="G201" s="285">
        <f t="shared" si="6"/>
        <v>89</v>
      </c>
      <c r="H201" s="286">
        <f t="shared" si="7"/>
        <v>0.03</v>
      </c>
      <c r="I201" s="287">
        <f t="shared" si="8"/>
        <v>79.259999999999991</v>
      </c>
    </row>
    <row r="202" spans="1:9" x14ac:dyDescent="0.35">
      <c r="A202" s="281" t="s">
        <v>2026</v>
      </c>
      <c r="B202" s="282">
        <v>5</v>
      </c>
      <c r="C202" s="281" t="s">
        <v>2164</v>
      </c>
      <c r="D202" s="283">
        <v>8003</v>
      </c>
      <c r="E202" s="284">
        <v>44568</v>
      </c>
      <c r="F202" s="284">
        <v>44599</v>
      </c>
      <c r="G202" s="285">
        <f t="shared" si="6"/>
        <v>31</v>
      </c>
      <c r="H202" s="286">
        <f t="shared" si="7"/>
        <v>0.01</v>
      </c>
      <c r="I202" s="287">
        <f t="shared" si="8"/>
        <v>80.03</v>
      </c>
    </row>
    <row r="203" spans="1:9" x14ac:dyDescent="0.35">
      <c r="A203" s="281" t="s">
        <v>1992</v>
      </c>
      <c r="B203" s="282">
        <v>19</v>
      </c>
      <c r="C203" s="281" t="s">
        <v>2165</v>
      </c>
      <c r="D203" s="283">
        <v>8827</v>
      </c>
      <c r="E203" s="284">
        <v>44502</v>
      </c>
      <c r="F203" s="284">
        <v>44599</v>
      </c>
      <c r="G203" s="285">
        <f t="shared" si="6"/>
        <v>97</v>
      </c>
      <c r="H203" s="286">
        <f t="shared" si="7"/>
        <v>0.03</v>
      </c>
      <c r="I203" s="287">
        <f t="shared" si="8"/>
        <v>264.81</v>
      </c>
    </row>
    <row r="204" spans="1:9" x14ac:dyDescent="0.35">
      <c r="A204" s="281" t="s">
        <v>2004</v>
      </c>
      <c r="B204" s="282">
        <v>11</v>
      </c>
      <c r="C204" s="281" t="s">
        <v>2166</v>
      </c>
      <c r="D204" s="283">
        <v>3958</v>
      </c>
      <c r="E204" s="284">
        <v>44512</v>
      </c>
      <c r="F204" s="284">
        <v>44599</v>
      </c>
      <c r="G204" s="285">
        <f t="shared" si="6"/>
        <v>87</v>
      </c>
      <c r="H204" s="286">
        <f t="shared" si="7"/>
        <v>0.03</v>
      </c>
      <c r="I204" s="287">
        <f t="shared" si="8"/>
        <v>118.74</v>
      </c>
    </row>
    <row r="205" spans="1:9" x14ac:dyDescent="0.35">
      <c r="A205" s="281" t="s">
        <v>1994</v>
      </c>
      <c r="B205" s="282">
        <v>13</v>
      </c>
      <c r="C205" s="281" t="s">
        <v>2167</v>
      </c>
      <c r="D205" s="283">
        <v>3030</v>
      </c>
      <c r="E205" s="284">
        <v>44510</v>
      </c>
      <c r="F205" s="284">
        <v>44599</v>
      </c>
      <c r="G205" s="285">
        <f t="shared" ref="G205:G268" si="9">F205-E205</f>
        <v>89</v>
      </c>
      <c r="H205" s="286">
        <f t="shared" ref="H205:H268" si="10">IF(G205&lt;=30,0,IF(G205&lt;60,1%,IF(G205&lt;80,2%,3%)))</f>
        <v>0.03</v>
      </c>
      <c r="I205" s="287">
        <f t="shared" ref="I205:I268" si="11">H205*D205</f>
        <v>90.899999999999991</v>
      </c>
    </row>
    <row r="206" spans="1:9" x14ac:dyDescent="0.35">
      <c r="A206" s="281" t="s">
        <v>2141</v>
      </c>
      <c r="B206" s="282">
        <v>17</v>
      </c>
      <c r="C206" s="281" t="s">
        <v>2168</v>
      </c>
      <c r="D206" s="283">
        <v>1129</v>
      </c>
      <c r="E206" s="284">
        <v>44504</v>
      </c>
      <c r="F206" s="284">
        <v>44599</v>
      </c>
      <c r="G206" s="285">
        <f t="shared" si="9"/>
        <v>95</v>
      </c>
      <c r="H206" s="286">
        <f t="shared" si="10"/>
        <v>0.03</v>
      </c>
      <c r="I206" s="287">
        <f t="shared" si="11"/>
        <v>33.869999999999997</v>
      </c>
    </row>
    <row r="207" spans="1:9" x14ac:dyDescent="0.35">
      <c r="A207" s="281" t="s">
        <v>1945</v>
      </c>
      <c r="B207" s="282">
        <v>21</v>
      </c>
      <c r="C207" s="281" t="s">
        <v>2169</v>
      </c>
      <c r="D207" s="283">
        <v>4603</v>
      </c>
      <c r="E207" s="284">
        <v>44557</v>
      </c>
      <c r="F207" s="284">
        <v>44599</v>
      </c>
      <c r="G207" s="285">
        <f t="shared" si="9"/>
        <v>42</v>
      </c>
      <c r="H207" s="286">
        <f t="shared" si="10"/>
        <v>0.01</v>
      </c>
      <c r="I207" s="287">
        <f t="shared" si="11"/>
        <v>46.03</v>
      </c>
    </row>
    <row r="208" spans="1:9" x14ac:dyDescent="0.35">
      <c r="A208" s="281" t="s">
        <v>1980</v>
      </c>
      <c r="B208" s="282">
        <v>7</v>
      </c>
      <c r="C208" s="281" t="s">
        <v>2170</v>
      </c>
      <c r="D208" s="283">
        <v>2529</v>
      </c>
      <c r="E208" s="284">
        <v>44526</v>
      </c>
      <c r="F208" s="284">
        <v>44599</v>
      </c>
      <c r="G208" s="285">
        <f t="shared" si="9"/>
        <v>73</v>
      </c>
      <c r="H208" s="286">
        <f t="shared" si="10"/>
        <v>0.02</v>
      </c>
      <c r="I208" s="287">
        <f t="shared" si="11"/>
        <v>50.58</v>
      </c>
    </row>
    <row r="209" spans="1:9" x14ac:dyDescent="0.35">
      <c r="A209" s="281" t="s">
        <v>1960</v>
      </c>
      <c r="B209" s="282">
        <v>6</v>
      </c>
      <c r="C209" s="281" t="s">
        <v>2171</v>
      </c>
      <c r="D209" s="283">
        <v>6879</v>
      </c>
      <c r="E209" s="284">
        <v>44566</v>
      </c>
      <c r="F209" s="284">
        <v>44599</v>
      </c>
      <c r="G209" s="285">
        <f t="shared" si="9"/>
        <v>33</v>
      </c>
      <c r="H209" s="286">
        <f t="shared" si="10"/>
        <v>0.01</v>
      </c>
      <c r="I209" s="287">
        <f t="shared" si="11"/>
        <v>68.790000000000006</v>
      </c>
    </row>
    <row r="210" spans="1:9" x14ac:dyDescent="0.35">
      <c r="A210" s="281" t="s">
        <v>2000</v>
      </c>
      <c r="B210" s="282">
        <v>23</v>
      </c>
      <c r="C210" s="281" t="s">
        <v>2172</v>
      </c>
      <c r="D210" s="283">
        <v>5731</v>
      </c>
      <c r="E210" s="284">
        <v>44508</v>
      </c>
      <c r="F210" s="284">
        <v>44599</v>
      </c>
      <c r="G210" s="285">
        <f t="shared" si="9"/>
        <v>91</v>
      </c>
      <c r="H210" s="286">
        <f t="shared" si="10"/>
        <v>0.03</v>
      </c>
      <c r="I210" s="287">
        <f t="shared" si="11"/>
        <v>171.93</v>
      </c>
    </row>
    <row r="211" spans="1:9" x14ac:dyDescent="0.35">
      <c r="A211" s="281" t="s">
        <v>1942</v>
      </c>
      <c r="B211" s="282">
        <v>8</v>
      </c>
      <c r="C211" s="281" t="s">
        <v>2173</v>
      </c>
      <c r="D211" s="283">
        <v>5445</v>
      </c>
      <c r="E211" s="284">
        <v>44566</v>
      </c>
      <c r="F211" s="284">
        <v>44599</v>
      </c>
      <c r="G211" s="285">
        <f t="shared" si="9"/>
        <v>33</v>
      </c>
      <c r="H211" s="286">
        <f t="shared" si="10"/>
        <v>0.01</v>
      </c>
      <c r="I211" s="287">
        <f t="shared" si="11"/>
        <v>54.45</v>
      </c>
    </row>
    <row r="212" spans="1:9" x14ac:dyDescent="0.35">
      <c r="A212" s="281" t="s">
        <v>1980</v>
      </c>
      <c r="B212" s="282">
        <v>7</v>
      </c>
      <c r="C212" s="281" t="s">
        <v>2174</v>
      </c>
      <c r="D212" s="283">
        <v>3129</v>
      </c>
      <c r="E212" s="284">
        <v>44538</v>
      </c>
      <c r="F212" s="284">
        <v>44599</v>
      </c>
      <c r="G212" s="285">
        <f t="shared" si="9"/>
        <v>61</v>
      </c>
      <c r="H212" s="286">
        <f t="shared" si="10"/>
        <v>0.02</v>
      </c>
      <c r="I212" s="287">
        <f t="shared" si="11"/>
        <v>62.58</v>
      </c>
    </row>
    <row r="213" spans="1:9" x14ac:dyDescent="0.35">
      <c r="A213" s="281" t="s">
        <v>1966</v>
      </c>
      <c r="B213" s="282">
        <v>12</v>
      </c>
      <c r="C213" s="281" t="s">
        <v>2175</v>
      </c>
      <c r="D213" s="283">
        <v>6712</v>
      </c>
      <c r="E213" s="284">
        <v>44523</v>
      </c>
      <c r="F213" s="284">
        <v>44599</v>
      </c>
      <c r="G213" s="285">
        <f t="shared" si="9"/>
        <v>76</v>
      </c>
      <c r="H213" s="286">
        <f t="shared" si="10"/>
        <v>0.02</v>
      </c>
      <c r="I213" s="287">
        <f t="shared" si="11"/>
        <v>134.24</v>
      </c>
    </row>
    <row r="214" spans="1:9" x14ac:dyDescent="0.35">
      <c r="A214" s="281" t="s">
        <v>1976</v>
      </c>
      <c r="B214" s="282">
        <v>3</v>
      </c>
      <c r="C214" s="281" t="s">
        <v>2176</v>
      </c>
      <c r="D214" s="283">
        <v>5353</v>
      </c>
      <c r="E214" s="284">
        <v>44572</v>
      </c>
      <c r="F214" s="284">
        <v>44599</v>
      </c>
      <c r="G214" s="285">
        <f t="shared" si="9"/>
        <v>27</v>
      </c>
      <c r="H214" s="286">
        <f t="shared" si="10"/>
        <v>0</v>
      </c>
      <c r="I214" s="287">
        <f t="shared" si="11"/>
        <v>0</v>
      </c>
    </row>
    <row r="215" spans="1:9" x14ac:dyDescent="0.35">
      <c r="A215" s="281" t="s">
        <v>2000</v>
      </c>
      <c r="B215" s="282">
        <v>23</v>
      </c>
      <c r="C215" s="281" t="s">
        <v>2177</v>
      </c>
      <c r="D215" s="283">
        <v>6503</v>
      </c>
      <c r="E215" s="284">
        <v>44522</v>
      </c>
      <c r="F215" s="284">
        <v>44599</v>
      </c>
      <c r="G215" s="285">
        <f t="shared" si="9"/>
        <v>77</v>
      </c>
      <c r="H215" s="286">
        <f t="shared" si="10"/>
        <v>0.02</v>
      </c>
      <c r="I215" s="287">
        <f t="shared" si="11"/>
        <v>130.06</v>
      </c>
    </row>
    <row r="216" spans="1:9" x14ac:dyDescent="0.35">
      <c r="A216" s="281" t="s">
        <v>1989</v>
      </c>
      <c r="B216" s="282">
        <v>14</v>
      </c>
      <c r="C216" s="281" t="s">
        <v>2178</v>
      </c>
      <c r="D216" s="283">
        <v>7928</v>
      </c>
      <c r="E216" s="284">
        <v>44566</v>
      </c>
      <c r="F216" s="284">
        <v>44599</v>
      </c>
      <c r="G216" s="285">
        <f t="shared" si="9"/>
        <v>33</v>
      </c>
      <c r="H216" s="286">
        <f t="shared" si="10"/>
        <v>0.01</v>
      </c>
      <c r="I216" s="287">
        <f t="shared" si="11"/>
        <v>79.28</v>
      </c>
    </row>
    <row r="217" spans="1:9" x14ac:dyDescent="0.35">
      <c r="A217" s="281" t="s">
        <v>1960</v>
      </c>
      <c r="B217" s="282">
        <v>6</v>
      </c>
      <c r="C217" s="281" t="s">
        <v>2179</v>
      </c>
      <c r="D217" s="283">
        <v>2493</v>
      </c>
      <c r="E217" s="284">
        <v>44515</v>
      </c>
      <c r="F217" s="284">
        <v>44599</v>
      </c>
      <c r="G217" s="285">
        <f t="shared" si="9"/>
        <v>84</v>
      </c>
      <c r="H217" s="286">
        <f t="shared" si="10"/>
        <v>0.03</v>
      </c>
      <c r="I217" s="287">
        <f t="shared" si="11"/>
        <v>74.789999999999992</v>
      </c>
    </row>
    <row r="218" spans="1:9" x14ac:dyDescent="0.35">
      <c r="A218" s="281" t="s">
        <v>1980</v>
      </c>
      <c r="B218" s="282">
        <v>7</v>
      </c>
      <c r="C218" s="281" t="s">
        <v>2180</v>
      </c>
      <c r="D218" s="283">
        <v>8634</v>
      </c>
      <c r="E218" s="284">
        <v>44569</v>
      </c>
      <c r="F218" s="284">
        <v>44599</v>
      </c>
      <c r="G218" s="285">
        <f t="shared" si="9"/>
        <v>30</v>
      </c>
      <c r="H218" s="286">
        <f t="shared" si="10"/>
        <v>0</v>
      </c>
      <c r="I218" s="287">
        <f t="shared" si="11"/>
        <v>0</v>
      </c>
    </row>
    <row r="219" spans="1:9" x14ac:dyDescent="0.35">
      <c r="A219" s="281" t="s">
        <v>1951</v>
      </c>
      <c r="B219" s="282">
        <v>25</v>
      </c>
      <c r="C219" s="281" t="s">
        <v>2181</v>
      </c>
      <c r="D219" s="283">
        <v>9974</v>
      </c>
      <c r="E219" s="284">
        <v>44564</v>
      </c>
      <c r="F219" s="284">
        <v>44599</v>
      </c>
      <c r="G219" s="285">
        <f t="shared" si="9"/>
        <v>35</v>
      </c>
      <c r="H219" s="286">
        <f t="shared" si="10"/>
        <v>0.01</v>
      </c>
      <c r="I219" s="287">
        <f t="shared" si="11"/>
        <v>99.740000000000009</v>
      </c>
    </row>
    <row r="220" spans="1:9" x14ac:dyDescent="0.35">
      <c r="A220" s="281" t="s">
        <v>1977</v>
      </c>
      <c r="B220" s="282">
        <v>22</v>
      </c>
      <c r="C220" s="281" t="s">
        <v>2182</v>
      </c>
      <c r="D220" s="283">
        <v>9996</v>
      </c>
      <c r="E220" s="284">
        <v>44524</v>
      </c>
      <c r="F220" s="284">
        <v>44599</v>
      </c>
      <c r="G220" s="285">
        <f t="shared" si="9"/>
        <v>75</v>
      </c>
      <c r="H220" s="286">
        <f t="shared" si="10"/>
        <v>0.02</v>
      </c>
      <c r="I220" s="287">
        <f t="shared" si="11"/>
        <v>199.92000000000002</v>
      </c>
    </row>
    <row r="221" spans="1:9" x14ac:dyDescent="0.35">
      <c r="A221" s="281" t="s">
        <v>2004</v>
      </c>
      <c r="B221" s="282">
        <v>11</v>
      </c>
      <c r="C221" s="281" t="s">
        <v>2183</v>
      </c>
      <c r="D221" s="283">
        <v>1070</v>
      </c>
      <c r="E221" s="284">
        <v>44524</v>
      </c>
      <c r="F221" s="284">
        <v>44599</v>
      </c>
      <c r="G221" s="285">
        <f t="shared" si="9"/>
        <v>75</v>
      </c>
      <c r="H221" s="286">
        <f t="shared" si="10"/>
        <v>0.02</v>
      </c>
      <c r="I221" s="287">
        <f t="shared" si="11"/>
        <v>21.400000000000002</v>
      </c>
    </row>
    <row r="222" spans="1:9" x14ac:dyDescent="0.35">
      <c r="A222" s="281" t="s">
        <v>1939</v>
      </c>
      <c r="B222" s="282">
        <v>20</v>
      </c>
      <c r="C222" s="281" t="s">
        <v>2184</v>
      </c>
      <c r="D222" s="283">
        <v>5009</v>
      </c>
      <c r="E222" s="284">
        <v>44560</v>
      </c>
      <c r="F222" s="284">
        <v>44599</v>
      </c>
      <c r="G222" s="285">
        <f t="shared" si="9"/>
        <v>39</v>
      </c>
      <c r="H222" s="286">
        <f t="shared" si="10"/>
        <v>0.01</v>
      </c>
      <c r="I222" s="287">
        <f t="shared" si="11"/>
        <v>50.09</v>
      </c>
    </row>
    <row r="223" spans="1:9" x14ac:dyDescent="0.35">
      <c r="A223" s="281" t="s">
        <v>1986</v>
      </c>
      <c r="B223" s="282">
        <v>16</v>
      </c>
      <c r="C223" s="281" t="s">
        <v>2185</v>
      </c>
      <c r="D223" s="283">
        <v>2255</v>
      </c>
      <c r="E223" s="284">
        <v>44539</v>
      </c>
      <c r="F223" s="284">
        <v>44599</v>
      </c>
      <c r="G223" s="285">
        <f t="shared" si="9"/>
        <v>60</v>
      </c>
      <c r="H223" s="286">
        <f t="shared" si="10"/>
        <v>0.02</v>
      </c>
      <c r="I223" s="287">
        <f t="shared" si="11"/>
        <v>45.1</v>
      </c>
    </row>
    <row r="224" spans="1:9" x14ac:dyDescent="0.35">
      <c r="A224" s="281" t="s">
        <v>1969</v>
      </c>
      <c r="B224" s="282">
        <v>2</v>
      </c>
      <c r="C224" s="281" t="s">
        <v>2186</v>
      </c>
      <c r="D224" s="283">
        <v>9840</v>
      </c>
      <c r="E224" s="284">
        <v>44512</v>
      </c>
      <c r="F224" s="284">
        <v>44599</v>
      </c>
      <c r="G224" s="285">
        <f t="shared" si="9"/>
        <v>87</v>
      </c>
      <c r="H224" s="286">
        <f t="shared" si="10"/>
        <v>0.03</v>
      </c>
      <c r="I224" s="287">
        <f t="shared" si="11"/>
        <v>295.2</v>
      </c>
    </row>
    <row r="225" spans="1:9" x14ac:dyDescent="0.35">
      <c r="A225" s="281" t="s">
        <v>1942</v>
      </c>
      <c r="B225" s="282">
        <v>8</v>
      </c>
      <c r="C225" s="281" t="s">
        <v>2187</v>
      </c>
      <c r="D225" s="283">
        <v>5237</v>
      </c>
      <c r="E225" s="284">
        <v>44502</v>
      </c>
      <c r="F225" s="284">
        <v>44599</v>
      </c>
      <c r="G225" s="285">
        <f t="shared" si="9"/>
        <v>97</v>
      </c>
      <c r="H225" s="286">
        <f t="shared" si="10"/>
        <v>0.03</v>
      </c>
      <c r="I225" s="287">
        <f t="shared" si="11"/>
        <v>157.10999999999999</v>
      </c>
    </row>
    <row r="226" spans="1:9" x14ac:dyDescent="0.35">
      <c r="A226" s="281" t="s">
        <v>1978</v>
      </c>
      <c r="B226" s="282">
        <v>15</v>
      </c>
      <c r="C226" s="281" t="s">
        <v>2188</v>
      </c>
      <c r="D226" s="283">
        <v>6286</v>
      </c>
      <c r="E226" s="284">
        <v>44576</v>
      </c>
      <c r="F226" s="284">
        <v>44599</v>
      </c>
      <c r="G226" s="285">
        <f t="shared" si="9"/>
        <v>23</v>
      </c>
      <c r="H226" s="286">
        <f t="shared" si="10"/>
        <v>0</v>
      </c>
      <c r="I226" s="287">
        <f t="shared" si="11"/>
        <v>0</v>
      </c>
    </row>
    <row r="227" spans="1:9" x14ac:dyDescent="0.35">
      <c r="A227" s="281" t="s">
        <v>1948</v>
      </c>
      <c r="B227" s="282">
        <v>18</v>
      </c>
      <c r="C227" s="281" t="s">
        <v>2189</v>
      </c>
      <c r="D227" s="283">
        <v>6275</v>
      </c>
      <c r="E227" s="284">
        <v>44558</v>
      </c>
      <c r="F227" s="284">
        <v>44599</v>
      </c>
      <c r="G227" s="285">
        <f t="shared" si="9"/>
        <v>41</v>
      </c>
      <c r="H227" s="286">
        <f t="shared" si="10"/>
        <v>0.01</v>
      </c>
      <c r="I227" s="287">
        <f t="shared" si="11"/>
        <v>62.75</v>
      </c>
    </row>
    <row r="228" spans="1:9" x14ac:dyDescent="0.35">
      <c r="A228" s="281" t="s">
        <v>1962</v>
      </c>
      <c r="B228" s="282">
        <v>1</v>
      </c>
      <c r="C228" s="281" t="s">
        <v>2190</v>
      </c>
      <c r="D228" s="283">
        <v>9101</v>
      </c>
      <c r="E228" s="284">
        <v>44528</v>
      </c>
      <c r="F228" s="284">
        <v>44599</v>
      </c>
      <c r="G228" s="285">
        <f t="shared" si="9"/>
        <v>71</v>
      </c>
      <c r="H228" s="286">
        <f t="shared" si="10"/>
        <v>0.02</v>
      </c>
      <c r="I228" s="287">
        <f t="shared" si="11"/>
        <v>182.02</v>
      </c>
    </row>
    <row r="229" spans="1:9" x14ac:dyDescent="0.35">
      <c r="A229" s="281" t="s">
        <v>1966</v>
      </c>
      <c r="B229" s="282">
        <v>12</v>
      </c>
      <c r="C229" s="281" t="s">
        <v>2191</v>
      </c>
      <c r="D229" s="283">
        <v>7019</v>
      </c>
      <c r="E229" s="284">
        <v>44506</v>
      </c>
      <c r="F229" s="284">
        <v>44599</v>
      </c>
      <c r="G229" s="285">
        <f t="shared" si="9"/>
        <v>93</v>
      </c>
      <c r="H229" s="286">
        <f t="shared" si="10"/>
        <v>0.03</v>
      </c>
      <c r="I229" s="287">
        <f t="shared" si="11"/>
        <v>210.57</v>
      </c>
    </row>
    <row r="230" spans="1:9" x14ac:dyDescent="0.35">
      <c r="A230" s="281" t="s">
        <v>1986</v>
      </c>
      <c r="B230" s="282">
        <v>16</v>
      </c>
      <c r="C230" s="281" t="s">
        <v>2192</v>
      </c>
      <c r="D230" s="283">
        <v>5348</v>
      </c>
      <c r="E230" s="284">
        <v>44504</v>
      </c>
      <c r="F230" s="284">
        <v>44599</v>
      </c>
      <c r="G230" s="285">
        <f t="shared" si="9"/>
        <v>95</v>
      </c>
      <c r="H230" s="286">
        <f t="shared" si="10"/>
        <v>0.03</v>
      </c>
      <c r="I230" s="287">
        <f t="shared" si="11"/>
        <v>160.44</v>
      </c>
    </row>
    <row r="231" spans="1:9" x14ac:dyDescent="0.35">
      <c r="A231" s="281" t="s">
        <v>1986</v>
      </c>
      <c r="B231" s="282">
        <v>16</v>
      </c>
      <c r="C231" s="281" t="s">
        <v>2193</v>
      </c>
      <c r="D231" s="283">
        <v>9860</v>
      </c>
      <c r="E231" s="284">
        <v>44514</v>
      </c>
      <c r="F231" s="284">
        <v>44599</v>
      </c>
      <c r="G231" s="285">
        <f t="shared" si="9"/>
        <v>85</v>
      </c>
      <c r="H231" s="286">
        <f t="shared" si="10"/>
        <v>0.03</v>
      </c>
      <c r="I231" s="287">
        <f t="shared" si="11"/>
        <v>295.8</v>
      </c>
    </row>
    <row r="232" spans="1:9" x14ac:dyDescent="0.35">
      <c r="A232" s="281" t="s">
        <v>1962</v>
      </c>
      <c r="B232" s="282">
        <v>1</v>
      </c>
      <c r="C232" s="281" t="s">
        <v>2194</v>
      </c>
      <c r="D232" s="283">
        <v>6232</v>
      </c>
      <c r="E232" s="284">
        <v>44580</v>
      </c>
      <c r="F232" s="284">
        <v>44599</v>
      </c>
      <c r="G232" s="285">
        <f t="shared" si="9"/>
        <v>19</v>
      </c>
      <c r="H232" s="286">
        <f t="shared" si="10"/>
        <v>0</v>
      </c>
      <c r="I232" s="287">
        <f t="shared" si="11"/>
        <v>0</v>
      </c>
    </row>
    <row r="233" spans="1:9" x14ac:dyDescent="0.35">
      <c r="A233" s="281" t="s">
        <v>1939</v>
      </c>
      <c r="B233" s="282">
        <v>20</v>
      </c>
      <c r="C233" s="281" t="s">
        <v>2195</v>
      </c>
      <c r="D233" s="283">
        <v>9998</v>
      </c>
      <c r="E233" s="284">
        <v>44558</v>
      </c>
      <c r="F233" s="284">
        <v>44599</v>
      </c>
      <c r="G233" s="285">
        <f t="shared" si="9"/>
        <v>41</v>
      </c>
      <c r="H233" s="286">
        <f t="shared" si="10"/>
        <v>0.01</v>
      </c>
      <c r="I233" s="287">
        <f t="shared" si="11"/>
        <v>99.98</v>
      </c>
    </row>
    <row r="234" spans="1:9" x14ac:dyDescent="0.35">
      <c r="A234" s="281" t="s">
        <v>1994</v>
      </c>
      <c r="B234" s="282">
        <v>13</v>
      </c>
      <c r="C234" s="281" t="s">
        <v>2196</v>
      </c>
      <c r="D234" s="283">
        <v>8263</v>
      </c>
      <c r="E234" s="284">
        <v>44546</v>
      </c>
      <c r="F234" s="284">
        <v>44599</v>
      </c>
      <c r="G234" s="285">
        <f t="shared" si="9"/>
        <v>53</v>
      </c>
      <c r="H234" s="286">
        <f t="shared" si="10"/>
        <v>0.01</v>
      </c>
      <c r="I234" s="287">
        <f t="shared" si="11"/>
        <v>82.63</v>
      </c>
    </row>
    <row r="235" spans="1:9" x14ac:dyDescent="0.35">
      <c r="A235" s="281" t="s">
        <v>1992</v>
      </c>
      <c r="B235" s="282">
        <v>19</v>
      </c>
      <c r="C235" s="281" t="s">
        <v>2197</v>
      </c>
      <c r="D235" s="283">
        <v>5169</v>
      </c>
      <c r="E235" s="284">
        <v>44572</v>
      </c>
      <c r="F235" s="284">
        <v>44599</v>
      </c>
      <c r="G235" s="285">
        <f t="shared" si="9"/>
        <v>27</v>
      </c>
      <c r="H235" s="286">
        <f t="shared" si="10"/>
        <v>0</v>
      </c>
      <c r="I235" s="287">
        <f t="shared" si="11"/>
        <v>0</v>
      </c>
    </row>
    <row r="236" spans="1:9" x14ac:dyDescent="0.35">
      <c r="A236" s="281" t="s">
        <v>2026</v>
      </c>
      <c r="B236" s="282">
        <v>5</v>
      </c>
      <c r="C236" s="281" t="s">
        <v>2198</v>
      </c>
      <c r="D236" s="283">
        <v>3173</v>
      </c>
      <c r="E236" s="284">
        <v>44536</v>
      </c>
      <c r="F236" s="284">
        <v>44599</v>
      </c>
      <c r="G236" s="285">
        <f t="shared" si="9"/>
        <v>63</v>
      </c>
      <c r="H236" s="286">
        <f t="shared" si="10"/>
        <v>0.02</v>
      </c>
      <c r="I236" s="287">
        <f t="shared" si="11"/>
        <v>63.46</v>
      </c>
    </row>
    <row r="237" spans="1:9" x14ac:dyDescent="0.35">
      <c r="A237" s="281" t="s">
        <v>1939</v>
      </c>
      <c r="B237" s="282">
        <v>20</v>
      </c>
      <c r="C237" s="281" t="s">
        <v>2199</v>
      </c>
      <c r="D237" s="283">
        <v>8182</v>
      </c>
      <c r="E237" s="284">
        <v>44553</v>
      </c>
      <c r="F237" s="284">
        <v>44599</v>
      </c>
      <c r="G237" s="285">
        <f t="shared" si="9"/>
        <v>46</v>
      </c>
      <c r="H237" s="286">
        <f t="shared" si="10"/>
        <v>0.01</v>
      </c>
      <c r="I237" s="287">
        <f t="shared" si="11"/>
        <v>81.820000000000007</v>
      </c>
    </row>
    <row r="238" spans="1:9" x14ac:dyDescent="0.35">
      <c r="A238" s="281" t="s">
        <v>1980</v>
      </c>
      <c r="B238" s="282">
        <v>7</v>
      </c>
      <c r="C238" s="281" t="s">
        <v>2200</v>
      </c>
      <c r="D238" s="283">
        <v>3337</v>
      </c>
      <c r="E238" s="284">
        <v>44523</v>
      </c>
      <c r="F238" s="284">
        <v>44599</v>
      </c>
      <c r="G238" s="285">
        <f t="shared" si="9"/>
        <v>76</v>
      </c>
      <c r="H238" s="286">
        <f t="shared" si="10"/>
        <v>0.02</v>
      </c>
      <c r="I238" s="287">
        <f t="shared" si="11"/>
        <v>66.739999999999995</v>
      </c>
    </row>
    <row r="239" spans="1:9" x14ac:dyDescent="0.35">
      <c r="A239" s="281" t="s">
        <v>1939</v>
      </c>
      <c r="B239" s="282">
        <v>20</v>
      </c>
      <c r="C239" s="281" t="s">
        <v>2201</v>
      </c>
      <c r="D239" s="283">
        <v>8306</v>
      </c>
      <c r="E239" s="284">
        <v>44558</v>
      </c>
      <c r="F239" s="284">
        <v>44599</v>
      </c>
      <c r="G239" s="285">
        <f t="shared" si="9"/>
        <v>41</v>
      </c>
      <c r="H239" s="286">
        <f t="shared" si="10"/>
        <v>0.01</v>
      </c>
      <c r="I239" s="287">
        <f t="shared" si="11"/>
        <v>83.06</v>
      </c>
    </row>
    <row r="240" spans="1:9" x14ac:dyDescent="0.35">
      <c r="A240" s="281" t="s">
        <v>1942</v>
      </c>
      <c r="B240" s="282">
        <v>8</v>
      </c>
      <c r="C240" s="281" t="s">
        <v>2202</v>
      </c>
      <c r="D240" s="283">
        <v>2093</v>
      </c>
      <c r="E240" s="284">
        <v>44550</v>
      </c>
      <c r="F240" s="284">
        <v>44599</v>
      </c>
      <c r="G240" s="285">
        <f t="shared" si="9"/>
        <v>49</v>
      </c>
      <c r="H240" s="286">
        <f t="shared" si="10"/>
        <v>0.01</v>
      </c>
      <c r="I240" s="287">
        <f t="shared" si="11"/>
        <v>20.93</v>
      </c>
    </row>
    <row r="241" spans="1:9" x14ac:dyDescent="0.35">
      <c r="A241" s="281" t="s">
        <v>1977</v>
      </c>
      <c r="B241" s="282">
        <v>22</v>
      </c>
      <c r="C241" s="281" t="s">
        <v>2203</v>
      </c>
      <c r="D241" s="283">
        <v>2323</v>
      </c>
      <c r="E241" s="284">
        <v>44522</v>
      </c>
      <c r="F241" s="284">
        <v>44599</v>
      </c>
      <c r="G241" s="285">
        <f t="shared" si="9"/>
        <v>77</v>
      </c>
      <c r="H241" s="286">
        <f t="shared" si="10"/>
        <v>0.02</v>
      </c>
      <c r="I241" s="287">
        <f t="shared" si="11"/>
        <v>46.46</v>
      </c>
    </row>
    <row r="242" spans="1:9" x14ac:dyDescent="0.35">
      <c r="A242" s="281" t="s">
        <v>1980</v>
      </c>
      <c r="B242" s="282">
        <v>7</v>
      </c>
      <c r="C242" s="281" t="s">
        <v>2204</v>
      </c>
      <c r="D242" s="283">
        <v>2013</v>
      </c>
      <c r="E242" s="284">
        <v>44518</v>
      </c>
      <c r="F242" s="284">
        <v>44599</v>
      </c>
      <c r="G242" s="285">
        <f t="shared" si="9"/>
        <v>81</v>
      </c>
      <c r="H242" s="286">
        <f t="shared" si="10"/>
        <v>0.03</v>
      </c>
      <c r="I242" s="287">
        <f t="shared" si="11"/>
        <v>60.39</v>
      </c>
    </row>
    <row r="243" spans="1:9" x14ac:dyDescent="0.35">
      <c r="A243" s="281" t="s">
        <v>2000</v>
      </c>
      <c r="B243" s="282">
        <v>23</v>
      </c>
      <c r="C243" s="281" t="s">
        <v>2205</v>
      </c>
      <c r="D243" s="283">
        <v>3891</v>
      </c>
      <c r="E243" s="284">
        <v>44544</v>
      </c>
      <c r="F243" s="284">
        <v>44599</v>
      </c>
      <c r="G243" s="285">
        <f t="shared" si="9"/>
        <v>55</v>
      </c>
      <c r="H243" s="286">
        <f t="shared" si="10"/>
        <v>0.01</v>
      </c>
      <c r="I243" s="287">
        <f t="shared" si="11"/>
        <v>38.910000000000004</v>
      </c>
    </row>
    <row r="244" spans="1:9" x14ac:dyDescent="0.35">
      <c r="A244" s="281" t="s">
        <v>1960</v>
      </c>
      <c r="B244" s="282">
        <v>6</v>
      </c>
      <c r="C244" s="281" t="s">
        <v>2206</v>
      </c>
      <c r="D244" s="283">
        <v>5579</v>
      </c>
      <c r="E244" s="284">
        <v>44572</v>
      </c>
      <c r="F244" s="284">
        <v>44599</v>
      </c>
      <c r="G244" s="285">
        <f t="shared" si="9"/>
        <v>27</v>
      </c>
      <c r="H244" s="286">
        <f t="shared" si="10"/>
        <v>0</v>
      </c>
      <c r="I244" s="287">
        <f t="shared" si="11"/>
        <v>0</v>
      </c>
    </row>
    <row r="245" spans="1:9" x14ac:dyDescent="0.35">
      <c r="A245" s="281" t="s">
        <v>2004</v>
      </c>
      <c r="B245" s="282">
        <v>11</v>
      </c>
      <c r="C245" s="281" t="s">
        <v>2207</v>
      </c>
      <c r="D245" s="283">
        <v>2112</v>
      </c>
      <c r="E245" s="284">
        <v>44517</v>
      </c>
      <c r="F245" s="284">
        <v>44599</v>
      </c>
      <c r="G245" s="285">
        <f t="shared" si="9"/>
        <v>82</v>
      </c>
      <c r="H245" s="286">
        <f t="shared" si="10"/>
        <v>0.03</v>
      </c>
      <c r="I245" s="287">
        <f t="shared" si="11"/>
        <v>63.36</v>
      </c>
    </row>
    <row r="246" spans="1:9" x14ac:dyDescent="0.35">
      <c r="A246" s="281" t="s">
        <v>1957</v>
      </c>
      <c r="B246" s="282">
        <v>10</v>
      </c>
      <c r="C246" s="281" t="s">
        <v>2208</v>
      </c>
      <c r="D246" s="283">
        <v>3175</v>
      </c>
      <c r="E246" s="284">
        <v>44542</v>
      </c>
      <c r="F246" s="284">
        <v>44599</v>
      </c>
      <c r="G246" s="285">
        <f t="shared" si="9"/>
        <v>57</v>
      </c>
      <c r="H246" s="286">
        <f t="shared" si="10"/>
        <v>0.01</v>
      </c>
      <c r="I246" s="287">
        <f t="shared" si="11"/>
        <v>31.75</v>
      </c>
    </row>
    <row r="247" spans="1:9" x14ac:dyDescent="0.35">
      <c r="A247" s="281" t="s">
        <v>2000</v>
      </c>
      <c r="B247" s="282">
        <v>23</v>
      </c>
      <c r="C247" s="281" t="s">
        <v>2209</v>
      </c>
      <c r="D247" s="283">
        <v>9318</v>
      </c>
      <c r="E247" s="284">
        <v>44555</v>
      </c>
      <c r="F247" s="284">
        <v>44599</v>
      </c>
      <c r="G247" s="285">
        <f t="shared" si="9"/>
        <v>44</v>
      </c>
      <c r="H247" s="286">
        <f t="shared" si="10"/>
        <v>0.01</v>
      </c>
      <c r="I247" s="287">
        <f t="shared" si="11"/>
        <v>93.18</v>
      </c>
    </row>
    <row r="248" spans="1:9" x14ac:dyDescent="0.35">
      <c r="A248" s="281" t="s">
        <v>2004</v>
      </c>
      <c r="B248" s="282">
        <v>11</v>
      </c>
      <c r="C248" s="281" t="s">
        <v>2210</v>
      </c>
      <c r="D248" s="283">
        <v>6141</v>
      </c>
      <c r="E248" s="284">
        <v>44533</v>
      </c>
      <c r="F248" s="284">
        <v>44599</v>
      </c>
      <c r="G248" s="285">
        <f t="shared" si="9"/>
        <v>66</v>
      </c>
      <c r="H248" s="286">
        <f t="shared" si="10"/>
        <v>0.02</v>
      </c>
      <c r="I248" s="287">
        <f t="shared" si="11"/>
        <v>122.82000000000001</v>
      </c>
    </row>
    <row r="249" spans="1:9" x14ac:dyDescent="0.35">
      <c r="A249" s="281" t="s">
        <v>1966</v>
      </c>
      <c r="B249" s="282">
        <v>12</v>
      </c>
      <c r="C249" s="281" t="s">
        <v>2211</v>
      </c>
      <c r="D249" s="283">
        <v>2009</v>
      </c>
      <c r="E249" s="284">
        <v>44506</v>
      </c>
      <c r="F249" s="284">
        <v>44599</v>
      </c>
      <c r="G249" s="285">
        <f t="shared" si="9"/>
        <v>93</v>
      </c>
      <c r="H249" s="286">
        <f t="shared" si="10"/>
        <v>0.03</v>
      </c>
      <c r="I249" s="287">
        <f t="shared" si="11"/>
        <v>60.269999999999996</v>
      </c>
    </row>
    <row r="250" spans="1:9" x14ac:dyDescent="0.35">
      <c r="A250" s="281" t="s">
        <v>1945</v>
      </c>
      <c r="B250" s="282">
        <v>21</v>
      </c>
      <c r="C250" s="281" t="s">
        <v>2212</v>
      </c>
      <c r="D250" s="283">
        <v>8337</v>
      </c>
      <c r="E250" s="284">
        <v>44514</v>
      </c>
      <c r="F250" s="284">
        <v>44599</v>
      </c>
      <c r="G250" s="285">
        <f t="shared" si="9"/>
        <v>85</v>
      </c>
      <c r="H250" s="286">
        <f t="shared" si="10"/>
        <v>0.03</v>
      </c>
      <c r="I250" s="287">
        <f t="shared" si="11"/>
        <v>250.10999999999999</v>
      </c>
    </row>
    <row r="251" spans="1:9" x14ac:dyDescent="0.35">
      <c r="A251" s="281" t="s">
        <v>1948</v>
      </c>
      <c r="B251" s="282">
        <v>18</v>
      </c>
      <c r="C251" s="281" t="s">
        <v>2213</v>
      </c>
      <c r="D251" s="283">
        <v>1429</v>
      </c>
      <c r="E251" s="284">
        <v>44513</v>
      </c>
      <c r="F251" s="284">
        <v>44599</v>
      </c>
      <c r="G251" s="285">
        <f t="shared" si="9"/>
        <v>86</v>
      </c>
      <c r="H251" s="286">
        <f t="shared" si="10"/>
        <v>0.03</v>
      </c>
      <c r="I251" s="287">
        <f t="shared" si="11"/>
        <v>42.87</v>
      </c>
    </row>
    <row r="252" spans="1:9" x14ac:dyDescent="0.35">
      <c r="A252" s="281" t="s">
        <v>1977</v>
      </c>
      <c r="B252" s="282">
        <v>6</v>
      </c>
      <c r="C252" s="281" t="s">
        <v>2214</v>
      </c>
      <c r="D252" s="283">
        <v>1233</v>
      </c>
      <c r="E252" s="284">
        <v>44572</v>
      </c>
      <c r="F252" s="284">
        <v>44599</v>
      </c>
      <c r="G252" s="285">
        <f t="shared" si="9"/>
        <v>27</v>
      </c>
      <c r="H252" s="286">
        <f t="shared" si="10"/>
        <v>0</v>
      </c>
      <c r="I252" s="287">
        <f t="shared" si="11"/>
        <v>0</v>
      </c>
    </row>
    <row r="253" spans="1:9" x14ac:dyDescent="0.35">
      <c r="A253" s="281" t="s">
        <v>2000</v>
      </c>
      <c r="B253" s="282">
        <v>23</v>
      </c>
      <c r="C253" s="281" t="s">
        <v>2215</v>
      </c>
      <c r="D253" s="283">
        <v>7250</v>
      </c>
      <c r="E253" s="284">
        <v>44534</v>
      </c>
      <c r="F253" s="284">
        <v>44599</v>
      </c>
      <c r="G253" s="285">
        <f t="shared" si="9"/>
        <v>65</v>
      </c>
      <c r="H253" s="286">
        <f t="shared" si="10"/>
        <v>0.02</v>
      </c>
      <c r="I253" s="287">
        <f t="shared" si="11"/>
        <v>145</v>
      </c>
    </row>
    <row r="254" spans="1:9" x14ac:dyDescent="0.35">
      <c r="A254" s="281" t="s">
        <v>1989</v>
      </c>
      <c r="B254" s="282">
        <v>14</v>
      </c>
      <c r="C254" s="281" t="s">
        <v>2216</v>
      </c>
      <c r="D254" s="283">
        <v>4545</v>
      </c>
      <c r="E254" s="284">
        <v>44578</v>
      </c>
      <c r="F254" s="284">
        <v>44599</v>
      </c>
      <c r="G254" s="285">
        <f t="shared" si="9"/>
        <v>21</v>
      </c>
      <c r="H254" s="286">
        <f t="shared" si="10"/>
        <v>0</v>
      </c>
      <c r="I254" s="287">
        <f t="shared" si="11"/>
        <v>0</v>
      </c>
    </row>
    <row r="255" spans="1:9" x14ac:dyDescent="0.35">
      <c r="A255" s="281" t="s">
        <v>1942</v>
      </c>
      <c r="B255" s="282">
        <v>8</v>
      </c>
      <c r="C255" s="281" t="s">
        <v>2217</v>
      </c>
      <c r="D255" s="283">
        <v>4846</v>
      </c>
      <c r="E255" s="284">
        <v>44548</v>
      </c>
      <c r="F255" s="284">
        <v>44599</v>
      </c>
      <c r="G255" s="285">
        <f t="shared" si="9"/>
        <v>51</v>
      </c>
      <c r="H255" s="286">
        <f t="shared" si="10"/>
        <v>0.01</v>
      </c>
      <c r="I255" s="287">
        <f t="shared" si="11"/>
        <v>48.46</v>
      </c>
    </row>
    <row r="256" spans="1:9" x14ac:dyDescent="0.35">
      <c r="A256" s="281" t="s">
        <v>1954</v>
      </c>
      <c r="B256" s="282">
        <v>24</v>
      </c>
      <c r="C256" s="281" t="s">
        <v>2218</v>
      </c>
      <c r="D256" s="283">
        <v>3115</v>
      </c>
      <c r="E256" s="284">
        <v>44527</v>
      </c>
      <c r="F256" s="284">
        <v>44599</v>
      </c>
      <c r="G256" s="285">
        <f t="shared" si="9"/>
        <v>72</v>
      </c>
      <c r="H256" s="286">
        <f t="shared" si="10"/>
        <v>0.02</v>
      </c>
      <c r="I256" s="287">
        <f t="shared" si="11"/>
        <v>62.300000000000004</v>
      </c>
    </row>
    <row r="257" spans="1:9" x14ac:dyDescent="0.35">
      <c r="A257" s="281" t="s">
        <v>1969</v>
      </c>
      <c r="B257" s="282">
        <v>2</v>
      </c>
      <c r="C257" s="281" t="s">
        <v>2219</v>
      </c>
      <c r="D257" s="283">
        <v>3303</v>
      </c>
      <c r="E257" s="284">
        <v>44507</v>
      </c>
      <c r="F257" s="284">
        <v>44599</v>
      </c>
      <c r="G257" s="285">
        <f t="shared" si="9"/>
        <v>92</v>
      </c>
      <c r="H257" s="286">
        <f t="shared" si="10"/>
        <v>0.03</v>
      </c>
      <c r="I257" s="287">
        <f t="shared" si="11"/>
        <v>99.09</v>
      </c>
    </row>
    <row r="258" spans="1:9" x14ac:dyDescent="0.35">
      <c r="A258" s="281" t="s">
        <v>1966</v>
      </c>
      <c r="B258" s="282">
        <v>12</v>
      </c>
      <c r="C258" s="281" t="s">
        <v>2220</v>
      </c>
      <c r="D258" s="283">
        <v>7242</v>
      </c>
      <c r="E258" s="284">
        <v>44552</v>
      </c>
      <c r="F258" s="284">
        <v>44599</v>
      </c>
      <c r="G258" s="285">
        <f t="shared" si="9"/>
        <v>47</v>
      </c>
      <c r="H258" s="286">
        <f t="shared" si="10"/>
        <v>0.01</v>
      </c>
      <c r="I258" s="287">
        <f t="shared" si="11"/>
        <v>72.42</v>
      </c>
    </row>
    <row r="259" spans="1:9" x14ac:dyDescent="0.35">
      <c r="A259" s="281" t="s">
        <v>1978</v>
      </c>
      <c r="B259" s="282">
        <v>15</v>
      </c>
      <c r="C259" s="281" t="s">
        <v>2221</v>
      </c>
      <c r="D259" s="283">
        <v>7169</v>
      </c>
      <c r="E259" s="284">
        <v>44575</v>
      </c>
      <c r="F259" s="284">
        <v>44599</v>
      </c>
      <c r="G259" s="285">
        <f t="shared" si="9"/>
        <v>24</v>
      </c>
      <c r="H259" s="286">
        <f t="shared" si="10"/>
        <v>0</v>
      </c>
      <c r="I259" s="287">
        <f t="shared" si="11"/>
        <v>0</v>
      </c>
    </row>
    <row r="260" spans="1:9" x14ac:dyDescent="0.35">
      <c r="A260" s="281" t="s">
        <v>1978</v>
      </c>
      <c r="B260" s="282">
        <v>15</v>
      </c>
      <c r="C260" s="281" t="s">
        <v>2222</v>
      </c>
      <c r="D260" s="283">
        <v>8350</v>
      </c>
      <c r="E260" s="284">
        <v>44563</v>
      </c>
      <c r="F260" s="284">
        <v>44599</v>
      </c>
      <c r="G260" s="285">
        <f t="shared" si="9"/>
        <v>36</v>
      </c>
      <c r="H260" s="286">
        <f t="shared" si="10"/>
        <v>0.01</v>
      </c>
      <c r="I260" s="287">
        <f t="shared" si="11"/>
        <v>83.5</v>
      </c>
    </row>
    <row r="261" spans="1:9" x14ac:dyDescent="0.35">
      <c r="A261" s="281" t="s">
        <v>2009</v>
      </c>
      <c r="B261" s="282">
        <v>9</v>
      </c>
      <c r="C261" s="281" t="s">
        <v>2223</v>
      </c>
      <c r="D261" s="283">
        <v>7028</v>
      </c>
      <c r="E261" s="284">
        <v>44508</v>
      </c>
      <c r="F261" s="284">
        <v>44599</v>
      </c>
      <c r="G261" s="285">
        <f t="shared" si="9"/>
        <v>91</v>
      </c>
      <c r="H261" s="286">
        <f t="shared" si="10"/>
        <v>0.03</v>
      </c>
      <c r="I261" s="287">
        <f t="shared" si="11"/>
        <v>210.84</v>
      </c>
    </row>
    <row r="262" spans="1:9" x14ac:dyDescent="0.35">
      <c r="A262" s="281" t="s">
        <v>1942</v>
      </c>
      <c r="B262" s="282">
        <v>8</v>
      </c>
      <c r="C262" s="281" t="s">
        <v>2224</v>
      </c>
      <c r="D262" s="283">
        <v>6414</v>
      </c>
      <c r="E262" s="284">
        <v>44578</v>
      </c>
      <c r="F262" s="284">
        <v>44599</v>
      </c>
      <c r="G262" s="285">
        <f t="shared" si="9"/>
        <v>21</v>
      </c>
      <c r="H262" s="286">
        <f t="shared" si="10"/>
        <v>0</v>
      </c>
      <c r="I262" s="287">
        <f t="shared" si="11"/>
        <v>0</v>
      </c>
    </row>
    <row r="263" spans="1:9" x14ac:dyDescent="0.35">
      <c r="A263" s="281" t="s">
        <v>1966</v>
      </c>
      <c r="B263" s="282">
        <v>12</v>
      </c>
      <c r="C263" s="281" t="s">
        <v>2225</v>
      </c>
      <c r="D263" s="283">
        <v>8134</v>
      </c>
      <c r="E263" s="284">
        <v>44518</v>
      </c>
      <c r="F263" s="284">
        <v>44599</v>
      </c>
      <c r="G263" s="285">
        <f t="shared" si="9"/>
        <v>81</v>
      </c>
      <c r="H263" s="286">
        <f t="shared" si="10"/>
        <v>0.03</v>
      </c>
      <c r="I263" s="287">
        <f t="shared" si="11"/>
        <v>244.01999999999998</v>
      </c>
    </row>
    <row r="264" spans="1:9" x14ac:dyDescent="0.35">
      <c r="A264" s="281" t="s">
        <v>1945</v>
      </c>
      <c r="B264" s="282">
        <v>21</v>
      </c>
      <c r="C264" s="281" t="s">
        <v>2226</v>
      </c>
      <c r="D264" s="283">
        <v>6667</v>
      </c>
      <c r="E264" s="284">
        <v>44579</v>
      </c>
      <c r="F264" s="284">
        <v>44599</v>
      </c>
      <c r="G264" s="285">
        <f t="shared" si="9"/>
        <v>20</v>
      </c>
      <c r="H264" s="286">
        <f t="shared" si="10"/>
        <v>0</v>
      </c>
      <c r="I264" s="287">
        <f t="shared" si="11"/>
        <v>0</v>
      </c>
    </row>
    <row r="265" spans="1:9" x14ac:dyDescent="0.35">
      <c r="A265" s="281" t="s">
        <v>2000</v>
      </c>
      <c r="B265" s="282">
        <v>23</v>
      </c>
      <c r="C265" s="281" t="s">
        <v>2227</v>
      </c>
      <c r="D265" s="283">
        <v>6901</v>
      </c>
      <c r="E265" s="284">
        <v>44562</v>
      </c>
      <c r="F265" s="284">
        <v>44599</v>
      </c>
      <c r="G265" s="285">
        <f t="shared" si="9"/>
        <v>37</v>
      </c>
      <c r="H265" s="286">
        <f t="shared" si="10"/>
        <v>0.01</v>
      </c>
      <c r="I265" s="287">
        <f t="shared" si="11"/>
        <v>69.010000000000005</v>
      </c>
    </row>
    <row r="266" spans="1:9" x14ac:dyDescent="0.35">
      <c r="A266" s="281" t="s">
        <v>1948</v>
      </c>
      <c r="B266" s="282">
        <v>18</v>
      </c>
      <c r="C266" s="281" t="s">
        <v>2228</v>
      </c>
      <c r="D266" s="283">
        <v>2299</v>
      </c>
      <c r="E266" s="284">
        <v>44538</v>
      </c>
      <c r="F266" s="284">
        <v>44599</v>
      </c>
      <c r="G266" s="285">
        <f t="shared" si="9"/>
        <v>61</v>
      </c>
      <c r="H266" s="286">
        <f t="shared" si="10"/>
        <v>0.02</v>
      </c>
      <c r="I266" s="287">
        <f t="shared" si="11"/>
        <v>45.980000000000004</v>
      </c>
    </row>
    <row r="267" spans="1:9" x14ac:dyDescent="0.35">
      <c r="A267" s="281" t="s">
        <v>1969</v>
      </c>
      <c r="B267" s="282">
        <v>2</v>
      </c>
      <c r="C267" s="281" t="s">
        <v>2229</v>
      </c>
      <c r="D267" s="283">
        <v>5473</v>
      </c>
      <c r="E267" s="284">
        <v>44566</v>
      </c>
      <c r="F267" s="284">
        <v>44599</v>
      </c>
      <c r="G267" s="285">
        <f t="shared" si="9"/>
        <v>33</v>
      </c>
      <c r="H267" s="286">
        <f t="shared" si="10"/>
        <v>0.01</v>
      </c>
      <c r="I267" s="287">
        <f t="shared" si="11"/>
        <v>54.730000000000004</v>
      </c>
    </row>
    <row r="268" spans="1:9" x14ac:dyDescent="0.35">
      <c r="A268" s="281" t="s">
        <v>2004</v>
      </c>
      <c r="B268" s="282">
        <v>11</v>
      </c>
      <c r="C268" s="281" t="s">
        <v>2230</v>
      </c>
      <c r="D268" s="283">
        <v>2607</v>
      </c>
      <c r="E268" s="284">
        <v>44545</v>
      </c>
      <c r="F268" s="284">
        <v>44599</v>
      </c>
      <c r="G268" s="285">
        <f t="shared" si="9"/>
        <v>54</v>
      </c>
      <c r="H268" s="286">
        <f t="shared" si="10"/>
        <v>0.01</v>
      </c>
      <c r="I268" s="287">
        <f t="shared" si="11"/>
        <v>26.07</v>
      </c>
    </row>
    <row r="269" spans="1:9" x14ac:dyDescent="0.35">
      <c r="A269" s="281" t="s">
        <v>1951</v>
      </c>
      <c r="B269" s="282">
        <v>25</v>
      </c>
      <c r="C269" s="281" t="s">
        <v>2231</v>
      </c>
      <c r="D269" s="283">
        <v>9004</v>
      </c>
      <c r="E269" s="284">
        <v>44538</v>
      </c>
      <c r="F269" s="284">
        <v>44599</v>
      </c>
      <c r="G269" s="285">
        <f t="shared" ref="G269:G331" si="12">F269-E269</f>
        <v>61</v>
      </c>
      <c r="H269" s="286">
        <f t="shared" ref="H269:H331" si="13">IF(G269&lt;=30,0,IF(G269&lt;60,1%,IF(G269&lt;80,2%,3%)))</f>
        <v>0.02</v>
      </c>
      <c r="I269" s="287">
        <f t="shared" ref="I269:I331" si="14">H269*D269</f>
        <v>180.08</v>
      </c>
    </row>
    <row r="270" spans="1:9" x14ac:dyDescent="0.35">
      <c r="A270" s="281" t="s">
        <v>1989</v>
      </c>
      <c r="B270" s="282">
        <v>14</v>
      </c>
      <c r="C270" s="281" t="s">
        <v>2232</v>
      </c>
      <c r="D270" s="283">
        <v>4656</v>
      </c>
      <c r="E270" s="284">
        <v>44516</v>
      </c>
      <c r="F270" s="284">
        <v>44599</v>
      </c>
      <c r="G270" s="285">
        <f t="shared" si="12"/>
        <v>83</v>
      </c>
      <c r="H270" s="286">
        <f t="shared" si="13"/>
        <v>0.03</v>
      </c>
      <c r="I270" s="287">
        <f t="shared" si="14"/>
        <v>139.68</v>
      </c>
    </row>
    <row r="271" spans="1:9" x14ac:dyDescent="0.35">
      <c r="A271" s="281" t="s">
        <v>1948</v>
      </c>
      <c r="B271" s="282">
        <v>18</v>
      </c>
      <c r="C271" s="281" t="s">
        <v>2233</v>
      </c>
      <c r="D271" s="283">
        <v>1564</v>
      </c>
      <c r="E271" s="284">
        <v>44575</v>
      </c>
      <c r="F271" s="284">
        <v>44599</v>
      </c>
      <c r="G271" s="285">
        <f t="shared" si="12"/>
        <v>24</v>
      </c>
      <c r="H271" s="286">
        <f t="shared" si="13"/>
        <v>0</v>
      </c>
      <c r="I271" s="287">
        <f t="shared" si="14"/>
        <v>0</v>
      </c>
    </row>
    <row r="272" spans="1:9" x14ac:dyDescent="0.35">
      <c r="A272" s="281" t="s">
        <v>1986</v>
      </c>
      <c r="B272" s="282">
        <v>16</v>
      </c>
      <c r="C272" s="281" t="s">
        <v>2234</v>
      </c>
      <c r="D272" s="283">
        <v>1703</v>
      </c>
      <c r="E272" s="284">
        <v>44529</v>
      </c>
      <c r="F272" s="284">
        <v>44599</v>
      </c>
      <c r="G272" s="285">
        <f t="shared" si="12"/>
        <v>70</v>
      </c>
      <c r="H272" s="286">
        <f t="shared" si="13"/>
        <v>0.02</v>
      </c>
      <c r="I272" s="287">
        <f t="shared" si="14"/>
        <v>34.06</v>
      </c>
    </row>
    <row r="273" spans="1:9" x14ac:dyDescent="0.35">
      <c r="A273" s="281" t="s">
        <v>2018</v>
      </c>
      <c r="B273" s="282">
        <v>4</v>
      </c>
      <c r="C273" s="281" t="s">
        <v>2235</v>
      </c>
      <c r="D273" s="283">
        <v>3498</v>
      </c>
      <c r="E273" s="284">
        <v>44535</v>
      </c>
      <c r="F273" s="284">
        <v>44599</v>
      </c>
      <c r="G273" s="285">
        <f t="shared" si="12"/>
        <v>64</v>
      </c>
      <c r="H273" s="286">
        <f t="shared" si="13"/>
        <v>0.02</v>
      </c>
      <c r="I273" s="287">
        <f t="shared" si="14"/>
        <v>69.960000000000008</v>
      </c>
    </row>
    <row r="274" spans="1:9" x14ac:dyDescent="0.35">
      <c r="A274" s="281" t="s">
        <v>1954</v>
      </c>
      <c r="B274" s="282">
        <v>24</v>
      </c>
      <c r="C274" s="281" t="s">
        <v>2236</v>
      </c>
      <c r="D274" s="283">
        <v>6723</v>
      </c>
      <c r="E274" s="284">
        <v>44513</v>
      </c>
      <c r="F274" s="284">
        <v>44599</v>
      </c>
      <c r="G274" s="285">
        <f t="shared" si="12"/>
        <v>86</v>
      </c>
      <c r="H274" s="286">
        <f t="shared" si="13"/>
        <v>0.03</v>
      </c>
      <c r="I274" s="287">
        <f t="shared" si="14"/>
        <v>201.69</v>
      </c>
    </row>
    <row r="275" spans="1:9" x14ac:dyDescent="0.35">
      <c r="A275" s="281" t="s">
        <v>1994</v>
      </c>
      <c r="B275" s="282">
        <v>13</v>
      </c>
      <c r="C275" s="281" t="s">
        <v>2237</v>
      </c>
      <c r="D275" s="283">
        <v>3043</v>
      </c>
      <c r="E275" s="284">
        <v>44546</v>
      </c>
      <c r="F275" s="284">
        <v>44599</v>
      </c>
      <c r="G275" s="285">
        <f t="shared" si="12"/>
        <v>53</v>
      </c>
      <c r="H275" s="286">
        <f t="shared" si="13"/>
        <v>0.01</v>
      </c>
      <c r="I275" s="287">
        <f t="shared" si="14"/>
        <v>30.43</v>
      </c>
    </row>
    <row r="276" spans="1:9" x14ac:dyDescent="0.35">
      <c r="A276" s="281" t="s">
        <v>2141</v>
      </c>
      <c r="B276" s="282">
        <v>17</v>
      </c>
      <c r="C276" s="281" t="s">
        <v>2238</v>
      </c>
      <c r="D276" s="283">
        <v>2428</v>
      </c>
      <c r="E276" s="284">
        <v>44531</v>
      </c>
      <c r="F276" s="284">
        <v>44599</v>
      </c>
      <c r="G276" s="285">
        <f t="shared" si="12"/>
        <v>68</v>
      </c>
      <c r="H276" s="286">
        <f t="shared" si="13"/>
        <v>0.02</v>
      </c>
      <c r="I276" s="287">
        <f t="shared" si="14"/>
        <v>48.56</v>
      </c>
    </row>
    <row r="277" spans="1:9" x14ac:dyDescent="0.35">
      <c r="A277" s="281" t="s">
        <v>2026</v>
      </c>
      <c r="B277" s="282">
        <v>5</v>
      </c>
      <c r="C277" s="281" t="s">
        <v>2239</v>
      </c>
      <c r="D277" s="283">
        <v>5955</v>
      </c>
      <c r="E277" s="284">
        <v>44513</v>
      </c>
      <c r="F277" s="284">
        <v>44599</v>
      </c>
      <c r="G277" s="285">
        <f t="shared" si="12"/>
        <v>86</v>
      </c>
      <c r="H277" s="286">
        <f t="shared" si="13"/>
        <v>0.03</v>
      </c>
      <c r="I277" s="287">
        <f t="shared" si="14"/>
        <v>178.65</v>
      </c>
    </row>
    <row r="278" spans="1:9" x14ac:dyDescent="0.35">
      <c r="A278" s="281" t="s">
        <v>1986</v>
      </c>
      <c r="B278" s="282">
        <v>16</v>
      </c>
      <c r="C278" s="281" t="s">
        <v>2240</v>
      </c>
      <c r="D278" s="283">
        <v>4363</v>
      </c>
      <c r="E278" s="284">
        <v>44575</v>
      </c>
      <c r="F278" s="284">
        <v>44599</v>
      </c>
      <c r="G278" s="285">
        <f t="shared" si="12"/>
        <v>24</v>
      </c>
      <c r="H278" s="286">
        <f t="shared" si="13"/>
        <v>0</v>
      </c>
      <c r="I278" s="287">
        <f t="shared" si="14"/>
        <v>0</v>
      </c>
    </row>
    <row r="279" spans="1:9" x14ac:dyDescent="0.35">
      <c r="A279" s="281" t="s">
        <v>1945</v>
      </c>
      <c r="B279" s="282">
        <v>21</v>
      </c>
      <c r="C279" s="281" t="s">
        <v>2241</v>
      </c>
      <c r="D279" s="283">
        <v>7694</v>
      </c>
      <c r="E279" s="284">
        <v>44555</v>
      </c>
      <c r="F279" s="284">
        <v>44599</v>
      </c>
      <c r="G279" s="285">
        <f t="shared" si="12"/>
        <v>44</v>
      </c>
      <c r="H279" s="286">
        <f t="shared" si="13"/>
        <v>0.01</v>
      </c>
      <c r="I279" s="287">
        <f t="shared" si="14"/>
        <v>76.94</v>
      </c>
    </row>
    <row r="280" spans="1:9" x14ac:dyDescent="0.35">
      <c r="A280" s="281" t="s">
        <v>2026</v>
      </c>
      <c r="B280" s="282">
        <v>5</v>
      </c>
      <c r="C280" s="281" t="s">
        <v>2242</v>
      </c>
      <c r="D280" s="283">
        <v>8856</v>
      </c>
      <c r="E280" s="284">
        <v>44564</v>
      </c>
      <c r="F280" s="284">
        <v>44599</v>
      </c>
      <c r="G280" s="285">
        <f t="shared" si="12"/>
        <v>35</v>
      </c>
      <c r="H280" s="286">
        <f t="shared" si="13"/>
        <v>0.01</v>
      </c>
      <c r="I280" s="287">
        <f t="shared" si="14"/>
        <v>88.56</v>
      </c>
    </row>
    <row r="281" spans="1:9" x14ac:dyDescent="0.35">
      <c r="A281" s="281" t="s">
        <v>1954</v>
      </c>
      <c r="B281" s="282">
        <v>24</v>
      </c>
      <c r="C281" s="281" t="s">
        <v>2243</v>
      </c>
      <c r="D281" s="283">
        <v>8065</v>
      </c>
      <c r="E281" s="284">
        <v>44503</v>
      </c>
      <c r="F281" s="284">
        <v>44599</v>
      </c>
      <c r="G281" s="285">
        <f t="shared" si="12"/>
        <v>96</v>
      </c>
      <c r="H281" s="286">
        <f t="shared" si="13"/>
        <v>0.03</v>
      </c>
      <c r="I281" s="287">
        <f t="shared" si="14"/>
        <v>241.95</v>
      </c>
    </row>
    <row r="282" spans="1:9" x14ac:dyDescent="0.35">
      <c r="A282" s="281" t="s">
        <v>1939</v>
      </c>
      <c r="B282" s="282">
        <v>20</v>
      </c>
      <c r="C282" s="281" t="s">
        <v>2244</v>
      </c>
      <c r="D282" s="283">
        <v>8409</v>
      </c>
      <c r="E282" s="284">
        <v>44531</v>
      </c>
      <c r="F282" s="284">
        <v>44599</v>
      </c>
      <c r="G282" s="285">
        <f t="shared" si="12"/>
        <v>68</v>
      </c>
      <c r="H282" s="286">
        <f t="shared" si="13"/>
        <v>0.02</v>
      </c>
      <c r="I282" s="287">
        <f t="shared" si="14"/>
        <v>168.18</v>
      </c>
    </row>
    <row r="283" spans="1:9" x14ac:dyDescent="0.35">
      <c r="A283" s="281" t="s">
        <v>1945</v>
      </c>
      <c r="B283" s="282">
        <v>21</v>
      </c>
      <c r="C283" s="281" t="s">
        <v>2245</v>
      </c>
      <c r="D283" s="283">
        <v>9394</v>
      </c>
      <c r="E283" s="284">
        <v>44502</v>
      </c>
      <c r="F283" s="284">
        <v>44599</v>
      </c>
      <c r="G283" s="285">
        <f t="shared" si="12"/>
        <v>97</v>
      </c>
      <c r="H283" s="286">
        <f t="shared" si="13"/>
        <v>0.03</v>
      </c>
      <c r="I283" s="287">
        <f t="shared" si="14"/>
        <v>281.82</v>
      </c>
    </row>
    <row r="284" spans="1:9" x14ac:dyDescent="0.35">
      <c r="A284" s="281" t="s">
        <v>1994</v>
      </c>
      <c r="B284" s="282">
        <v>13</v>
      </c>
      <c r="C284" s="281" t="s">
        <v>2246</v>
      </c>
      <c r="D284" s="283">
        <v>3838</v>
      </c>
      <c r="E284" s="284">
        <v>44552</v>
      </c>
      <c r="F284" s="284">
        <v>44599</v>
      </c>
      <c r="G284" s="285">
        <f t="shared" si="12"/>
        <v>47</v>
      </c>
      <c r="H284" s="286">
        <f t="shared" si="13"/>
        <v>0.01</v>
      </c>
      <c r="I284" s="287">
        <f t="shared" si="14"/>
        <v>38.380000000000003</v>
      </c>
    </row>
    <row r="285" spans="1:9" x14ac:dyDescent="0.35">
      <c r="A285" s="281" t="s">
        <v>1992</v>
      </c>
      <c r="B285" s="282">
        <v>19</v>
      </c>
      <c r="C285" s="281" t="s">
        <v>2247</v>
      </c>
      <c r="D285" s="283">
        <v>4995</v>
      </c>
      <c r="E285" s="284">
        <v>44540</v>
      </c>
      <c r="F285" s="284">
        <v>44599</v>
      </c>
      <c r="G285" s="285">
        <f t="shared" si="12"/>
        <v>59</v>
      </c>
      <c r="H285" s="286">
        <f t="shared" si="13"/>
        <v>0.01</v>
      </c>
      <c r="I285" s="287">
        <f t="shared" si="14"/>
        <v>49.95</v>
      </c>
    </row>
    <row r="286" spans="1:9" x14ac:dyDescent="0.35">
      <c r="A286" s="281" t="s">
        <v>1978</v>
      </c>
      <c r="B286" s="282">
        <v>15</v>
      </c>
      <c r="C286" s="281" t="s">
        <v>2248</v>
      </c>
      <c r="D286" s="283">
        <v>8565</v>
      </c>
      <c r="E286" s="284">
        <v>44533</v>
      </c>
      <c r="F286" s="284">
        <v>44599</v>
      </c>
      <c r="G286" s="285">
        <f t="shared" si="12"/>
        <v>66</v>
      </c>
      <c r="H286" s="286">
        <f t="shared" si="13"/>
        <v>0.02</v>
      </c>
      <c r="I286" s="287">
        <f t="shared" si="14"/>
        <v>171.3</v>
      </c>
    </row>
    <row r="287" spans="1:9" x14ac:dyDescent="0.35">
      <c r="A287" s="281" t="s">
        <v>1957</v>
      </c>
      <c r="B287" s="282">
        <v>10</v>
      </c>
      <c r="C287" s="281" t="s">
        <v>2249</v>
      </c>
      <c r="D287" s="283">
        <v>9056</v>
      </c>
      <c r="E287" s="284">
        <v>44519</v>
      </c>
      <c r="F287" s="284">
        <v>44599</v>
      </c>
      <c r="G287" s="285">
        <f t="shared" si="12"/>
        <v>80</v>
      </c>
      <c r="H287" s="286">
        <f t="shared" si="13"/>
        <v>0.03</v>
      </c>
      <c r="I287" s="287">
        <f t="shared" si="14"/>
        <v>271.68</v>
      </c>
    </row>
    <row r="288" spans="1:9" x14ac:dyDescent="0.35">
      <c r="A288" s="281" t="s">
        <v>1942</v>
      </c>
      <c r="B288" s="282">
        <v>8</v>
      </c>
      <c r="C288" s="281" t="s">
        <v>2250</v>
      </c>
      <c r="D288" s="283">
        <v>7620</v>
      </c>
      <c r="E288" s="284">
        <v>44570</v>
      </c>
      <c r="F288" s="284">
        <v>44599</v>
      </c>
      <c r="G288" s="285">
        <f t="shared" si="12"/>
        <v>29</v>
      </c>
      <c r="H288" s="286">
        <f t="shared" si="13"/>
        <v>0</v>
      </c>
      <c r="I288" s="287">
        <f t="shared" si="14"/>
        <v>0</v>
      </c>
    </row>
    <row r="289" spans="1:9" x14ac:dyDescent="0.35">
      <c r="A289" s="281" t="s">
        <v>1942</v>
      </c>
      <c r="B289" s="282">
        <v>8</v>
      </c>
      <c r="C289" s="281" t="s">
        <v>2251</v>
      </c>
      <c r="D289" s="283">
        <v>2302</v>
      </c>
      <c r="E289" s="284">
        <v>44501</v>
      </c>
      <c r="F289" s="284">
        <v>44599</v>
      </c>
      <c r="G289" s="285">
        <f t="shared" si="12"/>
        <v>98</v>
      </c>
      <c r="H289" s="286">
        <f t="shared" si="13"/>
        <v>0.03</v>
      </c>
      <c r="I289" s="287">
        <f t="shared" si="14"/>
        <v>69.06</v>
      </c>
    </row>
    <row r="290" spans="1:9" x14ac:dyDescent="0.35">
      <c r="A290" s="281" t="s">
        <v>1992</v>
      </c>
      <c r="B290" s="282">
        <v>19</v>
      </c>
      <c r="C290" s="281" t="s">
        <v>2252</v>
      </c>
      <c r="D290" s="283">
        <v>1195</v>
      </c>
      <c r="E290" s="284">
        <v>44541</v>
      </c>
      <c r="F290" s="284">
        <v>44599</v>
      </c>
      <c r="G290" s="285">
        <f t="shared" si="12"/>
        <v>58</v>
      </c>
      <c r="H290" s="286">
        <f t="shared" si="13"/>
        <v>0.01</v>
      </c>
      <c r="I290" s="287">
        <f t="shared" si="14"/>
        <v>11.950000000000001</v>
      </c>
    </row>
    <row r="291" spans="1:9" x14ac:dyDescent="0.35">
      <c r="A291" s="281" t="s">
        <v>2009</v>
      </c>
      <c r="B291" s="282">
        <v>9</v>
      </c>
      <c r="C291" s="281" t="s">
        <v>2253</v>
      </c>
      <c r="D291" s="283">
        <v>8677</v>
      </c>
      <c r="E291" s="284">
        <v>44515</v>
      </c>
      <c r="F291" s="284">
        <v>44599</v>
      </c>
      <c r="G291" s="285">
        <f t="shared" si="12"/>
        <v>84</v>
      </c>
      <c r="H291" s="286">
        <f t="shared" si="13"/>
        <v>0.03</v>
      </c>
      <c r="I291" s="287">
        <f t="shared" si="14"/>
        <v>260.31</v>
      </c>
    </row>
    <row r="292" spans="1:9" x14ac:dyDescent="0.35">
      <c r="A292" s="281" t="s">
        <v>1942</v>
      </c>
      <c r="B292" s="282">
        <v>8</v>
      </c>
      <c r="C292" s="281" t="s">
        <v>2254</v>
      </c>
      <c r="D292" s="283">
        <v>3385</v>
      </c>
      <c r="E292" s="284">
        <v>44531</v>
      </c>
      <c r="F292" s="284">
        <v>44599</v>
      </c>
      <c r="G292" s="285">
        <f t="shared" si="12"/>
        <v>68</v>
      </c>
      <c r="H292" s="286">
        <f t="shared" si="13"/>
        <v>0.02</v>
      </c>
      <c r="I292" s="287">
        <f t="shared" si="14"/>
        <v>67.7</v>
      </c>
    </row>
    <row r="293" spans="1:9" x14ac:dyDescent="0.35">
      <c r="A293" s="281" t="s">
        <v>1969</v>
      </c>
      <c r="B293" s="282">
        <v>2</v>
      </c>
      <c r="C293" s="281" t="s">
        <v>2255</v>
      </c>
      <c r="D293" s="283">
        <v>2881</v>
      </c>
      <c r="E293" s="284">
        <v>44540</v>
      </c>
      <c r="F293" s="284">
        <v>44599</v>
      </c>
      <c r="G293" s="285">
        <f t="shared" si="12"/>
        <v>59</v>
      </c>
      <c r="H293" s="286">
        <f t="shared" si="13"/>
        <v>0.01</v>
      </c>
      <c r="I293" s="287">
        <f t="shared" si="14"/>
        <v>28.810000000000002</v>
      </c>
    </row>
    <row r="294" spans="1:9" x14ac:dyDescent="0.35">
      <c r="A294" s="281" t="s">
        <v>1948</v>
      </c>
      <c r="B294" s="282">
        <v>18</v>
      </c>
      <c r="C294" s="281" t="s">
        <v>2256</v>
      </c>
      <c r="D294" s="283">
        <v>4492</v>
      </c>
      <c r="E294" s="284">
        <v>44534</v>
      </c>
      <c r="F294" s="284">
        <v>44599</v>
      </c>
      <c r="G294" s="285">
        <f t="shared" si="12"/>
        <v>65</v>
      </c>
      <c r="H294" s="286">
        <f t="shared" si="13"/>
        <v>0.02</v>
      </c>
      <c r="I294" s="287">
        <f t="shared" si="14"/>
        <v>89.84</v>
      </c>
    </row>
    <row r="295" spans="1:9" x14ac:dyDescent="0.35">
      <c r="A295" s="281" t="s">
        <v>1942</v>
      </c>
      <c r="B295" s="282">
        <v>8</v>
      </c>
      <c r="C295" s="281" t="s">
        <v>2257</v>
      </c>
      <c r="D295" s="283">
        <v>2006</v>
      </c>
      <c r="E295" s="284">
        <v>44575</v>
      </c>
      <c r="F295" s="284">
        <v>44599</v>
      </c>
      <c r="G295" s="285">
        <f t="shared" si="12"/>
        <v>24</v>
      </c>
      <c r="H295" s="286">
        <f t="shared" si="13"/>
        <v>0</v>
      </c>
      <c r="I295" s="287">
        <f t="shared" si="14"/>
        <v>0</v>
      </c>
    </row>
    <row r="296" spans="1:9" x14ac:dyDescent="0.35">
      <c r="A296" s="281" t="s">
        <v>1942</v>
      </c>
      <c r="B296" s="282">
        <v>8</v>
      </c>
      <c r="C296" s="281" t="s">
        <v>2258</v>
      </c>
      <c r="D296" s="283">
        <v>7736</v>
      </c>
      <c r="E296" s="284">
        <v>44551</v>
      </c>
      <c r="F296" s="284">
        <v>44599</v>
      </c>
      <c r="G296" s="285">
        <f t="shared" si="12"/>
        <v>48</v>
      </c>
      <c r="H296" s="286">
        <f t="shared" si="13"/>
        <v>0.01</v>
      </c>
      <c r="I296" s="287">
        <f t="shared" si="14"/>
        <v>77.36</v>
      </c>
    </row>
    <row r="297" spans="1:9" x14ac:dyDescent="0.35">
      <c r="A297" s="281" t="s">
        <v>2026</v>
      </c>
      <c r="B297" s="282">
        <v>5</v>
      </c>
      <c r="C297" s="281" t="s">
        <v>2259</v>
      </c>
      <c r="D297" s="283">
        <v>9731</v>
      </c>
      <c r="E297" s="284">
        <v>44557</v>
      </c>
      <c r="F297" s="284">
        <v>44599</v>
      </c>
      <c r="G297" s="285">
        <f t="shared" si="12"/>
        <v>42</v>
      </c>
      <c r="H297" s="286">
        <f t="shared" si="13"/>
        <v>0.01</v>
      </c>
      <c r="I297" s="287">
        <f t="shared" si="14"/>
        <v>97.31</v>
      </c>
    </row>
    <row r="298" spans="1:9" x14ac:dyDescent="0.35">
      <c r="A298" s="281" t="s">
        <v>1957</v>
      </c>
      <c r="B298" s="282">
        <v>10</v>
      </c>
      <c r="C298" s="281" t="s">
        <v>2260</v>
      </c>
      <c r="D298" s="283">
        <v>5362</v>
      </c>
      <c r="E298" s="284">
        <v>44521</v>
      </c>
      <c r="F298" s="284">
        <v>44599</v>
      </c>
      <c r="G298" s="285">
        <f t="shared" si="12"/>
        <v>78</v>
      </c>
      <c r="H298" s="286">
        <f t="shared" si="13"/>
        <v>0.02</v>
      </c>
      <c r="I298" s="287">
        <f t="shared" si="14"/>
        <v>107.24000000000001</v>
      </c>
    </row>
    <row r="299" spans="1:9" x14ac:dyDescent="0.35">
      <c r="A299" s="281" t="s">
        <v>1977</v>
      </c>
      <c r="B299" s="282">
        <v>22</v>
      </c>
      <c r="C299" s="281" t="s">
        <v>2261</v>
      </c>
      <c r="D299" s="283">
        <v>7192</v>
      </c>
      <c r="E299" s="284">
        <v>44552</v>
      </c>
      <c r="F299" s="284">
        <v>44599</v>
      </c>
      <c r="G299" s="285">
        <f t="shared" si="12"/>
        <v>47</v>
      </c>
      <c r="H299" s="286">
        <f t="shared" si="13"/>
        <v>0.01</v>
      </c>
      <c r="I299" s="287">
        <f t="shared" si="14"/>
        <v>71.92</v>
      </c>
    </row>
    <row r="300" spans="1:9" x14ac:dyDescent="0.35">
      <c r="A300" s="281" t="s">
        <v>1994</v>
      </c>
      <c r="B300" s="282">
        <v>13</v>
      </c>
      <c r="C300" s="281" t="s">
        <v>2262</v>
      </c>
      <c r="D300" s="283">
        <v>9488</v>
      </c>
      <c r="E300" s="284">
        <v>44525</v>
      </c>
      <c r="F300" s="284">
        <v>44599</v>
      </c>
      <c r="G300" s="285">
        <f t="shared" si="12"/>
        <v>74</v>
      </c>
      <c r="H300" s="286">
        <f t="shared" si="13"/>
        <v>0.02</v>
      </c>
      <c r="I300" s="287">
        <f t="shared" si="14"/>
        <v>189.76</v>
      </c>
    </row>
    <row r="301" spans="1:9" x14ac:dyDescent="0.35">
      <c r="A301" s="281" t="s">
        <v>1960</v>
      </c>
      <c r="B301" s="282">
        <v>6</v>
      </c>
      <c r="C301" s="281" t="s">
        <v>2263</v>
      </c>
      <c r="D301" s="283">
        <v>5592</v>
      </c>
      <c r="E301" s="284">
        <v>44580</v>
      </c>
      <c r="F301" s="284">
        <v>44599</v>
      </c>
      <c r="G301" s="285">
        <f t="shared" si="12"/>
        <v>19</v>
      </c>
      <c r="H301" s="286">
        <f t="shared" si="13"/>
        <v>0</v>
      </c>
      <c r="I301" s="287">
        <f t="shared" si="14"/>
        <v>0</v>
      </c>
    </row>
    <row r="302" spans="1:9" x14ac:dyDescent="0.35">
      <c r="A302" s="281" t="s">
        <v>1942</v>
      </c>
      <c r="B302" s="282">
        <v>8</v>
      </c>
      <c r="C302" s="281" t="s">
        <v>2264</v>
      </c>
      <c r="D302" s="283">
        <v>7415</v>
      </c>
      <c r="E302" s="284">
        <v>44575</v>
      </c>
      <c r="F302" s="284">
        <v>44599</v>
      </c>
      <c r="G302" s="285">
        <f t="shared" si="12"/>
        <v>24</v>
      </c>
      <c r="H302" s="286">
        <f t="shared" si="13"/>
        <v>0</v>
      </c>
      <c r="I302" s="287">
        <f t="shared" si="14"/>
        <v>0</v>
      </c>
    </row>
    <row r="303" spans="1:9" x14ac:dyDescent="0.35">
      <c r="A303" s="281" t="s">
        <v>1966</v>
      </c>
      <c r="B303" s="282">
        <v>12</v>
      </c>
      <c r="C303" s="281" t="s">
        <v>2265</v>
      </c>
      <c r="D303" s="283">
        <v>6447</v>
      </c>
      <c r="E303" s="284">
        <v>44533</v>
      </c>
      <c r="F303" s="284">
        <v>44599</v>
      </c>
      <c r="G303" s="285">
        <f t="shared" si="12"/>
        <v>66</v>
      </c>
      <c r="H303" s="286">
        <f t="shared" si="13"/>
        <v>0.02</v>
      </c>
      <c r="I303" s="287">
        <f t="shared" si="14"/>
        <v>128.94</v>
      </c>
    </row>
    <row r="304" spans="1:9" x14ac:dyDescent="0.35">
      <c r="A304" s="281" t="s">
        <v>1986</v>
      </c>
      <c r="B304" s="282">
        <v>16</v>
      </c>
      <c r="C304" s="281" t="s">
        <v>2266</v>
      </c>
      <c r="D304" s="283">
        <v>9232</v>
      </c>
      <c r="E304" s="284">
        <v>44514</v>
      </c>
      <c r="F304" s="284">
        <v>44599</v>
      </c>
      <c r="G304" s="285">
        <f t="shared" si="12"/>
        <v>85</v>
      </c>
      <c r="H304" s="286">
        <f t="shared" si="13"/>
        <v>0.03</v>
      </c>
      <c r="I304" s="287">
        <f t="shared" si="14"/>
        <v>276.95999999999998</v>
      </c>
    </row>
    <row r="305" spans="1:9" x14ac:dyDescent="0.35">
      <c r="A305" s="281" t="s">
        <v>2000</v>
      </c>
      <c r="B305" s="282">
        <v>23</v>
      </c>
      <c r="C305" s="281" t="s">
        <v>2267</v>
      </c>
      <c r="D305" s="283">
        <v>2044</v>
      </c>
      <c r="E305" s="284">
        <v>44576</v>
      </c>
      <c r="F305" s="284">
        <v>44599</v>
      </c>
      <c r="G305" s="285">
        <f t="shared" si="12"/>
        <v>23</v>
      </c>
      <c r="H305" s="286">
        <f t="shared" si="13"/>
        <v>0</v>
      </c>
      <c r="I305" s="287">
        <f t="shared" si="14"/>
        <v>0</v>
      </c>
    </row>
    <row r="306" spans="1:9" x14ac:dyDescent="0.35">
      <c r="A306" s="281" t="s">
        <v>1978</v>
      </c>
      <c r="B306" s="282">
        <v>15</v>
      </c>
      <c r="C306" s="281" t="s">
        <v>2268</v>
      </c>
      <c r="D306" s="283">
        <v>5950</v>
      </c>
      <c r="E306" s="284">
        <v>44515</v>
      </c>
      <c r="F306" s="284">
        <v>44599</v>
      </c>
      <c r="G306" s="285">
        <f t="shared" si="12"/>
        <v>84</v>
      </c>
      <c r="H306" s="286">
        <f t="shared" si="13"/>
        <v>0.03</v>
      </c>
      <c r="I306" s="287">
        <f t="shared" si="14"/>
        <v>178.5</v>
      </c>
    </row>
    <row r="307" spans="1:9" x14ac:dyDescent="0.35">
      <c r="A307" s="281" t="s">
        <v>2141</v>
      </c>
      <c r="B307" s="282">
        <v>17</v>
      </c>
      <c r="C307" s="281" t="s">
        <v>2269</v>
      </c>
      <c r="D307" s="283">
        <v>1321</v>
      </c>
      <c r="E307" s="284">
        <v>44544</v>
      </c>
      <c r="F307" s="284">
        <v>44599</v>
      </c>
      <c r="G307" s="285">
        <f t="shared" si="12"/>
        <v>55</v>
      </c>
      <c r="H307" s="286">
        <f t="shared" si="13"/>
        <v>0.01</v>
      </c>
      <c r="I307" s="287">
        <f t="shared" si="14"/>
        <v>13.21</v>
      </c>
    </row>
    <row r="308" spans="1:9" x14ac:dyDescent="0.35">
      <c r="A308" s="281" t="s">
        <v>1976</v>
      </c>
      <c r="B308" s="282">
        <v>3</v>
      </c>
      <c r="C308" s="281" t="s">
        <v>2270</v>
      </c>
      <c r="D308" s="283">
        <v>7463</v>
      </c>
      <c r="E308" s="284">
        <v>44569</v>
      </c>
      <c r="F308" s="284">
        <v>44599</v>
      </c>
      <c r="G308" s="285">
        <f t="shared" si="12"/>
        <v>30</v>
      </c>
      <c r="H308" s="286">
        <f t="shared" si="13"/>
        <v>0</v>
      </c>
      <c r="I308" s="287">
        <f t="shared" si="14"/>
        <v>0</v>
      </c>
    </row>
    <row r="309" spans="1:9" x14ac:dyDescent="0.35">
      <c r="A309" s="281" t="s">
        <v>1942</v>
      </c>
      <c r="B309" s="282">
        <v>8</v>
      </c>
      <c r="C309" s="281" t="s">
        <v>1965</v>
      </c>
      <c r="D309" s="283">
        <v>3152</v>
      </c>
      <c r="E309" s="284">
        <v>44520</v>
      </c>
      <c r="F309" s="284">
        <v>44599</v>
      </c>
      <c r="G309" s="285">
        <f t="shared" si="12"/>
        <v>79</v>
      </c>
      <c r="H309" s="286">
        <f t="shared" si="13"/>
        <v>0.02</v>
      </c>
      <c r="I309" s="287">
        <f t="shared" si="14"/>
        <v>63.04</v>
      </c>
    </row>
    <row r="310" spans="1:9" x14ac:dyDescent="0.35">
      <c r="A310" s="281" t="s">
        <v>1976</v>
      </c>
      <c r="B310" s="282">
        <v>3</v>
      </c>
      <c r="C310" s="281" t="s">
        <v>2271</v>
      </c>
      <c r="D310" s="283">
        <v>9280</v>
      </c>
      <c r="E310" s="284">
        <v>44549</v>
      </c>
      <c r="F310" s="284">
        <v>44599</v>
      </c>
      <c r="G310" s="285">
        <f t="shared" si="12"/>
        <v>50</v>
      </c>
      <c r="H310" s="286">
        <f t="shared" si="13"/>
        <v>0.01</v>
      </c>
      <c r="I310" s="287">
        <f t="shared" si="14"/>
        <v>92.8</v>
      </c>
    </row>
    <row r="311" spans="1:9" x14ac:dyDescent="0.35">
      <c r="A311" s="281" t="s">
        <v>2018</v>
      </c>
      <c r="B311" s="282">
        <v>4</v>
      </c>
      <c r="C311" s="281" t="s">
        <v>2272</v>
      </c>
      <c r="D311" s="283">
        <v>3865</v>
      </c>
      <c r="E311" s="284">
        <v>44557</v>
      </c>
      <c r="F311" s="284">
        <v>44599</v>
      </c>
      <c r="G311" s="285">
        <f t="shared" si="12"/>
        <v>42</v>
      </c>
      <c r="H311" s="286">
        <f t="shared" si="13"/>
        <v>0.01</v>
      </c>
      <c r="I311" s="287">
        <f t="shared" si="14"/>
        <v>38.65</v>
      </c>
    </row>
    <row r="312" spans="1:9" x14ac:dyDescent="0.35">
      <c r="A312" s="281" t="s">
        <v>1962</v>
      </c>
      <c r="B312" s="282">
        <v>1</v>
      </c>
      <c r="C312" s="281" t="s">
        <v>2273</v>
      </c>
      <c r="D312" s="283">
        <v>4751</v>
      </c>
      <c r="E312" s="284">
        <v>44530</v>
      </c>
      <c r="F312" s="284">
        <v>44599</v>
      </c>
      <c r="G312" s="285">
        <f t="shared" si="12"/>
        <v>69</v>
      </c>
      <c r="H312" s="286">
        <f t="shared" si="13"/>
        <v>0.02</v>
      </c>
      <c r="I312" s="287">
        <f t="shared" si="14"/>
        <v>95.02</v>
      </c>
    </row>
    <row r="313" spans="1:9" x14ac:dyDescent="0.35">
      <c r="A313" s="281" t="s">
        <v>1977</v>
      </c>
      <c r="B313" s="282">
        <v>22</v>
      </c>
      <c r="C313" s="281" t="s">
        <v>2274</v>
      </c>
      <c r="D313" s="283">
        <v>3094</v>
      </c>
      <c r="E313" s="284">
        <v>44514</v>
      </c>
      <c r="F313" s="284">
        <v>44599</v>
      </c>
      <c r="G313" s="285">
        <f t="shared" si="12"/>
        <v>85</v>
      </c>
      <c r="H313" s="286">
        <f t="shared" si="13"/>
        <v>0.03</v>
      </c>
      <c r="I313" s="287">
        <f t="shared" si="14"/>
        <v>92.82</v>
      </c>
    </row>
    <row r="314" spans="1:9" x14ac:dyDescent="0.35">
      <c r="A314" s="281" t="s">
        <v>2000</v>
      </c>
      <c r="B314" s="282">
        <v>23</v>
      </c>
      <c r="C314" s="281" t="s">
        <v>2275</v>
      </c>
      <c r="D314" s="283">
        <v>6445</v>
      </c>
      <c r="E314" s="284">
        <v>44508</v>
      </c>
      <c r="F314" s="284">
        <v>44599</v>
      </c>
      <c r="G314" s="285">
        <f t="shared" si="12"/>
        <v>91</v>
      </c>
      <c r="H314" s="286">
        <f t="shared" si="13"/>
        <v>0.03</v>
      </c>
      <c r="I314" s="287">
        <f t="shared" si="14"/>
        <v>193.35</v>
      </c>
    </row>
    <row r="315" spans="1:9" x14ac:dyDescent="0.35">
      <c r="A315" s="281" t="s">
        <v>1989</v>
      </c>
      <c r="B315" s="282">
        <v>14</v>
      </c>
      <c r="C315" s="281" t="s">
        <v>2276</v>
      </c>
      <c r="D315" s="283">
        <v>1081</v>
      </c>
      <c r="E315" s="284">
        <v>44509</v>
      </c>
      <c r="F315" s="284">
        <v>44599</v>
      </c>
      <c r="G315" s="285">
        <f t="shared" si="12"/>
        <v>90</v>
      </c>
      <c r="H315" s="286">
        <f t="shared" si="13"/>
        <v>0.03</v>
      </c>
      <c r="I315" s="287">
        <f t="shared" si="14"/>
        <v>32.43</v>
      </c>
    </row>
    <row r="316" spans="1:9" x14ac:dyDescent="0.35">
      <c r="A316" s="281" t="s">
        <v>2004</v>
      </c>
      <c r="B316" s="282">
        <v>11</v>
      </c>
      <c r="C316" s="281" t="s">
        <v>2277</v>
      </c>
      <c r="D316" s="283">
        <v>1927</v>
      </c>
      <c r="E316" s="284">
        <v>44505</v>
      </c>
      <c r="F316" s="284">
        <v>44599</v>
      </c>
      <c r="G316" s="285">
        <f t="shared" si="12"/>
        <v>94</v>
      </c>
      <c r="H316" s="286">
        <f t="shared" si="13"/>
        <v>0.03</v>
      </c>
      <c r="I316" s="287">
        <f t="shared" si="14"/>
        <v>57.809999999999995</v>
      </c>
    </row>
    <row r="317" spans="1:9" x14ac:dyDescent="0.35">
      <c r="A317" s="281" t="s">
        <v>1980</v>
      </c>
      <c r="B317" s="282">
        <v>7</v>
      </c>
      <c r="C317" s="281" t="s">
        <v>2278</v>
      </c>
      <c r="D317" s="283">
        <v>1168</v>
      </c>
      <c r="E317" s="284">
        <v>44529</v>
      </c>
      <c r="F317" s="284">
        <v>44599</v>
      </c>
      <c r="G317" s="285">
        <f t="shared" si="12"/>
        <v>70</v>
      </c>
      <c r="H317" s="286">
        <f t="shared" si="13"/>
        <v>0.02</v>
      </c>
      <c r="I317" s="287">
        <f t="shared" si="14"/>
        <v>23.36</v>
      </c>
    </row>
    <row r="318" spans="1:9" x14ac:dyDescent="0.35">
      <c r="A318" s="281" t="s">
        <v>1960</v>
      </c>
      <c r="B318" s="282">
        <v>6</v>
      </c>
      <c r="C318" s="281" t="s">
        <v>2279</v>
      </c>
      <c r="D318" s="283">
        <v>8403</v>
      </c>
      <c r="E318" s="284">
        <v>44564</v>
      </c>
      <c r="F318" s="284">
        <v>44599</v>
      </c>
      <c r="G318" s="285">
        <f t="shared" si="12"/>
        <v>35</v>
      </c>
      <c r="H318" s="286">
        <f t="shared" si="13"/>
        <v>0.01</v>
      </c>
      <c r="I318" s="287">
        <f t="shared" si="14"/>
        <v>84.03</v>
      </c>
    </row>
    <row r="319" spans="1:9" x14ac:dyDescent="0.35">
      <c r="A319" s="281" t="s">
        <v>1976</v>
      </c>
      <c r="B319" s="282">
        <v>3</v>
      </c>
      <c r="C319" s="281" t="s">
        <v>2280</v>
      </c>
      <c r="D319" s="283">
        <v>5387</v>
      </c>
      <c r="E319" s="284">
        <v>44528</v>
      </c>
      <c r="F319" s="284">
        <v>44599</v>
      </c>
      <c r="G319" s="285">
        <f t="shared" si="12"/>
        <v>71</v>
      </c>
      <c r="H319" s="286">
        <f t="shared" si="13"/>
        <v>0.02</v>
      </c>
      <c r="I319" s="287">
        <f t="shared" si="14"/>
        <v>107.74000000000001</v>
      </c>
    </row>
    <row r="320" spans="1:9" x14ac:dyDescent="0.35">
      <c r="A320" s="281" t="s">
        <v>2009</v>
      </c>
      <c r="B320" s="282">
        <v>9</v>
      </c>
      <c r="C320" s="281" t="s">
        <v>2281</v>
      </c>
      <c r="D320" s="283">
        <v>5455</v>
      </c>
      <c r="E320" s="284">
        <v>44552</v>
      </c>
      <c r="F320" s="284">
        <v>44599</v>
      </c>
      <c r="G320" s="285">
        <f t="shared" si="12"/>
        <v>47</v>
      </c>
      <c r="H320" s="286">
        <f t="shared" si="13"/>
        <v>0.01</v>
      </c>
      <c r="I320" s="287">
        <f t="shared" si="14"/>
        <v>54.550000000000004</v>
      </c>
    </row>
    <row r="321" spans="1:9" x14ac:dyDescent="0.35">
      <c r="A321" s="281" t="s">
        <v>1939</v>
      </c>
      <c r="B321" s="282">
        <v>20</v>
      </c>
      <c r="C321" s="281" t="s">
        <v>2282</v>
      </c>
      <c r="D321" s="283">
        <v>1636</v>
      </c>
      <c r="E321" s="284">
        <v>44580</v>
      </c>
      <c r="F321" s="284">
        <v>44599</v>
      </c>
      <c r="G321" s="285">
        <f t="shared" si="12"/>
        <v>19</v>
      </c>
      <c r="H321" s="286">
        <f t="shared" si="13"/>
        <v>0</v>
      </c>
      <c r="I321" s="287">
        <f t="shared" si="14"/>
        <v>0</v>
      </c>
    </row>
    <row r="322" spans="1:9" x14ac:dyDescent="0.35">
      <c r="A322" s="281" t="s">
        <v>2000</v>
      </c>
      <c r="B322" s="282">
        <v>23</v>
      </c>
      <c r="C322" s="281" t="s">
        <v>2283</v>
      </c>
      <c r="D322" s="283">
        <v>1961</v>
      </c>
      <c r="E322" s="284">
        <v>44534</v>
      </c>
      <c r="F322" s="284">
        <v>44599</v>
      </c>
      <c r="G322" s="285">
        <f t="shared" si="12"/>
        <v>65</v>
      </c>
      <c r="H322" s="286">
        <f t="shared" si="13"/>
        <v>0.02</v>
      </c>
      <c r="I322" s="287">
        <f t="shared" si="14"/>
        <v>39.22</v>
      </c>
    </row>
    <row r="323" spans="1:9" x14ac:dyDescent="0.35">
      <c r="A323" s="281" t="s">
        <v>2009</v>
      </c>
      <c r="B323" s="282">
        <v>9</v>
      </c>
      <c r="C323" s="281" t="s">
        <v>2284</v>
      </c>
      <c r="D323" s="283">
        <v>4125</v>
      </c>
      <c r="E323" s="284">
        <v>44537</v>
      </c>
      <c r="F323" s="284">
        <v>44599</v>
      </c>
      <c r="G323" s="285">
        <f t="shared" si="12"/>
        <v>62</v>
      </c>
      <c r="H323" s="286">
        <f t="shared" si="13"/>
        <v>0.02</v>
      </c>
      <c r="I323" s="287">
        <f t="shared" si="14"/>
        <v>82.5</v>
      </c>
    </row>
    <row r="324" spans="1:9" x14ac:dyDescent="0.35">
      <c r="A324" s="281" t="s">
        <v>1966</v>
      </c>
      <c r="B324" s="282">
        <v>12</v>
      </c>
      <c r="C324" s="281" t="s">
        <v>2285</v>
      </c>
      <c r="D324" s="283">
        <v>1440</v>
      </c>
      <c r="E324" s="284">
        <v>44540</v>
      </c>
      <c r="F324" s="284">
        <v>44599</v>
      </c>
      <c r="G324" s="285">
        <f t="shared" si="12"/>
        <v>59</v>
      </c>
      <c r="H324" s="286">
        <f t="shared" si="13"/>
        <v>0.01</v>
      </c>
      <c r="I324" s="287">
        <f t="shared" si="14"/>
        <v>14.4</v>
      </c>
    </row>
    <row r="325" spans="1:9" x14ac:dyDescent="0.35">
      <c r="A325" s="281" t="s">
        <v>1969</v>
      </c>
      <c r="B325" s="282">
        <v>2</v>
      </c>
      <c r="C325" s="281" t="s">
        <v>2286</v>
      </c>
      <c r="D325" s="283">
        <v>3334</v>
      </c>
      <c r="E325" s="284">
        <v>44580</v>
      </c>
      <c r="F325" s="284">
        <v>44599</v>
      </c>
      <c r="G325" s="285">
        <f t="shared" si="12"/>
        <v>19</v>
      </c>
      <c r="H325" s="286">
        <f t="shared" si="13"/>
        <v>0</v>
      </c>
      <c r="I325" s="287">
        <f t="shared" si="14"/>
        <v>0</v>
      </c>
    </row>
    <row r="326" spans="1:9" x14ac:dyDescent="0.35">
      <c r="A326" s="281" t="s">
        <v>1969</v>
      </c>
      <c r="B326" s="282">
        <v>2</v>
      </c>
      <c r="C326" s="281" t="s">
        <v>2287</v>
      </c>
      <c r="D326" s="283">
        <v>2185</v>
      </c>
      <c r="E326" s="284">
        <v>44513</v>
      </c>
      <c r="F326" s="284">
        <v>44599</v>
      </c>
      <c r="G326" s="285">
        <f t="shared" si="12"/>
        <v>86</v>
      </c>
      <c r="H326" s="286">
        <f t="shared" si="13"/>
        <v>0.03</v>
      </c>
      <c r="I326" s="287">
        <f t="shared" si="14"/>
        <v>65.55</v>
      </c>
    </row>
    <row r="327" spans="1:9" x14ac:dyDescent="0.35">
      <c r="A327" s="281" t="s">
        <v>2004</v>
      </c>
      <c r="B327" s="282">
        <v>11</v>
      </c>
      <c r="C327" s="281" t="s">
        <v>2288</v>
      </c>
      <c r="D327" s="283">
        <v>2194</v>
      </c>
      <c r="E327" s="284">
        <v>44504</v>
      </c>
      <c r="F327" s="284">
        <v>44599</v>
      </c>
      <c r="G327" s="285">
        <f t="shared" si="12"/>
        <v>95</v>
      </c>
      <c r="H327" s="286">
        <f t="shared" si="13"/>
        <v>0.03</v>
      </c>
      <c r="I327" s="287">
        <f t="shared" si="14"/>
        <v>65.819999999999993</v>
      </c>
    </row>
    <row r="328" spans="1:9" x14ac:dyDescent="0.35">
      <c r="A328" s="281" t="s">
        <v>2009</v>
      </c>
      <c r="B328" s="282">
        <v>9</v>
      </c>
      <c r="C328" s="281" t="s">
        <v>2289</v>
      </c>
      <c r="D328" s="283">
        <v>9325</v>
      </c>
      <c r="E328" s="284">
        <v>44538</v>
      </c>
      <c r="F328" s="284">
        <v>44599</v>
      </c>
      <c r="G328" s="285">
        <f t="shared" si="12"/>
        <v>61</v>
      </c>
      <c r="H328" s="286">
        <f t="shared" si="13"/>
        <v>0.02</v>
      </c>
      <c r="I328" s="287">
        <f t="shared" si="14"/>
        <v>186.5</v>
      </c>
    </row>
    <row r="329" spans="1:9" x14ac:dyDescent="0.35">
      <c r="A329" s="281" t="s">
        <v>2004</v>
      </c>
      <c r="B329" s="282">
        <v>11</v>
      </c>
      <c r="C329" s="281" t="s">
        <v>2290</v>
      </c>
      <c r="D329" s="283">
        <v>9393</v>
      </c>
      <c r="E329" s="284">
        <v>44540</v>
      </c>
      <c r="F329" s="284">
        <v>44599</v>
      </c>
      <c r="G329" s="285">
        <f t="shared" si="12"/>
        <v>59</v>
      </c>
      <c r="H329" s="286">
        <f t="shared" si="13"/>
        <v>0.01</v>
      </c>
      <c r="I329" s="287">
        <f t="shared" si="14"/>
        <v>93.93</v>
      </c>
    </row>
    <row r="330" spans="1:9" x14ac:dyDescent="0.35">
      <c r="A330" s="281" t="s">
        <v>1954</v>
      </c>
      <c r="B330" s="282">
        <v>24</v>
      </c>
      <c r="C330" s="281" t="s">
        <v>2291</v>
      </c>
      <c r="D330" s="283">
        <v>1463</v>
      </c>
      <c r="E330" s="284">
        <v>44521</v>
      </c>
      <c r="F330" s="284">
        <v>44599</v>
      </c>
      <c r="G330" s="285">
        <f t="shared" si="12"/>
        <v>78</v>
      </c>
      <c r="H330" s="286">
        <f t="shared" si="13"/>
        <v>0.02</v>
      </c>
      <c r="I330" s="287">
        <f t="shared" si="14"/>
        <v>29.26</v>
      </c>
    </row>
    <row r="331" spans="1:9" x14ac:dyDescent="0.35">
      <c r="A331" s="281" t="s">
        <v>2000</v>
      </c>
      <c r="B331" s="282">
        <v>23</v>
      </c>
      <c r="C331" s="281" t="s">
        <v>2292</v>
      </c>
      <c r="D331" s="283">
        <v>8711</v>
      </c>
      <c r="E331" s="284">
        <v>44503</v>
      </c>
      <c r="F331" s="284">
        <v>44599</v>
      </c>
      <c r="G331" s="285">
        <f t="shared" si="12"/>
        <v>96</v>
      </c>
      <c r="H331" s="286">
        <f t="shared" si="13"/>
        <v>0.03</v>
      </c>
      <c r="I331" s="287">
        <f t="shared" si="14"/>
        <v>261.33</v>
      </c>
    </row>
  </sheetData>
  <sheetProtection algorithmName="SHA-512" hashValue="3YseciDQjIPxBb7g03mylFJl934rr5zfpLFaTuI4xoRdWV1GpyXyIjt1M48rjRb/n/VjCOSMwJXwP2CcMFQ3Lw==" saltValue="k5zfgJ712GMZk+1uKRywnA==" spinCount="100000" sheet="1" formatCells="0" formatColumns="0" formatRows="0"/>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43C24-F242-493B-A4F3-6C7D8D7EC730}">
  <dimension ref="A1:X248"/>
  <sheetViews>
    <sheetView topLeftCell="C7" zoomScaleNormal="100" workbookViewId="0">
      <selection activeCell="K29" sqref="K29"/>
    </sheetView>
  </sheetViews>
  <sheetFormatPr defaultColWidth="7.58203125" defaultRowHeight="15.5" x14ac:dyDescent="0.35"/>
  <cols>
    <col min="1" max="1" width="10.1640625" style="244" customWidth="1"/>
    <col min="2" max="2" width="7.58203125" style="244"/>
    <col min="3" max="3" width="12.6640625" style="244" customWidth="1"/>
    <col min="4" max="13" width="7.58203125" style="244"/>
    <col min="14" max="14" width="10.6640625" style="244" customWidth="1"/>
    <col min="15" max="15" width="7.1640625" style="244" customWidth="1"/>
    <col min="16" max="16" width="11.4140625" style="244" customWidth="1"/>
    <col min="17" max="17" width="10.5" style="244" customWidth="1"/>
    <col min="18" max="18" width="7.58203125" style="244"/>
    <col min="19" max="19" width="28.08203125" style="244" bestFit="1" customWidth="1"/>
    <col min="20" max="21" width="7.58203125" style="244"/>
    <col min="22" max="22" width="13.1640625" style="244" bestFit="1" customWidth="1"/>
    <col min="23" max="24" width="7.58203125" style="244"/>
    <col min="25" max="26" width="12.6640625" style="244" bestFit="1" customWidth="1"/>
    <col min="27" max="16384" width="7.58203125" style="244"/>
  </cols>
  <sheetData>
    <row r="1" spans="1:24" ht="16" thickBot="1" x14ac:dyDescent="0.4"/>
    <row r="2" spans="1:24" x14ac:dyDescent="0.35">
      <c r="A2" s="294" t="s">
        <v>2293</v>
      </c>
      <c r="B2" s="295"/>
      <c r="C2" s="295"/>
      <c r="D2" s="295"/>
      <c r="E2" s="295"/>
      <c r="F2" s="295"/>
      <c r="G2" s="295"/>
      <c r="H2" s="295"/>
      <c r="I2" s="295"/>
      <c r="J2" s="295"/>
      <c r="K2" s="295"/>
      <c r="L2" s="295"/>
      <c r="M2" s="295"/>
      <c r="N2" s="295"/>
      <c r="O2" s="296"/>
    </row>
    <row r="3" spans="1:24" x14ac:dyDescent="0.35">
      <c r="A3" s="297" t="s">
        <v>2294</v>
      </c>
      <c r="B3" s="298"/>
      <c r="C3" s="298"/>
      <c r="D3" s="298"/>
      <c r="E3" s="298"/>
      <c r="F3" s="298"/>
      <c r="G3" s="298"/>
      <c r="H3" s="298"/>
      <c r="I3" s="298"/>
      <c r="J3" s="298"/>
      <c r="K3" s="298"/>
      <c r="L3" s="298"/>
      <c r="M3" s="298"/>
      <c r="N3" s="298"/>
      <c r="O3" s="299"/>
    </row>
    <row r="4" spans="1:24" ht="16" thickBot="1" x14ac:dyDescent="0.4">
      <c r="A4" s="300" t="s">
        <v>2295</v>
      </c>
      <c r="B4" s="301"/>
      <c r="C4" s="301"/>
      <c r="D4" s="301"/>
      <c r="E4" s="301"/>
      <c r="F4" s="301"/>
      <c r="G4" s="301"/>
      <c r="H4" s="301"/>
      <c r="I4" s="301"/>
      <c r="J4" s="301"/>
      <c r="K4" s="301"/>
      <c r="L4" s="301"/>
      <c r="M4" s="301"/>
      <c r="N4" s="301"/>
      <c r="O4" s="302"/>
    </row>
    <row r="6" spans="1:24" ht="16" thickBot="1" x14ac:dyDescent="0.4"/>
    <row r="7" spans="1:24" ht="16" thickBot="1" x14ac:dyDescent="0.4">
      <c r="A7" s="303" t="s">
        <v>2296</v>
      </c>
      <c r="B7" s="304" t="s">
        <v>2297</v>
      </c>
      <c r="C7" s="304" t="s">
        <v>2298</v>
      </c>
      <c r="D7" s="305" t="s">
        <v>3</v>
      </c>
      <c r="E7" s="305" t="s">
        <v>4</v>
      </c>
      <c r="F7" s="305" t="s">
        <v>5</v>
      </c>
      <c r="G7" s="305" t="s">
        <v>6</v>
      </c>
      <c r="H7" s="306" t="s">
        <v>2299</v>
      </c>
      <c r="I7" s="306" t="s">
        <v>2300</v>
      </c>
      <c r="J7" s="307" t="s">
        <v>2301</v>
      </c>
      <c r="K7" s="307" t="s">
        <v>2302</v>
      </c>
      <c r="L7" s="307" t="s">
        <v>2303</v>
      </c>
      <c r="M7" s="307" t="s">
        <v>2304</v>
      </c>
      <c r="N7" s="308" t="s">
        <v>2305</v>
      </c>
      <c r="O7" s="309" t="s">
        <v>8</v>
      </c>
      <c r="Q7" s="310" t="s">
        <v>2306</v>
      </c>
      <c r="R7" s="311"/>
    </row>
    <row r="8" spans="1:24" ht="21.5" thickBot="1" x14ac:dyDescent="0.55000000000000004">
      <c r="A8" s="312"/>
      <c r="B8" s="313"/>
      <c r="C8" s="313"/>
      <c r="D8" s="314">
        <v>100</v>
      </c>
      <c r="E8" s="314">
        <v>100</v>
      </c>
      <c r="F8" s="314">
        <v>100</v>
      </c>
      <c r="G8" s="314">
        <v>100</v>
      </c>
      <c r="H8" s="315">
        <v>25</v>
      </c>
      <c r="I8" s="315">
        <v>25</v>
      </c>
      <c r="J8" s="316">
        <v>25</v>
      </c>
      <c r="K8" s="316">
        <v>25</v>
      </c>
      <c r="L8" s="316">
        <v>25</v>
      </c>
      <c r="M8" s="316">
        <v>25</v>
      </c>
      <c r="N8" s="317"/>
      <c r="O8" s="318"/>
      <c r="Q8" s="319" t="s">
        <v>2307</v>
      </c>
      <c r="R8" s="320">
        <v>0.75</v>
      </c>
      <c r="S8" s="321"/>
      <c r="T8" s="262"/>
      <c r="U8" s="262"/>
      <c r="V8" s="262"/>
      <c r="W8" s="322"/>
    </row>
    <row r="9" spans="1:24" x14ac:dyDescent="0.35">
      <c r="A9" s="323" t="s">
        <v>2308</v>
      </c>
      <c r="B9" s="323" t="s">
        <v>2309</v>
      </c>
      <c r="C9" s="323" t="s">
        <v>2310</v>
      </c>
      <c r="D9" s="324">
        <v>94</v>
      </c>
      <c r="E9" s="324">
        <v>99</v>
      </c>
      <c r="F9" s="324">
        <v>79</v>
      </c>
      <c r="G9" s="324">
        <v>97</v>
      </c>
      <c r="H9" s="325">
        <v>20</v>
      </c>
      <c r="I9" s="325">
        <v>24</v>
      </c>
      <c r="J9" s="326">
        <v>22</v>
      </c>
      <c r="K9" s="326">
        <v>23</v>
      </c>
      <c r="L9" s="326">
        <v>23</v>
      </c>
      <c r="M9" s="326">
        <v>19</v>
      </c>
      <c r="N9" s="327">
        <f>0.75*(SUM(D9:G9)-MIN(D9:G9))/3+0.1*2*SUM(H9:I9)+0.15*SUM(J9:M9)</f>
        <v>94.35</v>
      </c>
      <c r="O9" s="327" t="s">
        <v>57</v>
      </c>
      <c r="Q9" s="328" t="s">
        <v>2311</v>
      </c>
      <c r="R9" s="329">
        <v>0.1</v>
      </c>
      <c r="S9" s="262"/>
      <c r="T9" s="262"/>
      <c r="U9" s="262"/>
      <c r="V9" s="262"/>
    </row>
    <row r="10" spans="1:24" ht="16" thickBot="1" x14ac:dyDescent="0.4">
      <c r="A10" s="330" t="s">
        <v>1893</v>
      </c>
      <c r="B10" s="330" t="s">
        <v>2312</v>
      </c>
      <c r="C10" s="330" t="s">
        <v>2313</v>
      </c>
      <c r="D10" s="331">
        <v>98</v>
      </c>
      <c r="E10" s="331">
        <v>82</v>
      </c>
      <c r="F10" s="331">
        <v>92</v>
      </c>
      <c r="G10" s="331">
        <v>95</v>
      </c>
      <c r="H10" s="332">
        <v>22</v>
      </c>
      <c r="I10" s="332">
        <v>19</v>
      </c>
      <c r="J10" s="333">
        <v>23</v>
      </c>
      <c r="K10" s="333">
        <v>22</v>
      </c>
      <c r="L10" s="333">
        <v>23</v>
      </c>
      <c r="M10" s="333">
        <v>22</v>
      </c>
      <c r="N10" s="334">
        <f>SUM(AVERAGE(LARGE(D10:G10,1),LARGE(D10:G10,2),LARGE(D10:G10,3))/100*75,AVERAGE(H10:I10)/25*10,AVERAGE(J10:M10)/25*15)</f>
        <v>92.95</v>
      </c>
      <c r="O10" s="334" t="str">
        <f>IF(N10&gt;=90,"A",IF(N10&gt;=83,"B",IF(N10&gt;=73,"C",IF(N10&gt;=65,"D","F"))))</f>
        <v>A</v>
      </c>
      <c r="Q10" s="335" t="s">
        <v>2314</v>
      </c>
      <c r="R10" s="336">
        <v>0.15</v>
      </c>
      <c r="T10" s="244">
        <f>AVERAGE(LARGE(D9:G9,1),LARGE(D9:G9,2),LARGE(D9:G9,3))</f>
        <v>96.666666666666671</v>
      </c>
      <c r="U10" s="244">
        <v>100</v>
      </c>
      <c r="V10" s="244">
        <f>T10/U10</f>
        <v>0.96666666666666667</v>
      </c>
      <c r="W10" s="244">
        <f>V10*75</f>
        <v>72.5</v>
      </c>
      <c r="X10" s="244">
        <f>T10/100*75</f>
        <v>72.5</v>
      </c>
    </row>
    <row r="11" spans="1:24" ht="16" thickBot="1" x14ac:dyDescent="0.4">
      <c r="A11" s="330" t="s">
        <v>2315</v>
      </c>
      <c r="B11" s="330" t="s">
        <v>2316</v>
      </c>
      <c r="C11" s="330" t="s">
        <v>2310</v>
      </c>
      <c r="D11" s="331">
        <v>95</v>
      </c>
      <c r="E11" s="331">
        <v>75</v>
      </c>
      <c r="F11" s="331">
        <v>73</v>
      </c>
      <c r="G11" s="331">
        <v>95</v>
      </c>
      <c r="H11" s="332">
        <v>23</v>
      </c>
      <c r="I11" s="332">
        <v>16</v>
      </c>
      <c r="J11" s="333">
        <v>25</v>
      </c>
      <c r="K11" s="333">
        <v>19</v>
      </c>
      <c r="L11" s="333">
        <v>24</v>
      </c>
      <c r="M11" s="333">
        <v>24</v>
      </c>
      <c r="N11" s="334">
        <f t="shared" ref="N11:N74" si="0">SUM(AVERAGE(LARGE(D11:G11,1),LARGE(D11:G11,2),LARGE(D11:G11,3))/100*75,AVERAGE(H11:I11)/25*10,AVERAGE(J11:M11)/25*15)</f>
        <v>87.85</v>
      </c>
      <c r="O11" s="334" t="str">
        <f t="shared" ref="O11:O74" si="1">IF(N11&gt;=90,"A",IF(N11&gt;=83,"B",IF(N11&gt;=73,"C",IF(N11&gt;=65,"D","F"))))</f>
        <v>B</v>
      </c>
      <c r="T11" s="244">
        <f>AVERAGE(H9:I9)</f>
        <v>22</v>
      </c>
      <c r="U11" s="244">
        <v>25</v>
      </c>
      <c r="V11" s="244">
        <f>T11/U11</f>
        <v>0.88</v>
      </c>
      <c r="W11" s="244">
        <f>V11*10</f>
        <v>8.8000000000000007</v>
      </c>
    </row>
    <row r="12" spans="1:24" x14ac:dyDescent="0.35">
      <c r="A12" s="330" t="s">
        <v>2317</v>
      </c>
      <c r="B12" s="330" t="s">
        <v>2309</v>
      </c>
      <c r="C12" s="330" t="s">
        <v>2313</v>
      </c>
      <c r="D12" s="331">
        <v>94</v>
      </c>
      <c r="E12" s="331">
        <v>87</v>
      </c>
      <c r="F12" s="331">
        <v>82</v>
      </c>
      <c r="G12" s="331">
        <v>83</v>
      </c>
      <c r="H12" s="332">
        <v>22</v>
      </c>
      <c r="I12" s="332">
        <v>24</v>
      </c>
      <c r="J12" s="333">
        <v>25</v>
      </c>
      <c r="K12" s="333">
        <v>20</v>
      </c>
      <c r="L12" s="333">
        <v>22</v>
      </c>
      <c r="M12" s="333">
        <v>24</v>
      </c>
      <c r="N12" s="334">
        <f t="shared" si="0"/>
        <v>88.850000000000009</v>
      </c>
      <c r="O12" s="334" t="str">
        <f t="shared" si="1"/>
        <v>B</v>
      </c>
      <c r="Q12" s="337" t="s">
        <v>2318</v>
      </c>
      <c r="R12" s="338"/>
      <c r="T12" s="244">
        <f>AVERAGE(J9:M9)</f>
        <v>21.75</v>
      </c>
      <c r="U12" s="244">
        <v>25</v>
      </c>
      <c r="V12" s="244">
        <f>T12/U12</f>
        <v>0.87</v>
      </c>
      <c r="W12" s="244">
        <f>V12*15</f>
        <v>13.05</v>
      </c>
      <c r="X12" s="262"/>
    </row>
    <row r="13" spans="1:24" x14ac:dyDescent="0.35">
      <c r="A13" s="330" t="s">
        <v>2319</v>
      </c>
      <c r="B13" s="330" t="s">
        <v>2309</v>
      </c>
      <c r="C13" s="330" t="s">
        <v>2310</v>
      </c>
      <c r="D13" s="331">
        <v>84</v>
      </c>
      <c r="E13" s="331">
        <v>86</v>
      </c>
      <c r="F13" s="331">
        <v>78</v>
      </c>
      <c r="G13" s="331">
        <v>87</v>
      </c>
      <c r="H13" s="332">
        <v>21</v>
      </c>
      <c r="I13" s="332">
        <v>15</v>
      </c>
      <c r="J13" s="333">
        <v>25</v>
      </c>
      <c r="K13" s="333">
        <v>23</v>
      </c>
      <c r="L13" s="333">
        <v>24</v>
      </c>
      <c r="M13" s="333">
        <v>23</v>
      </c>
      <c r="N13" s="334">
        <f t="shared" si="0"/>
        <v>85.7</v>
      </c>
      <c r="O13" s="334" t="str">
        <f t="shared" si="1"/>
        <v>B</v>
      </c>
      <c r="Q13" s="339" t="s">
        <v>2320</v>
      </c>
      <c r="R13" s="340" t="s">
        <v>41</v>
      </c>
      <c r="W13" s="244">
        <f>SUM(W10:W12)</f>
        <v>94.35</v>
      </c>
    </row>
    <row r="14" spans="1:24" x14ac:dyDescent="0.35">
      <c r="A14" s="330" t="s">
        <v>2321</v>
      </c>
      <c r="B14" s="330" t="s">
        <v>2316</v>
      </c>
      <c r="C14" s="330" t="s">
        <v>2310</v>
      </c>
      <c r="D14" s="331">
        <v>91</v>
      </c>
      <c r="E14" s="331">
        <v>92</v>
      </c>
      <c r="F14" s="331">
        <v>91</v>
      </c>
      <c r="G14" s="331">
        <v>94</v>
      </c>
      <c r="H14" s="332">
        <v>25</v>
      </c>
      <c r="I14" s="332">
        <v>22</v>
      </c>
      <c r="J14" s="333">
        <v>22</v>
      </c>
      <c r="K14" s="333">
        <v>21</v>
      </c>
      <c r="L14" s="333">
        <v>22</v>
      </c>
      <c r="M14" s="333">
        <v>24</v>
      </c>
      <c r="N14" s="334">
        <f t="shared" si="0"/>
        <v>92</v>
      </c>
      <c r="O14" s="334" t="str">
        <f t="shared" si="1"/>
        <v>A</v>
      </c>
      <c r="Q14" s="339" t="s">
        <v>2322</v>
      </c>
      <c r="R14" s="340" t="s">
        <v>45</v>
      </c>
    </row>
    <row r="15" spans="1:24" x14ac:dyDescent="0.35">
      <c r="A15" s="330" t="s">
        <v>2323</v>
      </c>
      <c r="B15" s="330" t="s">
        <v>2316</v>
      </c>
      <c r="C15" s="330" t="s">
        <v>2310</v>
      </c>
      <c r="D15" s="331">
        <v>96</v>
      </c>
      <c r="E15" s="331">
        <v>72</v>
      </c>
      <c r="F15" s="331">
        <v>84</v>
      </c>
      <c r="G15" s="331">
        <v>89</v>
      </c>
      <c r="H15" s="332">
        <v>25</v>
      </c>
      <c r="I15" s="332">
        <v>25</v>
      </c>
      <c r="J15" s="333">
        <v>25</v>
      </c>
      <c r="K15" s="333">
        <v>19</v>
      </c>
      <c r="L15" s="333">
        <v>23</v>
      </c>
      <c r="M15" s="333">
        <v>25</v>
      </c>
      <c r="N15" s="334">
        <f t="shared" si="0"/>
        <v>91.05</v>
      </c>
      <c r="O15" s="334" t="str">
        <f t="shared" si="1"/>
        <v>A</v>
      </c>
      <c r="Q15" s="339" t="s">
        <v>2324</v>
      </c>
      <c r="R15" s="340" t="s">
        <v>49</v>
      </c>
    </row>
    <row r="16" spans="1:24" x14ac:dyDescent="0.35">
      <c r="A16" s="330" t="s">
        <v>2325</v>
      </c>
      <c r="B16" s="330" t="s">
        <v>2316</v>
      </c>
      <c r="C16" s="330" t="s">
        <v>2313</v>
      </c>
      <c r="D16" s="331">
        <v>100</v>
      </c>
      <c r="E16" s="331">
        <v>77</v>
      </c>
      <c r="F16" s="331">
        <v>67</v>
      </c>
      <c r="G16" s="331">
        <v>85</v>
      </c>
      <c r="H16" s="332">
        <v>25</v>
      </c>
      <c r="I16" s="332">
        <v>20</v>
      </c>
      <c r="J16" s="333">
        <v>22</v>
      </c>
      <c r="K16" s="333">
        <v>18</v>
      </c>
      <c r="L16" s="333">
        <v>24</v>
      </c>
      <c r="M16" s="333">
        <v>23</v>
      </c>
      <c r="N16" s="334">
        <f t="shared" si="0"/>
        <v>87.55</v>
      </c>
      <c r="O16" s="334" t="str">
        <f t="shared" si="1"/>
        <v>B</v>
      </c>
      <c r="Q16" s="339" t="s">
        <v>2326</v>
      </c>
      <c r="R16" s="340" t="s">
        <v>53</v>
      </c>
    </row>
    <row r="17" spans="1:23" ht="16" thickBot="1" x14ac:dyDescent="0.4">
      <c r="A17" s="330" t="s">
        <v>2327</v>
      </c>
      <c r="B17" s="330" t="s">
        <v>2309</v>
      </c>
      <c r="C17" s="330" t="s">
        <v>2310</v>
      </c>
      <c r="D17" s="331">
        <v>93</v>
      </c>
      <c r="E17" s="331">
        <v>83</v>
      </c>
      <c r="F17" s="331">
        <v>76</v>
      </c>
      <c r="G17" s="331">
        <v>85</v>
      </c>
      <c r="H17" s="332">
        <v>20</v>
      </c>
      <c r="I17" s="332">
        <v>19</v>
      </c>
      <c r="J17" s="333">
        <v>24</v>
      </c>
      <c r="K17" s="333">
        <v>23</v>
      </c>
      <c r="L17" s="333">
        <v>24</v>
      </c>
      <c r="M17" s="333">
        <v>21</v>
      </c>
      <c r="N17" s="334">
        <f t="shared" si="0"/>
        <v>86.85</v>
      </c>
      <c r="O17" s="334" t="str">
        <f t="shared" si="1"/>
        <v>B</v>
      </c>
      <c r="Q17" s="341" t="s">
        <v>2328</v>
      </c>
      <c r="R17" s="342" t="s">
        <v>57</v>
      </c>
    </row>
    <row r="18" spans="1:23" ht="16" thickBot="1" x14ac:dyDescent="0.4">
      <c r="A18" s="330" t="s">
        <v>2329</v>
      </c>
      <c r="B18" s="330" t="s">
        <v>2316</v>
      </c>
      <c r="C18" s="330" t="s">
        <v>2310</v>
      </c>
      <c r="D18" s="331">
        <v>78</v>
      </c>
      <c r="E18" s="331">
        <v>84</v>
      </c>
      <c r="F18" s="331">
        <v>65</v>
      </c>
      <c r="G18" s="331">
        <v>81</v>
      </c>
      <c r="H18" s="332">
        <v>21</v>
      </c>
      <c r="I18" s="332">
        <v>22</v>
      </c>
      <c r="J18" s="333">
        <v>23</v>
      </c>
      <c r="K18" s="333">
        <v>19</v>
      </c>
      <c r="L18" s="333">
        <v>23</v>
      </c>
      <c r="M18" s="333">
        <v>21</v>
      </c>
      <c r="N18" s="334">
        <f t="shared" si="0"/>
        <v>82.250000000000014</v>
      </c>
      <c r="O18" s="334" t="str">
        <f t="shared" si="1"/>
        <v>C</v>
      </c>
    </row>
    <row r="19" spans="1:23" x14ac:dyDescent="0.35">
      <c r="A19" s="330" t="s">
        <v>2330</v>
      </c>
      <c r="B19" s="330" t="s">
        <v>2316</v>
      </c>
      <c r="C19" s="330" t="s">
        <v>2310</v>
      </c>
      <c r="D19" s="331">
        <v>89</v>
      </c>
      <c r="E19" s="331">
        <v>70</v>
      </c>
      <c r="F19" s="331">
        <v>93</v>
      </c>
      <c r="G19" s="331">
        <v>83</v>
      </c>
      <c r="H19" s="332">
        <v>22</v>
      </c>
      <c r="I19" s="332">
        <v>21</v>
      </c>
      <c r="J19" s="333">
        <v>24</v>
      </c>
      <c r="K19" s="333">
        <v>20</v>
      </c>
      <c r="L19" s="333">
        <v>23</v>
      </c>
      <c r="M19" s="333">
        <v>24</v>
      </c>
      <c r="N19" s="334">
        <f t="shared" si="0"/>
        <v>88.5</v>
      </c>
      <c r="O19" s="334" t="str">
        <f t="shared" si="1"/>
        <v>B</v>
      </c>
      <c r="S19" s="343" t="s">
        <v>2331</v>
      </c>
      <c r="T19" s="344">
        <f>AVERAGE(N9:N248)</f>
        <v>83.896250000000009</v>
      </c>
      <c r="U19" s="344"/>
      <c r="V19" s="344"/>
      <c r="W19" s="345"/>
    </row>
    <row r="20" spans="1:23" x14ac:dyDescent="0.35">
      <c r="A20" s="330" t="s">
        <v>2332</v>
      </c>
      <c r="B20" s="330" t="s">
        <v>2309</v>
      </c>
      <c r="C20" s="330" t="s">
        <v>2313</v>
      </c>
      <c r="D20" s="331">
        <v>89</v>
      </c>
      <c r="E20" s="331">
        <v>75</v>
      </c>
      <c r="F20" s="331">
        <v>86</v>
      </c>
      <c r="G20" s="331">
        <v>80</v>
      </c>
      <c r="H20" s="332">
        <v>21</v>
      </c>
      <c r="I20" s="332">
        <v>22</v>
      </c>
      <c r="J20" s="333">
        <v>25</v>
      </c>
      <c r="K20" s="333">
        <v>18</v>
      </c>
      <c r="L20" s="333">
        <v>25</v>
      </c>
      <c r="M20" s="333">
        <v>24</v>
      </c>
      <c r="N20" s="334">
        <f t="shared" si="0"/>
        <v>86.149999999999991</v>
      </c>
      <c r="O20" s="334" t="str">
        <f t="shared" si="1"/>
        <v>B</v>
      </c>
      <c r="S20" s="346" t="s">
        <v>2333</v>
      </c>
      <c r="T20" s="347">
        <f>AVERAGEIF(B9:B248,B21,N9:N248)</f>
        <v>85.429333333333332</v>
      </c>
      <c r="U20" s="347"/>
      <c r="V20" s="347"/>
      <c r="W20" s="348"/>
    </row>
    <row r="21" spans="1:23" x14ac:dyDescent="0.35">
      <c r="A21" s="330" t="s">
        <v>2334</v>
      </c>
      <c r="B21" s="330" t="s">
        <v>2312</v>
      </c>
      <c r="C21" s="330" t="s">
        <v>2313</v>
      </c>
      <c r="D21" s="331">
        <v>89</v>
      </c>
      <c r="E21" s="331">
        <v>80</v>
      </c>
      <c r="F21" s="331">
        <v>64</v>
      </c>
      <c r="G21" s="331">
        <v>95</v>
      </c>
      <c r="H21" s="332">
        <v>20</v>
      </c>
      <c r="I21" s="332">
        <v>17</v>
      </c>
      <c r="J21" s="333">
        <v>22</v>
      </c>
      <c r="K21" s="333">
        <v>19</v>
      </c>
      <c r="L21" s="333">
        <v>25</v>
      </c>
      <c r="M21" s="333">
        <v>22</v>
      </c>
      <c r="N21" s="334">
        <f t="shared" si="0"/>
        <v>86.600000000000009</v>
      </c>
      <c r="O21" s="334" t="str">
        <f t="shared" si="1"/>
        <v>B</v>
      </c>
      <c r="S21" s="346" t="s">
        <v>2335</v>
      </c>
      <c r="T21" s="347" cm="1">
        <f t="array" ref="T21">MAX(_xlfn._xlws.FILTER(N9:N248,C9:C248=C21))</f>
        <v>96.65</v>
      </c>
      <c r="U21" s="347"/>
      <c r="V21" s="347" t="s">
        <v>2336</v>
      </c>
      <c r="W21" s="348" cm="1">
        <f t="array" ref="W21">MAX(_xlfn._xlws.FILTER(N9:N248,C9:C248=C19))</f>
        <v>96.45</v>
      </c>
    </row>
    <row r="22" spans="1:23" x14ac:dyDescent="0.35">
      <c r="A22" s="330" t="s">
        <v>2337</v>
      </c>
      <c r="B22" s="330" t="s">
        <v>2309</v>
      </c>
      <c r="C22" s="330" t="s">
        <v>2310</v>
      </c>
      <c r="D22" s="331">
        <v>82</v>
      </c>
      <c r="E22" s="331">
        <v>73</v>
      </c>
      <c r="F22" s="331">
        <v>79</v>
      </c>
      <c r="G22" s="331">
        <v>97</v>
      </c>
      <c r="H22" s="332">
        <v>21</v>
      </c>
      <c r="I22" s="332">
        <v>20</v>
      </c>
      <c r="J22" s="333">
        <v>23</v>
      </c>
      <c r="K22" s="333">
        <v>24</v>
      </c>
      <c r="L22" s="333">
        <v>22</v>
      </c>
      <c r="M22" s="333">
        <v>23</v>
      </c>
      <c r="N22" s="334">
        <f t="shared" si="0"/>
        <v>86.5</v>
      </c>
      <c r="O22" s="334" t="str">
        <f t="shared" si="1"/>
        <v>B</v>
      </c>
      <c r="S22" s="346" t="s">
        <v>2338</v>
      </c>
      <c r="T22" s="347">
        <f>COUNTIFS(C9:C248,C22,B9:B248,B24)/COUNTIF(C9:C248,C22)</f>
        <v>0.35294117647058826</v>
      </c>
      <c r="U22" s="347"/>
      <c r="V22" s="347">
        <f>COUNTIFS(C9:C248,C20,B9:B248,B21,O9:O248,O234)/COUNTIFS(B9:B248,B21,O9:O248,O234)</f>
        <v>0.5</v>
      </c>
      <c r="W22" s="348"/>
    </row>
    <row r="23" spans="1:23" x14ac:dyDescent="0.35">
      <c r="A23" s="330" t="s">
        <v>2339</v>
      </c>
      <c r="B23" s="330" t="s">
        <v>2316</v>
      </c>
      <c r="C23" s="330" t="s">
        <v>2313</v>
      </c>
      <c r="D23" s="331">
        <v>98</v>
      </c>
      <c r="E23" s="331">
        <v>81</v>
      </c>
      <c r="F23" s="331">
        <v>79</v>
      </c>
      <c r="G23" s="331">
        <v>98</v>
      </c>
      <c r="H23" s="332">
        <v>25</v>
      </c>
      <c r="I23" s="332">
        <v>15</v>
      </c>
      <c r="J23" s="333">
        <v>23</v>
      </c>
      <c r="K23" s="333">
        <v>18</v>
      </c>
      <c r="L23" s="333">
        <v>22</v>
      </c>
      <c r="M23" s="333">
        <v>21</v>
      </c>
      <c r="N23" s="334">
        <f t="shared" si="0"/>
        <v>89.85</v>
      </c>
      <c r="O23" s="334" t="str">
        <f t="shared" si="1"/>
        <v>B</v>
      </c>
      <c r="S23" s="346" t="s">
        <v>2340</v>
      </c>
      <c r="T23" s="347">
        <f>AVERAGEIFS(N9:N248,C9:C248,C24,B9:B248,B23,O9:O248,O26)</f>
        <v>79.983333333333334</v>
      </c>
      <c r="U23" s="347"/>
      <c r="V23" s="347">
        <f>AVERAGEIFS(N9:N248,C9:C248,C23,B9:B248,B22,O9:O248,O26)</f>
        <v>80.825000000000003</v>
      </c>
      <c r="W23" s="348"/>
    </row>
    <row r="24" spans="1:23" ht="16" thickBot="1" x14ac:dyDescent="0.4">
      <c r="A24" s="330" t="s">
        <v>2341</v>
      </c>
      <c r="B24" s="330" t="s">
        <v>2316</v>
      </c>
      <c r="C24" s="330" t="s">
        <v>2310</v>
      </c>
      <c r="D24" s="331">
        <v>99</v>
      </c>
      <c r="E24" s="331">
        <v>89</v>
      </c>
      <c r="F24" s="331">
        <v>99</v>
      </c>
      <c r="G24" s="331">
        <v>82</v>
      </c>
      <c r="H24" s="332">
        <v>24</v>
      </c>
      <c r="I24" s="332">
        <v>20</v>
      </c>
      <c r="J24" s="333">
        <v>25</v>
      </c>
      <c r="K24" s="333">
        <v>25</v>
      </c>
      <c r="L24" s="333">
        <v>23</v>
      </c>
      <c r="M24" s="333">
        <v>22</v>
      </c>
      <c r="N24" s="334">
        <f t="shared" si="0"/>
        <v>94.8</v>
      </c>
      <c r="O24" s="334" t="str">
        <f t="shared" si="1"/>
        <v>A</v>
      </c>
      <c r="S24" s="349" t="s">
        <v>2342</v>
      </c>
      <c r="T24" s="350">
        <f>COUNTIFS(C9:C248,C24,B9:B248,B24,O9:O248,O26,D9:D248,"&gt;=80")</f>
        <v>4</v>
      </c>
      <c r="U24" s="350"/>
      <c r="V24" s="350">
        <f>COUNTIFS(C9:C248,C24,B9:B248,B24,O9:O248,O26,D9:D248,"&gt;=80")</f>
        <v>4</v>
      </c>
      <c r="W24" s="351"/>
    </row>
    <row r="25" spans="1:23" x14ac:dyDescent="0.35">
      <c r="A25" s="330" t="s">
        <v>2343</v>
      </c>
      <c r="B25" s="330" t="s">
        <v>2316</v>
      </c>
      <c r="C25" s="330" t="s">
        <v>2310</v>
      </c>
      <c r="D25" s="331">
        <v>81</v>
      </c>
      <c r="E25" s="331">
        <v>88</v>
      </c>
      <c r="F25" s="331">
        <v>92</v>
      </c>
      <c r="G25" s="331">
        <v>89</v>
      </c>
      <c r="H25" s="332">
        <v>21</v>
      </c>
      <c r="I25" s="332">
        <v>20</v>
      </c>
      <c r="J25" s="333">
        <v>23</v>
      </c>
      <c r="K25" s="333">
        <v>21</v>
      </c>
      <c r="L25" s="333">
        <v>22</v>
      </c>
      <c r="M25" s="333">
        <v>25</v>
      </c>
      <c r="N25" s="334">
        <f t="shared" si="0"/>
        <v>89.100000000000009</v>
      </c>
      <c r="O25" s="334" t="str">
        <f t="shared" si="1"/>
        <v>B</v>
      </c>
    </row>
    <row r="26" spans="1:23" x14ac:dyDescent="0.35">
      <c r="A26" s="330" t="s">
        <v>2344</v>
      </c>
      <c r="B26" s="330" t="s">
        <v>2316</v>
      </c>
      <c r="C26" s="330" t="s">
        <v>2310</v>
      </c>
      <c r="D26" s="331">
        <v>85</v>
      </c>
      <c r="E26" s="331">
        <v>84</v>
      </c>
      <c r="F26" s="331">
        <v>66</v>
      </c>
      <c r="G26" s="331">
        <v>66</v>
      </c>
      <c r="H26" s="332">
        <v>23</v>
      </c>
      <c r="I26" s="332">
        <v>22</v>
      </c>
      <c r="J26" s="333">
        <v>22</v>
      </c>
      <c r="K26" s="333">
        <v>21</v>
      </c>
      <c r="L26" s="333">
        <v>23</v>
      </c>
      <c r="M26" s="333">
        <v>24</v>
      </c>
      <c r="N26" s="334">
        <f t="shared" si="0"/>
        <v>81.25</v>
      </c>
      <c r="O26" s="334" t="str">
        <f t="shared" si="1"/>
        <v>C</v>
      </c>
    </row>
    <row r="27" spans="1:23" x14ac:dyDescent="0.35">
      <c r="A27" s="330" t="s">
        <v>2345</v>
      </c>
      <c r="B27" s="330" t="s">
        <v>2316</v>
      </c>
      <c r="C27" s="330" t="s">
        <v>2310</v>
      </c>
      <c r="D27" s="331">
        <v>83</v>
      </c>
      <c r="E27" s="331">
        <v>68</v>
      </c>
      <c r="F27" s="331">
        <v>83</v>
      </c>
      <c r="G27" s="331">
        <v>67</v>
      </c>
      <c r="H27" s="332">
        <v>21</v>
      </c>
      <c r="I27" s="332">
        <v>20</v>
      </c>
      <c r="J27" s="333">
        <v>25</v>
      </c>
      <c r="K27" s="333">
        <v>22</v>
      </c>
      <c r="L27" s="333">
        <v>24</v>
      </c>
      <c r="M27" s="333">
        <v>22</v>
      </c>
      <c r="N27" s="334">
        <f t="shared" si="0"/>
        <v>80.650000000000006</v>
      </c>
      <c r="O27" s="334" t="str">
        <f t="shared" si="1"/>
        <v>C</v>
      </c>
    </row>
    <row r="28" spans="1:23" x14ac:dyDescent="0.35">
      <c r="A28" s="330" t="s">
        <v>2346</v>
      </c>
      <c r="B28" s="330" t="s">
        <v>2309</v>
      </c>
      <c r="C28" s="330" t="s">
        <v>2310</v>
      </c>
      <c r="D28" s="331">
        <v>62</v>
      </c>
      <c r="E28" s="331">
        <v>95</v>
      </c>
      <c r="F28" s="331">
        <v>83</v>
      </c>
      <c r="G28" s="331">
        <v>65</v>
      </c>
      <c r="H28" s="332">
        <v>20</v>
      </c>
      <c r="I28" s="332">
        <v>23</v>
      </c>
      <c r="J28" s="333">
        <v>22</v>
      </c>
      <c r="K28" s="333">
        <v>22</v>
      </c>
      <c r="L28" s="333">
        <v>22</v>
      </c>
      <c r="M28" s="333">
        <v>20</v>
      </c>
      <c r="N28" s="334">
        <f t="shared" si="0"/>
        <v>82.250000000000014</v>
      </c>
      <c r="O28" s="334" t="str">
        <f t="shared" si="1"/>
        <v>C</v>
      </c>
    </row>
    <row r="29" spans="1:23" x14ac:dyDescent="0.35">
      <c r="A29" s="330" t="s">
        <v>1900</v>
      </c>
      <c r="B29" s="330" t="s">
        <v>2309</v>
      </c>
      <c r="C29" s="330" t="s">
        <v>2313</v>
      </c>
      <c r="D29" s="331">
        <v>66</v>
      </c>
      <c r="E29" s="331">
        <v>90</v>
      </c>
      <c r="F29" s="331">
        <v>81</v>
      </c>
      <c r="G29" s="331">
        <v>60</v>
      </c>
      <c r="H29" s="332">
        <v>20</v>
      </c>
      <c r="I29" s="332">
        <v>25</v>
      </c>
      <c r="J29" s="333">
        <v>22</v>
      </c>
      <c r="K29" s="333">
        <v>23</v>
      </c>
      <c r="L29" s="333">
        <v>24</v>
      </c>
      <c r="M29" s="333">
        <v>25</v>
      </c>
      <c r="N29" s="334">
        <f t="shared" si="0"/>
        <v>82.35</v>
      </c>
      <c r="O29" s="334" t="str">
        <f t="shared" si="1"/>
        <v>C</v>
      </c>
    </row>
    <row r="30" spans="1:23" x14ac:dyDescent="0.35">
      <c r="A30" s="330" t="s">
        <v>2347</v>
      </c>
      <c r="B30" s="330" t="s">
        <v>2312</v>
      </c>
      <c r="C30" s="330" t="s">
        <v>2310</v>
      </c>
      <c r="D30" s="331">
        <v>60</v>
      </c>
      <c r="E30" s="331">
        <v>86</v>
      </c>
      <c r="F30" s="331">
        <v>98</v>
      </c>
      <c r="G30" s="331">
        <v>65</v>
      </c>
      <c r="H30" s="332">
        <v>25</v>
      </c>
      <c r="I30" s="332">
        <v>23</v>
      </c>
      <c r="J30" s="333">
        <v>23</v>
      </c>
      <c r="K30" s="333">
        <v>24</v>
      </c>
      <c r="L30" s="333">
        <v>25</v>
      </c>
      <c r="M30" s="333">
        <v>18</v>
      </c>
      <c r="N30" s="334">
        <f t="shared" si="0"/>
        <v>85.35</v>
      </c>
      <c r="O30" s="334" t="str">
        <f t="shared" si="1"/>
        <v>B</v>
      </c>
    </row>
    <row r="31" spans="1:23" x14ac:dyDescent="0.35">
      <c r="A31" s="330" t="s">
        <v>2348</v>
      </c>
      <c r="B31" s="330" t="s">
        <v>2316</v>
      </c>
      <c r="C31" s="330" t="s">
        <v>2310</v>
      </c>
      <c r="D31" s="331">
        <v>62</v>
      </c>
      <c r="E31" s="331">
        <v>83</v>
      </c>
      <c r="F31" s="331">
        <v>64</v>
      </c>
      <c r="G31" s="331">
        <v>68</v>
      </c>
      <c r="H31" s="332">
        <v>25</v>
      </c>
      <c r="I31" s="332">
        <v>17</v>
      </c>
      <c r="J31" s="333">
        <v>23</v>
      </c>
      <c r="K31" s="333">
        <v>18</v>
      </c>
      <c r="L31" s="333">
        <v>25</v>
      </c>
      <c r="M31" s="333">
        <v>18</v>
      </c>
      <c r="N31" s="334">
        <f t="shared" si="0"/>
        <v>74.75</v>
      </c>
      <c r="O31" s="334" t="str">
        <f t="shared" si="1"/>
        <v>C</v>
      </c>
    </row>
    <row r="32" spans="1:23" x14ac:dyDescent="0.35">
      <c r="A32" s="330" t="s">
        <v>2349</v>
      </c>
      <c r="B32" s="330" t="s">
        <v>2309</v>
      </c>
      <c r="C32" s="330" t="s">
        <v>2310</v>
      </c>
      <c r="D32" s="331">
        <v>64</v>
      </c>
      <c r="E32" s="331">
        <v>98</v>
      </c>
      <c r="F32" s="331">
        <v>69</v>
      </c>
      <c r="G32" s="331">
        <v>69</v>
      </c>
      <c r="H32" s="332">
        <v>25</v>
      </c>
      <c r="I32" s="332">
        <v>16</v>
      </c>
      <c r="J32" s="333">
        <v>24</v>
      </c>
      <c r="K32" s="333">
        <v>20</v>
      </c>
      <c r="L32" s="333">
        <v>23</v>
      </c>
      <c r="M32" s="333">
        <v>20</v>
      </c>
      <c r="N32" s="334">
        <f t="shared" si="0"/>
        <v>80.25</v>
      </c>
      <c r="O32" s="334" t="str">
        <f t="shared" si="1"/>
        <v>C</v>
      </c>
    </row>
    <row r="33" spans="1:15" x14ac:dyDescent="0.35">
      <c r="A33" s="330" t="s">
        <v>1828</v>
      </c>
      <c r="B33" s="330" t="s">
        <v>2309</v>
      </c>
      <c r="C33" s="330" t="s">
        <v>2310</v>
      </c>
      <c r="D33" s="331">
        <v>60</v>
      </c>
      <c r="E33" s="331">
        <v>73</v>
      </c>
      <c r="F33" s="331">
        <v>96</v>
      </c>
      <c r="G33" s="331">
        <v>65</v>
      </c>
      <c r="H33" s="332">
        <v>22</v>
      </c>
      <c r="I33" s="332">
        <v>17</v>
      </c>
      <c r="J33" s="333">
        <v>25</v>
      </c>
      <c r="K33" s="333">
        <v>20</v>
      </c>
      <c r="L33" s="333">
        <v>24</v>
      </c>
      <c r="M33" s="333">
        <v>24</v>
      </c>
      <c r="N33" s="334">
        <f t="shared" si="0"/>
        <v>80.25</v>
      </c>
      <c r="O33" s="334" t="str">
        <f t="shared" si="1"/>
        <v>C</v>
      </c>
    </row>
    <row r="34" spans="1:15" x14ac:dyDescent="0.35">
      <c r="A34" s="330" t="s">
        <v>2350</v>
      </c>
      <c r="B34" s="330" t="s">
        <v>2312</v>
      </c>
      <c r="C34" s="330" t="s">
        <v>2310</v>
      </c>
      <c r="D34" s="331">
        <v>61</v>
      </c>
      <c r="E34" s="331">
        <v>100</v>
      </c>
      <c r="F34" s="331">
        <v>97</v>
      </c>
      <c r="G34" s="331">
        <v>69</v>
      </c>
      <c r="H34" s="332">
        <v>20</v>
      </c>
      <c r="I34" s="332">
        <v>15</v>
      </c>
      <c r="J34" s="333">
        <v>22</v>
      </c>
      <c r="K34" s="333">
        <v>23</v>
      </c>
      <c r="L34" s="333">
        <v>24</v>
      </c>
      <c r="M34" s="333">
        <v>18</v>
      </c>
      <c r="N34" s="334">
        <f t="shared" si="0"/>
        <v>86.55</v>
      </c>
      <c r="O34" s="334" t="str">
        <f t="shared" si="1"/>
        <v>B</v>
      </c>
    </row>
    <row r="35" spans="1:15" x14ac:dyDescent="0.35">
      <c r="A35" s="330" t="s">
        <v>2351</v>
      </c>
      <c r="B35" s="330" t="s">
        <v>2309</v>
      </c>
      <c r="C35" s="330" t="s">
        <v>2313</v>
      </c>
      <c r="D35" s="331">
        <v>70</v>
      </c>
      <c r="E35" s="331">
        <v>86</v>
      </c>
      <c r="F35" s="331">
        <v>74</v>
      </c>
      <c r="G35" s="331">
        <v>63</v>
      </c>
      <c r="H35" s="332">
        <v>25</v>
      </c>
      <c r="I35" s="332">
        <v>16</v>
      </c>
      <c r="J35" s="333">
        <v>24</v>
      </c>
      <c r="K35" s="333">
        <v>20</v>
      </c>
      <c r="L35" s="333">
        <v>23</v>
      </c>
      <c r="M35" s="333">
        <v>22</v>
      </c>
      <c r="N35" s="334">
        <f t="shared" si="0"/>
        <v>79.05</v>
      </c>
      <c r="O35" s="334" t="str">
        <f t="shared" si="1"/>
        <v>C</v>
      </c>
    </row>
    <row r="36" spans="1:15" x14ac:dyDescent="0.35">
      <c r="A36" s="330" t="s">
        <v>2352</v>
      </c>
      <c r="B36" s="330" t="s">
        <v>2309</v>
      </c>
      <c r="C36" s="330" t="s">
        <v>2313</v>
      </c>
      <c r="D36" s="331">
        <v>61</v>
      </c>
      <c r="E36" s="331">
        <v>85</v>
      </c>
      <c r="F36" s="331">
        <v>74</v>
      </c>
      <c r="G36" s="331">
        <v>67</v>
      </c>
      <c r="H36" s="332">
        <v>25</v>
      </c>
      <c r="I36" s="332">
        <v>20</v>
      </c>
      <c r="J36" s="333">
        <v>25</v>
      </c>
      <c r="K36" s="333">
        <v>24</v>
      </c>
      <c r="L36" s="333">
        <v>25</v>
      </c>
      <c r="M36" s="333">
        <v>20</v>
      </c>
      <c r="N36" s="334">
        <f t="shared" si="0"/>
        <v>79.599999999999994</v>
      </c>
      <c r="O36" s="334" t="str">
        <f t="shared" si="1"/>
        <v>C</v>
      </c>
    </row>
    <row r="37" spans="1:15" x14ac:dyDescent="0.35">
      <c r="A37" s="330" t="s">
        <v>2353</v>
      </c>
      <c r="B37" s="330" t="s">
        <v>2312</v>
      </c>
      <c r="C37" s="330" t="s">
        <v>2310</v>
      </c>
      <c r="D37" s="331">
        <v>63</v>
      </c>
      <c r="E37" s="331">
        <v>88</v>
      </c>
      <c r="F37" s="331">
        <v>86</v>
      </c>
      <c r="G37" s="331">
        <v>67</v>
      </c>
      <c r="H37" s="332">
        <v>21</v>
      </c>
      <c r="I37" s="332">
        <v>22</v>
      </c>
      <c r="J37" s="333">
        <v>25</v>
      </c>
      <c r="K37" s="333">
        <v>18</v>
      </c>
      <c r="L37" s="333">
        <v>23</v>
      </c>
      <c r="M37" s="333">
        <v>18</v>
      </c>
      <c r="N37" s="334">
        <f t="shared" si="0"/>
        <v>81.449999999999989</v>
      </c>
      <c r="O37" s="334" t="str">
        <f t="shared" si="1"/>
        <v>C</v>
      </c>
    </row>
    <row r="38" spans="1:15" x14ac:dyDescent="0.35">
      <c r="A38" s="330" t="s">
        <v>2354</v>
      </c>
      <c r="B38" s="330" t="s">
        <v>2316</v>
      </c>
      <c r="C38" s="330" t="s">
        <v>2310</v>
      </c>
      <c r="D38" s="331">
        <v>70</v>
      </c>
      <c r="E38" s="331">
        <v>70</v>
      </c>
      <c r="F38" s="331">
        <v>63</v>
      </c>
      <c r="G38" s="331">
        <v>60</v>
      </c>
      <c r="H38" s="332">
        <v>21</v>
      </c>
      <c r="I38" s="332">
        <v>15</v>
      </c>
      <c r="J38" s="333">
        <v>22</v>
      </c>
      <c r="K38" s="333">
        <v>21</v>
      </c>
      <c r="L38" s="333">
        <v>25</v>
      </c>
      <c r="M38" s="333">
        <v>19</v>
      </c>
      <c r="N38" s="334">
        <f t="shared" si="0"/>
        <v>71</v>
      </c>
      <c r="O38" s="334" t="str">
        <f t="shared" si="1"/>
        <v>D</v>
      </c>
    </row>
    <row r="39" spans="1:15" x14ac:dyDescent="0.35">
      <c r="A39" s="330" t="s">
        <v>2355</v>
      </c>
      <c r="B39" s="330" t="s">
        <v>2312</v>
      </c>
      <c r="C39" s="330" t="s">
        <v>2313</v>
      </c>
      <c r="D39" s="331">
        <v>62</v>
      </c>
      <c r="E39" s="331">
        <v>87</v>
      </c>
      <c r="F39" s="331">
        <v>92</v>
      </c>
      <c r="G39" s="331">
        <v>69</v>
      </c>
      <c r="H39" s="332">
        <v>23</v>
      </c>
      <c r="I39" s="332">
        <v>24</v>
      </c>
      <c r="J39" s="333">
        <v>22</v>
      </c>
      <c r="K39" s="333">
        <v>19</v>
      </c>
      <c r="L39" s="333">
        <v>23</v>
      </c>
      <c r="M39" s="333">
        <v>19</v>
      </c>
      <c r="N39" s="334">
        <f t="shared" si="0"/>
        <v>83.850000000000009</v>
      </c>
      <c r="O39" s="334" t="str">
        <f t="shared" si="1"/>
        <v>B</v>
      </c>
    </row>
    <row r="40" spans="1:15" x14ac:dyDescent="0.35">
      <c r="A40" s="330" t="s">
        <v>2356</v>
      </c>
      <c r="B40" s="330" t="s">
        <v>2309</v>
      </c>
      <c r="C40" s="330" t="s">
        <v>2313</v>
      </c>
      <c r="D40" s="331">
        <v>81</v>
      </c>
      <c r="E40" s="331">
        <v>74</v>
      </c>
      <c r="F40" s="331">
        <v>85</v>
      </c>
      <c r="G40" s="331">
        <v>95</v>
      </c>
      <c r="H40" s="332">
        <v>23</v>
      </c>
      <c r="I40" s="332">
        <v>20</v>
      </c>
      <c r="J40" s="333">
        <v>23</v>
      </c>
      <c r="K40" s="333">
        <v>19</v>
      </c>
      <c r="L40" s="333">
        <v>25</v>
      </c>
      <c r="M40" s="333">
        <v>24</v>
      </c>
      <c r="N40" s="334">
        <f t="shared" si="0"/>
        <v>87.5</v>
      </c>
      <c r="O40" s="334" t="str">
        <f t="shared" si="1"/>
        <v>B</v>
      </c>
    </row>
    <row r="41" spans="1:15" x14ac:dyDescent="0.35">
      <c r="A41" s="330" t="s">
        <v>2357</v>
      </c>
      <c r="B41" s="330" t="s">
        <v>2312</v>
      </c>
      <c r="C41" s="330" t="s">
        <v>2310</v>
      </c>
      <c r="D41" s="331">
        <v>86</v>
      </c>
      <c r="E41" s="331">
        <v>98</v>
      </c>
      <c r="F41" s="331">
        <v>97</v>
      </c>
      <c r="G41" s="331">
        <v>99</v>
      </c>
      <c r="H41" s="332">
        <v>24</v>
      </c>
      <c r="I41" s="332">
        <v>19</v>
      </c>
      <c r="J41" s="333">
        <v>23</v>
      </c>
      <c r="K41" s="333">
        <v>24</v>
      </c>
      <c r="L41" s="333">
        <v>25</v>
      </c>
      <c r="M41" s="333">
        <v>22</v>
      </c>
      <c r="N41" s="334">
        <f t="shared" si="0"/>
        <v>96.199999999999989</v>
      </c>
      <c r="O41" s="334" t="str">
        <f t="shared" si="1"/>
        <v>A</v>
      </c>
    </row>
    <row r="42" spans="1:15" x14ac:dyDescent="0.35">
      <c r="A42" s="330" t="s">
        <v>2358</v>
      </c>
      <c r="B42" s="330" t="s">
        <v>2316</v>
      </c>
      <c r="C42" s="330" t="s">
        <v>2313</v>
      </c>
      <c r="D42" s="331">
        <v>89</v>
      </c>
      <c r="E42" s="331">
        <v>97</v>
      </c>
      <c r="F42" s="331">
        <v>95</v>
      </c>
      <c r="G42" s="331">
        <v>83</v>
      </c>
      <c r="H42" s="332">
        <v>23</v>
      </c>
      <c r="I42" s="332">
        <v>19</v>
      </c>
      <c r="J42" s="333">
        <v>24</v>
      </c>
      <c r="K42" s="333">
        <v>25</v>
      </c>
      <c r="L42" s="333">
        <v>22</v>
      </c>
      <c r="M42" s="333">
        <v>23</v>
      </c>
      <c r="N42" s="334">
        <f t="shared" si="0"/>
        <v>92.75</v>
      </c>
      <c r="O42" s="334" t="str">
        <f t="shared" si="1"/>
        <v>A</v>
      </c>
    </row>
    <row r="43" spans="1:15" x14ac:dyDescent="0.35">
      <c r="A43" s="330" t="s">
        <v>2359</v>
      </c>
      <c r="B43" s="330" t="s">
        <v>2309</v>
      </c>
      <c r="C43" s="330" t="s">
        <v>2313</v>
      </c>
      <c r="D43" s="331">
        <v>81</v>
      </c>
      <c r="E43" s="331">
        <v>89</v>
      </c>
      <c r="F43" s="331">
        <v>80</v>
      </c>
      <c r="G43" s="331">
        <v>87</v>
      </c>
      <c r="H43" s="332">
        <v>21</v>
      </c>
      <c r="I43" s="332">
        <v>15</v>
      </c>
      <c r="J43" s="333">
        <v>23</v>
      </c>
      <c r="K43" s="333">
        <v>21</v>
      </c>
      <c r="L43" s="333">
        <v>25</v>
      </c>
      <c r="M43" s="333">
        <v>23</v>
      </c>
      <c r="N43" s="334">
        <f t="shared" si="0"/>
        <v>85.25</v>
      </c>
      <c r="O43" s="334" t="str">
        <f t="shared" si="1"/>
        <v>B</v>
      </c>
    </row>
    <row r="44" spans="1:15" x14ac:dyDescent="0.35">
      <c r="A44" s="330" t="s">
        <v>2360</v>
      </c>
      <c r="B44" s="330" t="s">
        <v>2316</v>
      </c>
      <c r="C44" s="330" t="s">
        <v>2310</v>
      </c>
      <c r="D44" s="331">
        <v>85</v>
      </c>
      <c r="E44" s="331">
        <v>89</v>
      </c>
      <c r="F44" s="331">
        <v>94</v>
      </c>
      <c r="G44" s="331">
        <v>92</v>
      </c>
      <c r="H44" s="332">
        <v>22</v>
      </c>
      <c r="I44" s="332">
        <v>21</v>
      </c>
      <c r="J44" s="333">
        <v>24</v>
      </c>
      <c r="K44" s="333">
        <v>24</v>
      </c>
      <c r="L44" s="333">
        <v>22</v>
      </c>
      <c r="M44" s="333">
        <v>20</v>
      </c>
      <c r="N44" s="334">
        <f t="shared" si="0"/>
        <v>90.85</v>
      </c>
      <c r="O44" s="334" t="str">
        <f t="shared" si="1"/>
        <v>A</v>
      </c>
    </row>
    <row r="45" spans="1:15" x14ac:dyDescent="0.35">
      <c r="A45" s="330" t="s">
        <v>1843</v>
      </c>
      <c r="B45" s="330" t="s">
        <v>2316</v>
      </c>
      <c r="C45" s="330" t="s">
        <v>2310</v>
      </c>
      <c r="D45" s="331">
        <v>81</v>
      </c>
      <c r="E45" s="331">
        <v>74</v>
      </c>
      <c r="F45" s="331">
        <v>97</v>
      </c>
      <c r="G45" s="331">
        <v>85</v>
      </c>
      <c r="H45" s="332">
        <v>22</v>
      </c>
      <c r="I45" s="332">
        <v>18</v>
      </c>
      <c r="J45" s="333">
        <v>24</v>
      </c>
      <c r="K45" s="333">
        <v>20</v>
      </c>
      <c r="L45" s="333">
        <v>22</v>
      </c>
      <c r="M45" s="333">
        <v>21</v>
      </c>
      <c r="N45" s="334">
        <f t="shared" si="0"/>
        <v>86.8</v>
      </c>
      <c r="O45" s="334" t="str">
        <f t="shared" si="1"/>
        <v>B</v>
      </c>
    </row>
    <row r="46" spans="1:15" x14ac:dyDescent="0.35">
      <c r="A46" s="330" t="s">
        <v>2361</v>
      </c>
      <c r="B46" s="330" t="s">
        <v>2309</v>
      </c>
      <c r="C46" s="330" t="s">
        <v>2313</v>
      </c>
      <c r="D46" s="331">
        <v>87</v>
      </c>
      <c r="E46" s="331">
        <v>78</v>
      </c>
      <c r="F46" s="331">
        <v>92</v>
      </c>
      <c r="G46" s="331">
        <v>91</v>
      </c>
      <c r="H46" s="332">
        <v>22</v>
      </c>
      <c r="I46" s="332">
        <v>24</v>
      </c>
      <c r="J46" s="333">
        <v>22</v>
      </c>
      <c r="K46" s="333">
        <v>22</v>
      </c>
      <c r="L46" s="333">
        <v>25</v>
      </c>
      <c r="M46" s="333">
        <v>19</v>
      </c>
      <c r="N46" s="334">
        <f t="shared" si="0"/>
        <v>89.9</v>
      </c>
      <c r="O46" s="334" t="str">
        <f t="shared" si="1"/>
        <v>B</v>
      </c>
    </row>
    <row r="47" spans="1:15" x14ac:dyDescent="0.35">
      <c r="A47" s="330" t="s">
        <v>2362</v>
      </c>
      <c r="B47" s="330" t="s">
        <v>2309</v>
      </c>
      <c r="C47" s="330" t="s">
        <v>2310</v>
      </c>
      <c r="D47" s="331">
        <v>88</v>
      </c>
      <c r="E47" s="331">
        <v>76</v>
      </c>
      <c r="F47" s="331">
        <v>90</v>
      </c>
      <c r="G47" s="331">
        <v>97</v>
      </c>
      <c r="H47" s="332">
        <v>24</v>
      </c>
      <c r="I47" s="332">
        <v>17</v>
      </c>
      <c r="J47" s="333">
        <v>22</v>
      </c>
      <c r="K47" s="333">
        <v>22</v>
      </c>
      <c r="L47" s="333">
        <v>25</v>
      </c>
      <c r="M47" s="333">
        <v>18</v>
      </c>
      <c r="N47" s="334">
        <f t="shared" si="0"/>
        <v>90</v>
      </c>
      <c r="O47" s="334" t="str">
        <f t="shared" si="1"/>
        <v>A</v>
      </c>
    </row>
    <row r="48" spans="1:15" x14ac:dyDescent="0.35">
      <c r="A48" s="330" t="s">
        <v>2363</v>
      </c>
      <c r="B48" s="330" t="s">
        <v>2316</v>
      </c>
      <c r="C48" s="330" t="s">
        <v>2310</v>
      </c>
      <c r="D48" s="331">
        <v>96</v>
      </c>
      <c r="E48" s="331">
        <v>98</v>
      </c>
      <c r="F48" s="331">
        <v>64</v>
      </c>
      <c r="G48" s="331">
        <v>95</v>
      </c>
      <c r="H48" s="332">
        <v>21</v>
      </c>
      <c r="I48" s="332">
        <v>17</v>
      </c>
      <c r="J48" s="333">
        <v>24</v>
      </c>
      <c r="K48" s="333">
        <v>19</v>
      </c>
      <c r="L48" s="333">
        <v>23</v>
      </c>
      <c r="M48" s="333">
        <v>22</v>
      </c>
      <c r="N48" s="334">
        <f t="shared" si="0"/>
        <v>93.05</v>
      </c>
      <c r="O48" s="334" t="str">
        <f t="shared" si="1"/>
        <v>A</v>
      </c>
    </row>
    <row r="49" spans="1:15" x14ac:dyDescent="0.35">
      <c r="A49" s="330" t="s">
        <v>2364</v>
      </c>
      <c r="B49" s="330" t="s">
        <v>2309</v>
      </c>
      <c r="C49" s="330" t="s">
        <v>2310</v>
      </c>
      <c r="D49" s="331">
        <v>82</v>
      </c>
      <c r="E49" s="331">
        <v>72</v>
      </c>
      <c r="F49" s="331">
        <v>62</v>
      </c>
      <c r="G49" s="331">
        <v>98</v>
      </c>
      <c r="H49" s="332">
        <v>22</v>
      </c>
      <c r="I49" s="332">
        <v>20</v>
      </c>
      <c r="J49" s="333">
        <v>25</v>
      </c>
      <c r="K49" s="333">
        <v>24</v>
      </c>
      <c r="L49" s="333">
        <v>23</v>
      </c>
      <c r="M49" s="333">
        <v>18</v>
      </c>
      <c r="N49" s="334">
        <f t="shared" si="0"/>
        <v>84.9</v>
      </c>
      <c r="O49" s="334" t="str">
        <f t="shared" si="1"/>
        <v>B</v>
      </c>
    </row>
    <row r="50" spans="1:15" x14ac:dyDescent="0.35">
      <c r="A50" s="330" t="s">
        <v>2365</v>
      </c>
      <c r="B50" s="330" t="s">
        <v>2316</v>
      </c>
      <c r="C50" s="330" t="s">
        <v>2310</v>
      </c>
      <c r="D50" s="331">
        <v>97</v>
      </c>
      <c r="E50" s="331">
        <v>70</v>
      </c>
      <c r="F50" s="331">
        <v>66</v>
      </c>
      <c r="G50" s="331">
        <v>91</v>
      </c>
      <c r="H50" s="332">
        <v>21</v>
      </c>
      <c r="I50" s="332">
        <v>25</v>
      </c>
      <c r="J50" s="333">
        <v>22</v>
      </c>
      <c r="K50" s="333">
        <v>20</v>
      </c>
      <c r="L50" s="333">
        <v>23</v>
      </c>
      <c r="M50" s="333">
        <v>23</v>
      </c>
      <c r="N50" s="334">
        <f t="shared" si="0"/>
        <v>86.9</v>
      </c>
      <c r="O50" s="334" t="str">
        <f t="shared" si="1"/>
        <v>B</v>
      </c>
    </row>
    <row r="51" spans="1:15" x14ac:dyDescent="0.35">
      <c r="A51" s="330" t="s">
        <v>2366</v>
      </c>
      <c r="B51" s="330" t="s">
        <v>2316</v>
      </c>
      <c r="C51" s="330" t="s">
        <v>2310</v>
      </c>
      <c r="D51" s="331">
        <v>80</v>
      </c>
      <c r="E51" s="331">
        <v>88</v>
      </c>
      <c r="F51" s="331">
        <v>76</v>
      </c>
      <c r="G51" s="331">
        <v>91</v>
      </c>
      <c r="H51" s="332">
        <v>23</v>
      </c>
      <c r="I51" s="332">
        <v>18</v>
      </c>
      <c r="J51" s="333">
        <v>25</v>
      </c>
      <c r="K51" s="333">
        <v>19</v>
      </c>
      <c r="L51" s="333">
        <v>24</v>
      </c>
      <c r="M51" s="333">
        <v>19</v>
      </c>
      <c r="N51" s="334">
        <f t="shared" si="0"/>
        <v>86</v>
      </c>
      <c r="O51" s="334" t="str">
        <f t="shared" si="1"/>
        <v>B</v>
      </c>
    </row>
    <row r="52" spans="1:15" x14ac:dyDescent="0.35">
      <c r="A52" s="330" t="s">
        <v>2367</v>
      </c>
      <c r="B52" s="330" t="s">
        <v>2312</v>
      </c>
      <c r="C52" s="330" t="s">
        <v>2310</v>
      </c>
      <c r="D52" s="331">
        <v>91</v>
      </c>
      <c r="E52" s="331">
        <v>100</v>
      </c>
      <c r="F52" s="331">
        <v>78</v>
      </c>
      <c r="G52" s="331">
        <v>91</v>
      </c>
      <c r="H52" s="332">
        <v>22</v>
      </c>
      <c r="I52" s="332">
        <v>19</v>
      </c>
      <c r="J52" s="333">
        <v>25</v>
      </c>
      <c r="K52" s="333">
        <v>22</v>
      </c>
      <c r="L52" s="333">
        <v>23</v>
      </c>
      <c r="M52" s="333">
        <v>18</v>
      </c>
      <c r="N52" s="334">
        <f t="shared" si="0"/>
        <v>91.9</v>
      </c>
      <c r="O52" s="334" t="str">
        <f t="shared" si="1"/>
        <v>A</v>
      </c>
    </row>
    <row r="53" spans="1:15" x14ac:dyDescent="0.35">
      <c r="A53" s="330" t="s">
        <v>2368</v>
      </c>
      <c r="B53" s="330" t="s">
        <v>2309</v>
      </c>
      <c r="C53" s="330" t="s">
        <v>2310</v>
      </c>
      <c r="D53" s="331">
        <v>87</v>
      </c>
      <c r="E53" s="331">
        <v>95</v>
      </c>
      <c r="F53" s="331">
        <v>88</v>
      </c>
      <c r="G53" s="331">
        <v>84</v>
      </c>
      <c r="H53" s="332">
        <v>20</v>
      </c>
      <c r="I53" s="332">
        <v>18</v>
      </c>
      <c r="J53" s="333">
        <v>23</v>
      </c>
      <c r="K53" s="333">
        <v>23</v>
      </c>
      <c r="L53" s="333">
        <v>22</v>
      </c>
      <c r="M53" s="333">
        <v>21</v>
      </c>
      <c r="N53" s="334">
        <f t="shared" si="0"/>
        <v>88.449999999999989</v>
      </c>
      <c r="O53" s="334" t="str">
        <f t="shared" si="1"/>
        <v>B</v>
      </c>
    </row>
    <row r="54" spans="1:15" x14ac:dyDescent="0.35">
      <c r="A54" s="330" t="s">
        <v>2369</v>
      </c>
      <c r="B54" s="330" t="s">
        <v>2312</v>
      </c>
      <c r="C54" s="330" t="s">
        <v>2310</v>
      </c>
      <c r="D54" s="331">
        <v>84</v>
      </c>
      <c r="E54" s="331">
        <v>73</v>
      </c>
      <c r="F54" s="331">
        <v>71</v>
      </c>
      <c r="G54" s="331">
        <v>83</v>
      </c>
      <c r="H54" s="332">
        <v>22</v>
      </c>
      <c r="I54" s="332">
        <v>21</v>
      </c>
      <c r="J54" s="333">
        <v>23</v>
      </c>
      <c r="K54" s="333">
        <v>19</v>
      </c>
      <c r="L54" s="333">
        <v>24</v>
      </c>
      <c r="M54" s="333">
        <v>19</v>
      </c>
      <c r="N54" s="334">
        <f t="shared" si="0"/>
        <v>81.349999999999994</v>
      </c>
      <c r="O54" s="334" t="str">
        <f t="shared" si="1"/>
        <v>C</v>
      </c>
    </row>
    <row r="55" spans="1:15" x14ac:dyDescent="0.35">
      <c r="A55" s="330" t="s">
        <v>2370</v>
      </c>
      <c r="B55" s="330" t="s">
        <v>2312</v>
      </c>
      <c r="C55" s="330" t="s">
        <v>2310</v>
      </c>
      <c r="D55" s="331">
        <v>90</v>
      </c>
      <c r="E55" s="331">
        <v>99</v>
      </c>
      <c r="F55" s="331">
        <v>92</v>
      </c>
      <c r="G55" s="331">
        <v>88</v>
      </c>
      <c r="H55" s="332">
        <v>24</v>
      </c>
      <c r="I55" s="332">
        <v>17</v>
      </c>
      <c r="J55" s="333">
        <v>22</v>
      </c>
      <c r="K55" s="333">
        <v>20</v>
      </c>
      <c r="L55" s="333">
        <v>22</v>
      </c>
      <c r="M55" s="333">
        <v>24</v>
      </c>
      <c r="N55" s="334">
        <f t="shared" si="0"/>
        <v>91.65</v>
      </c>
      <c r="O55" s="334" t="str">
        <f t="shared" si="1"/>
        <v>A</v>
      </c>
    </row>
    <row r="56" spans="1:15" x14ac:dyDescent="0.35">
      <c r="A56" s="330" t="s">
        <v>2371</v>
      </c>
      <c r="B56" s="330" t="s">
        <v>2309</v>
      </c>
      <c r="C56" s="330" t="s">
        <v>2313</v>
      </c>
      <c r="D56" s="331">
        <v>86</v>
      </c>
      <c r="E56" s="331">
        <v>91</v>
      </c>
      <c r="F56" s="331">
        <v>97</v>
      </c>
      <c r="G56" s="331">
        <v>99</v>
      </c>
      <c r="H56" s="332">
        <v>23</v>
      </c>
      <c r="I56" s="332">
        <v>25</v>
      </c>
      <c r="J56" s="333">
        <v>23</v>
      </c>
      <c r="K56" s="333">
        <v>20</v>
      </c>
      <c r="L56" s="333">
        <v>22</v>
      </c>
      <c r="M56" s="333">
        <v>21</v>
      </c>
      <c r="N56" s="334">
        <f t="shared" si="0"/>
        <v>94.25</v>
      </c>
      <c r="O56" s="334" t="str">
        <f t="shared" si="1"/>
        <v>A</v>
      </c>
    </row>
    <row r="57" spans="1:15" x14ac:dyDescent="0.35">
      <c r="A57" s="330" t="s">
        <v>2372</v>
      </c>
      <c r="B57" s="330" t="s">
        <v>2309</v>
      </c>
      <c r="C57" s="330" t="s">
        <v>2310</v>
      </c>
      <c r="D57" s="331">
        <v>81</v>
      </c>
      <c r="E57" s="331">
        <v>97</v>
      </c>
      <c r="F57" s="331">
        <v>79</v>
      </c>
      <c r="G57" s="331">
        <v>97</v>
      </c>
      <c r="H57" s="332">
        <v>23</v>
      </c>
      <c r="I57" s="332">
        <v>20</v>
      </c>
      <c r="J57" s="333">
        <v>22</v>
      </c>
      <c r="K57" s="333">
        <v>18</v>
      </c>
      <c r="L57" s="333">
        <v>24</v>
      </c>
      <c r="M57" s="333">
        <v>19</v>
      </c>
      <c r="N57" s="334">
        <f t="shared" si="0"/>
        <v>89.8</v>
      </c>
      <c r="O57" s="334" t="str">
        <f t="shared" si="1"/>
        <v>B</v>
      </c>
    </row>
    <row r="58" spans="1:15" x14ac:dyDescent="0.35">
      <c r="A58" s="330" t="s">
        <v>2373</v>
      </c>
      <c r="B58" s="330" t="s">
        <v>2316</v>
      </c>
      <c r="C58" s="330" t="s">
        <v>2313</v>
      </c>
      <c r="D58" s="331">
        <v>81</v>
      </c>
      <c r="E58" s="331">
        <v>89</v>
      </c>
      <c r="F58" s="331">
        <v>81</v>
      </c>
      <c r="G58" s="331">
        <v>86</v>
      </c>
      <c r="H58" s="332">
        <v>22</v>
      </c>
      <c r="I58" s="332">
        <v>24</v>
      </c>
      <c r="J58" s="333">
        <v>23</v>
      </c>
      <c r="K58" s="333">
        <v>24</v>
      </c>
      <c r="L58" s="333">
        <v>22</v>
      </c>
      <c r="M58" s="333">
        <v>21</v>
      </c>
      <c r="N58" s="334">
        <f t="shared" si="0"/>
        <v>86.699999999999989</v>
      </c>
      <c r="O58" s="334" t="str">
        <f t="shared" si="1"/>
        <v>B</v>
      </c>
    </row>
    <row r="59" spans="1:15" x14ac:dyDescent="0.35">
      <c r="A59" s="330" t="s">
        <v>2374</v>
      </c>
      <c r="B59" s="330" t="s">
        <v>2316</v>
      </c>
      <c r="C59" s="330" t="s">
        <v>2313</v>
      </c>
      <c r="D59" s="331">
        <v>97</v>
      </c>
      <c r="E59" s="331">
        <v>94</v>
      </c>
      <c r="F59" s="331">
        <v>61</v>
      </c>
      <c r="G59" s="331">
        <v>83</v>
      </c>
      <c r="H59" s="332">
        <v>25</v>
      </c>
      <c r="I59" s="332">
        <v>17</v>
      </c>
      <c r="J59" s="333">
        <v>22</v>
      </c>
      <c r="K59" s="333">
        <v>18</v>
      </c>
      <c r="L59" s="333">
        <v>23</v>
      </c>
      <c r="M59" s="333">
        <v>25</v>
      </c>
      <c r="N59" s="334">
        <f t="shared" si="0"/>
        <v>90.100000000000009</v>
      </c>
      <c r="O59" s="334" t="str">
        <f t="shared" si="1"/>
        <v>A</v>
      </c>
    </row>
    <row r="60" spans="1:15" x14ac:dyDescent="0.35">
      <c r="A60" s="330" t="s">
        <v>2375</v>
      </c>
      <c r="B60" s="330" t="s">
        <v>2316</v>
      </c>
      <c r="C60" s="330" t="s">
        <v>2310</v>
      </c>
      <c r="D60" s="331">
        <v>93</v>
      </c>
      <c r="E60" s="331">
        <v>80</v>
      </c>
      <c r="F60" s="331">
        <v>64</v>
      </c>
      <c r="G60" s="331">
        <v>95</v>
      </c>
      <c r="H60" s="332">
        <v>21</v>
      </c>
      <c r="I60" s="332">
        <v>24</v>
      </c>
      <c r="J60" s="333">
        <v>25</v>
      </c>
      <c r="K60" s="333">
        <v>21</v>
      </c>
      <c r="L60" s="333">
        <v>23</v>
      </c>
      <c r="M60" s="333">
        <v>23</v>
      </c>
      <c r="N60" s="334">
        <f t="shared" si="0"/>
        <v>89.8</v>
      </c>
      <c r="O60" s="334" t="str">
        <f t="shared" si="1"/>
        <v>B</v>
      </c>
    </row>
    <row r="61" spans="1:15" x14ac:dyDescent="0.35">
      <c r="A61" s="330" t="s">
        <v>2376</v>
      </c>
      <c r="B61" s="330" t="s">
        <v>2316</v>
      </c>
      <c r="C61" s="330" t="s">
        <v>2310</v>
      </c>
      <c r="D61" s="331">
        <v>87</v>
      </c>
      <c r="E61" s="331">
        <v>79</v>
      </c>
      <c r="F61" s="331">
        <v>95</v>
      </c>
      <c r="G61" s="331">
        <v>83</v>
      </c>
      <c r="H61" s="332">
        <v>25</v>
      </c>
      <c r="I61" s="332">
        <v>20</v>
      </c>
      <c r="J61" s="333">
        <v>23</v>
      </c>
      <c r="K61" s="333">
        <v>19</v>
      </c>
      <c r="L61" s="333">
        <v>25</v>
      </c>
      <c r="M61" s="333">
        <v>20</v>
      </c>
      <c r="N61" s="334">
        <f t="shared" si="0"/>
        <v>88.3</v>
      </c>
      <c r="O61" s="334" t="str">
        <f t="shared" si="1"/>
        <v>B</v>
      </c>
    </row>
    <row r="62" spans="1:15" x14ac:dyDescent="0.35">
      <c r="A62" s="330" t="s">
        <v>2377</v>
      </c>
      <c r="B62" s="330" t="s">
        <v>2309</v>
      </c>
      <c r="C62" s="330" t="s">
        <v>2310</v>
      </c>
      <c r="D62" s="331">
        <v>82</v>
      </c>
      <c r="E62" s="331">
        <v>85</v>
      </c>
      <c r="F62" s="331">
        <v>93</v>
      </c>
      <c r="G62" s="331">
        <v>82</v>
      </c>
      <c r="H62" s="332">
        <v>21</v>
      </c>
      <c r="I62" s="332">
        <v>21</v>
      </c>
      <c r="J62" s="333">
        <v>23</v>
      </c>
      <c r="K62" s="333">
        <v>21</v>
      </c>
      <c r="L62" s="333">
        <v>25</v>
      </c>
      <c r="M62" s="333">
        <v>18</v>
      </c>
      <c r="N62" s="334">
        <f t="shared" si="0"/>
        <v>86.45</v>
      </c>
      <c r="O62" s="334" t="str">
        <f t="shared" si="1"/>
        <v>B</v>
      </c>
    </row>
    <row r="63" spans="1:15" x14ac:dyDescent="0.35">
      <c r="A63" s="330" t="s">
        <v>1872</v>
      </c>
      <c r="B63" s="330" t="s">
        <v>2312</v>
      </c>
      <c r="C63" s="330" t="s">
        <v>2310</v>
      </c>
      <c r="D63" s="331">
        <v>97</v>
      </c>
      <c r="E63" s="331">
        <v>73</v>
      </c>
      <c r="F63" s="331">
        <v>96</v>
      </c>
      <c r="G63" s="331">
        <v>95</v>
      </c>
      <c r="H63" s="332">
        <v>21</v>
      </c>
      <c r="I63" s="332">
        <v>21</v>
      </c>
      <c r="J63" s="333">
        <v>24</v>
      </c>
      <c r="K63" s="333">
        <v>19</v>
      </c>
      <c r="L63" s="333">
        <v>23</v>
      </c>
      <c r="M63" s="333">
        <v>23</v>
      </c>
      <c r="N63" s="334">
        <f t="shared" si="0"/>
        <v>93.75</v>
      </c>
      <c r="O63" s="334" t="str">
        <f t="shared" si="1"/>
        <v>A</v>
      </c>
    </row>
    <row r="64" spans="1:15" x14ac:dyDescent="0.35">
      <c r="A64" s="330" t="s">
        <v>2378</v>
      </c>
      <c r="B64" s="330" t="s">
        <v>2312</v>
      </c>
      <c r="C64" s="330" t="s">
        <v>2310</v>
      </c>
      <c r="D64" s="331">
        <v>90</v>
      </c>
      <c r="E64" s="331">
        <v>82</v>
      </c>
      <c r="F64" s="331">
        <v>100</v>
      </c>
      <c r="G64" s="331">
        <v>97</v>
      </c>
      <c r="H64" s="332">
        <v>22</v>
      </c>
      <c r="I64" s="332">
        <v>25</v>
      </c>
      <c r="J64" s="333">
        <v>22</v>
      </c>
      <c r="K64" s="333">
        <v>24</v>
      </c>
      <c r="L64" s="333">
        <v>22</v>
      </c>
      <c r="M64" s="333">
        <v>19</v>
      </c>
      <c r="N64" s="334">
        <f t="shared" si="0"/>
        <v>94.2</v>
      </c>
      <c r="O64" s="334" t="str">
        <f t="shared" si="1"/>
        <v>A</v>
      </c>
    </row>
    <row r="65" spans="1:15" x14ac:dyDescent="0.35">
      <c r="A65" s="330" t="s">
        <v>2379</v>
      </c>
      <c r="B65" s="330" t="s">
        <v>2312</v>
      </c>
      <c r="C65" s="330" t="s">
        <v>2313</v>
      </c>
      <c r="D65" s="331">
        <v>93</v>
      </c>
      <c r="E65" s="331">
        <v>91</v>
      </c>
      <c r="F65" s="331">
        <v>99</v>
      </c>
      <c r="G65" s="331">
        <v>83</v>
      </c>
      <c r="H65" s="332">
        <v>21</v>
      </c>
      <c r="I65" s="332">
        <v>25</v>
      </c>
      <c r="J65" s="333">
        <v>25</v>
      </c>
      <c r="K65" s="333">
        <v>22</v>
      </c>
      <c r="L65" s="333">
        <v>22</v>
      </c>
      <c r="M65" s="333">
        <v>23</v>
      </c>
      <c r="N65" s="334">
        <f t="shared" si="0"/>
        <v>93.75</v>
      </c>
      <c r="O65" s="334" t="str">
        <f t="shared" si="1"/>
        <v>A</v>
      </c>
    </row>
    <row r="66" spans="1:15" x14ac:dyDescent="0.35">
      <c r="A66" s="330" t="s">
        <v>2380</v>
      </c>
      <c r="B66" s="330" t="s">
        <v>2309</v>
      </c>
      <c r="C66" s="330" t="s">
        <v>2313</v>
      </c>
      <c r="D66" s="331">
        <v>92</v>
      </c>
      <c r="E66" s="331">
        <v>89</v>
      </c>
      <c r="F66" s="331">
        <v>96</v>
      </c>
      <c r="G66" s="331">
        <v>85</v>
      </c>
      <c r="H66" s="332">
        <v>23</v>
      </c>
      <c r="I66" s="332">
        <v>17</v>
      </c>
      <c r="J66" s="333">
        <v>24</v>
      </c>
      <c r="K66" s="333">
        <v>18</v>
      </c>
      <c r="L66" s="333">
        <v>25</v>
      </c>
      <c r="M66" s="333">
        <v>22</v>
      </c>
      <c r="N66" s="334">
        <f t="shared" si="0"/>
        <v>90.6</v>
      </c>
      <c r="O66" s="334" t="str">
        <f t="shared" si="1"/>
        <v>A</v>
      </c>
    </row>
    <row r="67" spans="1:15" x14ac:dyDescent="0.35">
      <c r="A67" s="330" t="s">
        <v>2381</v>
      </c>
      <c r="B67" s="330" t="s">
        <v>2309</v>
      </c>
      <c r="C67" s="330" t="s">
        <v>2310</v>
      </c>
      <c r="D67" s="331">
        <v>88</v>
      </c>
      <c r="E67" s="331">
        <v>84</v>
      </c>
      <c r="F67" s="331">
        <v>71</v>
      </c>
      <c r="G67" s="331">
        <v>89</v>
      </c>
      <c r="H67" s="332">
        <v>22</v>
      </c>
      <c r="I67" s="332">
        <v>19</v>
      </c>
      <c r="J67" s="333">
        <v>23</v>
      </c>
      <c r="K67" s="333">
        <v>18</v>
      </c>
      <c r="L67" s="333">
        <v>24</v>
      </c>
      <c r="M67" s="333">
        <v>25</v>
      </c>
      <c r="N67" s="334">
        <f t="shared" si="0"/>
        <v>86.95</v>
      </c>
      <c r="O67" s="334" t="str">
        <f t="shared" si="1"/>
        <v>B</v>
      </c>
    </row>
    <row r="68" spans="1:15" x14ac:dyDescent="0.35">
      <c r="A68" s="330" t="s">
        <v>2382</v>
      </c>
      <c r="B68" s="330" t="s">
        <v>2316</v>
      </c>
      <c r="C68" s="330" t="s">
        <v>2313</v>
      </c>
      <c r="D68" s="331">
        <v>98</v>
      </c>
      <c r="E68" s="331">
        <v>82</v>
      </c>
      <c r="F68" s="331">
        <v>68</v>
      </c>
      <c r="G68" s="331">
        <v>84</v>
      </c>
      <c r="H68" s="332">
        <v>21</v>
      </c>
      <c r="I68" s="332">
        <v>15</v>
      </c>
      <c r="J68" s="333">
        <v>25</v>
      </c>
      <c r="K68" s="333">
        <v>22</v>
      </c>
      <c r="L68" s="333">
        <v>24</v>
      </c>
      <c r="M68" s="333">
        <v>23</v>
      </c>
      <c r="N68" s="334">
        <f t="shared" si="0"/>
        <v>87.3</v>
      </c>
      <c r="O68" s="334" t="str">
        <f t="shared" si="1"/>
        <v>B</v>
      </c>
    </row>
    <row r="69" spans="1:15" x14ac:dyDescent="0.35">
      <c r="A69" s="330" t="s">
        <v>2383</v>
      </c>
      <c r="B69" s="330" t="s">
        <v>2312</v>
      </c>
      <c r="C69" s="330" t="s">
        <v>2313</v>
      </c>
      <c r="D69" s="331">
        <v>86</v>
      </c>
      <c r="E69" s="331">
        <v>98</v>
      </c>
      <c r="F69" s="331">
        <v>79</v>
      </c>
      <c r="G69" s="331">
        <v>97</v>
      </c>
      <c r="H69" s="332">
        <v>21</v>
      </c>
      <c r="I69" s="332">
        <v>21</v>
      </c>
      <c r="J69" s="333">
        <v>23</v>
      </c>
      <c r="K69" s="333">
        <v>22</v>
      </c>
      <c r="L69" s="333">
        <v>25</v>
      </c>
      <c r="M69" s="333">
        <v>18</v>
      </c>
      <c r="N69" s="334">
        <f t="shared" si="0"/>
        <v>91.850000000000009</v>
      </c>
      <c r="O69" s="334" t="str">
        <f t="shared" si="1"/>
        <v>A</v>
      </c>
    </row>
    <row r="70" spans="1:15" x14ac:dyDescent="0.35">
      <c r="A70" s="330" t="s">
        <v>2384</v>
      </c>
      <c r="B70" s="330" t="s">
        <v>2312</v>
      </c>
      <c r="C70" s="330" t="s">
        <v>2310</v>
      </c>
      <c r="D70" s="331">
        <v>92</v>
      </c>
      <c r="E70" s="331">
        <v>84</v>
      </c>
      <c r="F70" s="331">
        <v>100</v>
      </c>
      <c r="G70" s="331">
        <v>95</v>
      </c>
      <c r="H70" s="332">
        <v>21</v>
      </c>
      <c r="I70" s="332">
        <v>23</v>
      </c>
      <c r="J70" s="333">
        <v>23</v>
      </c>
      <c r="K70" s="333">
        <v>21</v>
      </c>
      <c r="L70" s="333">
        <v>24</v>
      </c>
      <c r="M70" s="333">
        <v>20</v>
      </c>
      <c r="N70" s="334">
        <f t="shared" si="0"/>
        <v>93.75</v>
      </c>
      <c r="O70" s="334" t="str">
        <f t="shared" si="1"/>
        <v>A</v>
      </c>
    </row>
    <row r="71" spans="1:15" x14ac:dyDescent="0.35">
      <c r="A71" s="330" t="s">
        <v>2385</v>
      </c>
      <c r="B71" s="330" t="s">
        <v>2316</v>
      </c>
      <c r="C71" s="330" t="s">
        <v>2313</v>
      </c>
      <c r="D71" s="331">
        <v>98</v>
      </c>
      <c r="E71" s="331">
        <v>90</v>
      </c>
      <c r="F71" s="331">
        <v>92</v>
      </c>
      <c r="G71" s="331">
        <v>89</v>
      </c>
      <c r="H71" s="332">
        <v>24</v>
      </c>
      <c r="I71" s="332">
        <v>23</v>
      </c>
      <c r="J71" s="333">
        <v>22</v>
      </c>
      <c r="K71" s="333">
        <v>18</v>
      </c>
      <c r="L71" s="333">
        <v>25</v>
      </c>
      <c r="M71" s="333">
        <v>21</v>
      </c>
      <c r="N71" s="334">
        <f t="shared" si="0"/>
        <v>92.299999999999983</v>
      </c>
      <c r="O71" s="334" t="str">
        <f t="shared" si="1"/>
        <v>A</v>
      </c>
    </row>
    <row r="72" spans="1:15" x14ac:dyDescent="0.35">
      <c r="A72" s="330" t="s">
        <v>2386</v>
      </c>
      <c r="B72" s="330" t="s">
        <v>2312</v>
      </c>
      <c r="C72" s="330" t="s">
        <v>2313</v>
      </c>
      <c r="D72" s="331">
        <v>100</v>
      </c>
      <c r="E72" s="331">
        <v>83</v>
      </c>
      <c r="F72" s="331">
        <v>74</v>
      </c>
      <c r="G72" s="331">
        <v>89</v>
      </c>
      <c r="H72" s="332">
        <v>21</v>
      </c>
      <c r="I72" s="332">
        <v>25</v>
      </c>
      <c r="J72" s="333">
        <v>25</v>
      </c>
      <c r="K72" s="333">
        <v>18</v>
      </c>
      <c r="L72" s="333">
        <v>22</v>
      </c>
      <c r="M72" s="333">
        <v>24</v>
      </c>
      <c r="N72" s="334">
        <f t="shared" si="0"/>
        <v>90.55</v>
      </c>
      <c r="O72" s="334" t="str">
        <f t="shared" si="1"/>
        <v>A</v>
      </c>
    </row>
    <row r="73" spans="1:15" x14ac:dyDescent="0.35">
      <c r="A73" s="330" t="s">
        <v>2387</v>
      </c>
      <c r="B73" s="330" t="s">
        <v>2309</v>
      </c>
      <c r="C73" s="330" t="s">
        <v>2310</v>
      </c>
      <c r="D73" s="331">
        <v>96</v>
      </c>
      <c r="E73" s="331">
        <v>85</v>
      </c>
      <c r="F73" s="331">
        <v>70</v>
      </c>
      <c r="G73" s="331">
        <v>94</v>
      </c>
      <c r="H73" s="332">
        <v>24</v>
      </c>
      <c r="I73" s="332">
        <v>24</v>
      </c>
      <c r="J73" s="333">
        <v>23</v>
      </c>
      <c r="K73" s="333">
        <v>25</v>
      </c>
      <c r="L73" s="333">
        <v>24</v>
      </c>
      <c r="M73" s="333">
        <v>24</v>
      </c>
      <c r="N73" s="334">
        <f t="shared" si="0"/>
        <v>92.75</v>
      </c>
      <c r="O73" s="334" t="str">
        <f t="shared" si="1"/>
        <v>A</v>
      </c>
    </row>
    <row r="74" spans="1:15" x14ac:dyDescent="0.35">
      <c r="A74" s="330" t="s">
        <v>2388</v>
      </c>
      <c r="B74" s="330" t="s">
        <v>2316</v>
      </c>
      <c r="C74" s="330" t="s">
        <v>2313</v>
      </c>
      <c r="D74" s="331">
        <v>84</v>
      </c>
      <c r="E74" s="331">
        <v>60</v>
      </c>
      <c r="F74" s="331">
        <v>61</v>
      </c>
      <c r="G74" s="331">
        <v>99</v>
      </c>
      <c r="H74" s="332">
        <v>24</v>
      </c>
      <c r="I74" s="332">
        <v>17</v>
      </c>
      <c r="J74" s="333">
        <v>22</v>
      </c>
      <c r="K74" s="333">
        <v>24</v>
      </c>
      <c r="L74" s="333">
        <v>23</v>
      </c>
      <c r="M74" s="333">
        <v>22</v>
      </c>
      <c r="N74" s="334">
        <f t="shared" si="0"/>
        <v>82.85</v>
      </c>
      <c r="O74" s="334" t="str">
        <f t="shared" si="1"/>
        <v>C</v>
      </c>
    </row>
    <row r="75" spans="1:15" x14ac:dyDescent="0.35">
      <c r="A75" s="330" t="s">
        <v>2389</v>
      </c>
      <c r="B75" s="330" t="s">
        <v>2312</v>
      </c>
      <c r="C75" s="330" t="s">
        <v>2310</v>
      </c>
      <c r="D75" s="331">
        <v>70</v>
      </c>
      <c r="E75" s="331">
        <v>65</v>
      </c>
      <c r="F75" s="331">
        <v>67</v>
      </c>
      <c r="G75" s="331">
        <v>97</v>
      </c>
      <c r="H75" s="332">
        <v>25</v>
      </c>
      <c r="I75" s="332">
        <v>24</v>
      </c>
      <c r="J75" s="333">
        <v>24</v>
      </c>
      <c r="K75" s="333">
        <v>19</v>
      </c>
      <c r="L75" s="333">
        <v>24</v>
      </c>
      <c r="M75" s="333">
        <v>20</v>
      </c>
      <c r="N75" s="334">
        <f t="shared" ref="N75:N138" si="2">SUM(AVERAGE(LARGE(D75:G75,1),LARGE(D75:G75,2),LARGE(D75:G75,3))/100*75,AVERAGE(H75:I75)/25*10,AVERAGE(J75:M75)/25*15)</f>
        <v>81.349999999999994</v>
      </c>
      <c r="O75" s="334" t="str">
        <f t="shared" ref="O75:O138" si="3">IF(N75&gt;=90,"A",IF(N75&gt;=83,"B",IF(N75&gt;=73,"C",IF(N75&gt;=65,"D","F"))))</f>
        <v>C</v>
      </c>
    </row>
    <row r="76" spans="1:15" x14ac:dyDescent="0.35">
      <c r="A76" s="330" t="s">
        <v>2390</v>
      </c>
      <c r="B76" s="330" t="s">
        <v>2309</v>
      </c>
      <c r="C76" s="330" t="s">
        <v>2313</v>
      </c>
      <c r="D76" s="331">
        <v>82</v>
      </c>
      <c r="E76" s="331">
        <v>62</v>
      </c>
      <c r="F76" s="331">
        <v>60</v>
      </c>
      <c r="G76" s="331">
        <v>92</v>
      </c>
      <c r="H76" s="332">
        <v>22</v>
      </c>
      <c r="I76" s="332">
        <v>25</v>
      </c>
      <c r="J76" s="333">
        <v>23</v>
      </c>
      <c r="K76" s="333">
        <v>23</v>
      </c>
      <c r="L76" s="333">
        <v>24</v>
      </c>
      <c r="M76" s="333">
        <v>19</v>
      </c>
      <c r="N76" s="334">
        <f t="shared" si="2"/>
        <v>81.75</v>
      </c>
      <c r="O76" s="334" t="str">
        <f t="shared" si="3"/>
        <v>C</v>
      </c>
    </row>
    <row r="77" spans="1:15" x14ac:dyDescent="0.35">
      <c r="A77" s="330" t="s">
        <v>2391</v>
      </c>
      <c r="B77" s="330" t="s">
        <v>2312</v>
      </c>
      <c r="C77" s="330" t="s">
        <v>2310</v>
      </c>
      <c r="D77" s="331">
        <v>76</v>
      </c>
      <c r="E77" s="331">
        <v>64</v>
      </c>
      <c r="F77" s="331">
        <v>62</v>
      </c>
      <c r="G77" s="331">
        <v>88</v>
      </c>
      <c r="H77" s="332">
        <v>20</v>
      </c>
      <c r="I77" s="332">
        <v>16</v>
      </c>
      <c r="J77" s="333">
        <v>24</v>
      </c>
      <c r="K77" s="333">
        <v>18</v>
      </c>
      <c r="L77" s="333">
        <v>23</v>
      </c>
      <c r="M77" s="333">
        <v>21</v>
      </c>
      <c r="N77" s="334">
        <f t="shared" si="2"/>
        <v>77.100000000000009</v>
      </c>
      <c r="O77" s="334" t="str">
        <f t="shared" si="3"/>
        <v>C</v>
      </c>
    </row>
    <row r="78" spans="1:15" x14ac:dyDescent="0.35">
      <c r="A78" s="330" t="s">
        <v>2392</v>
      </c>
      <c r="B78" s="330" t="s">
        <v>2309</v>
      </c>
      <c r="C78" s="330" t="s">
        <v>2310</v>
      </c>
      <c r="D78" s="331">
        <v>88</v>
      </c>
      <c r="E78" s="331">
        <v>67</v>
      </c>
      <c r="F78" s="331">
        <v>67</v>
      </c>
      <c r="G78" s="331">
        <v>86</v>
      </c>
      <c r="H78" s="332">
        <v>20</v>
      </c>
      <c r="I78" s="332">
        <v>19</v>
      </c>
      <c r="J78" s="333">
        <v>24</v>
      </c>
      <c r="K78" s="333">
        <v>23</v>
      </c>
      <c r="L78" s="333">
        <v>24</v>
      </c>
      <c r="M78" s="333">
        <v>25</v>
      </c>
      <c r="N78" s="334">
        <f t="shared" si="2"/>
        <v>82.449999999999989</v>
      </c>
      <c r="O78" s="334" t="str">
        <f t="shared" si="3"/>
        <v>C</v>
      </c>
    </row>
    <row r="79" spans="1:15" x14ac:dyDescent="0.35">
      <c r="A79" s="330" t="s">
        <v>1836</v>
      </c>
      <c r="B79" s="330" t="s">
        <v>2316</v>
      </c>
      <c r="C79" s="330" t="s">
        <v>2313</v>
      </c>
      <c r="D79" s="331">
        <v>70</v>
      </c>
      <c r="E79" s="331">
        <v>66</v>
      </c>
      <c r="F79" s="331">
        <v>60</v>
      </c>
      <c r="G79" s="331">
        <v>91</v>
      </c>
      <c r="H79" s="332">
        <v>20</v>
      </c>
      <c r="I79" s="332">
        <v>22</v>
      </c>
      <c r="J79" s="333">
        <v>25</v>
      </c>
      <c r="K79" s="333">
        <v>18</v>
      </c>
      <c r="L79" s="333">
        <v>22</v>
      </c>
      <c r="M79" s="333">
        <v>25</v>
      </c>
      <c r="N79" s="334">
        <f t="shared" si="2"/>
        <v>78.650000000000006</v>
      </c>
      <c r="O79" s="334" t="str">
        <f t="shared" si="3"/>
        <v>C</v>
      </c>
    </row>
    <row r="80" spans="1:15" x14ac:dyDescent="0.35">
      <c r="A80" s="330" t="s">
        <v>2393</v>
      </c>
      <c r="B80" s="330" t="s">
        <v>2312</v>
      </c>
      <c r="C80" s="330" t="s">
        <v>2313</v>
      </c>
      <c r="D80" s="331">
        <v>70</v>
      </c>
      <c r="E80" s="331">
        <v>61</v>
      </c>
      <c r="F80" s="331">
        <v>60</v>
      </c>
      <c r="G80" s="331">
        <v>99</v>
      </c>
      <c r="H80" s="332">
        <v>25</v>
      </c>
      <c r="I80" s="332">
        <v>24</v>
      </c>
      <c r="J80" s="333">
        <v>23</v>
      </c>
      <c r="K80" s="333">
        <v>23</v>
      </c>
      <c r="L80" s="333">
        <v>25</v>
      </c>
      <c r="M80" s="333">
        <v>21</v>
      </c>
      <c r="N80" s="334">
        <f t="shared" si="2"/>
        <v>81.100000000000009</v>
      </c>
      <c r="O80" s="334" t="str">
        <f t="shared" si="3"/>
        <v>C</v>
      </c>
    </row>
    <row r="81" spans="1:15" x14ac:dyDescent="0.35">
      <c r="A81" s="330" t="s">
        <v>2394</v>
      </c>
      <c r="B81" s="330" t="s">
        <v>2312</v>
      </c>
      <c r="C81" s="330" t="s">
        <v>2310</v>
      </c>
      <c r="D81" s="331">
        <v>72</v>
      </c>
      <c r="E81" s="331">
        <v>63</v>
      </c>
      <c r="F81" s="331">
        <v>65</v>
      </c>
      <c r="G81" s="331">
        <v>84</v>
      </c>
      <c r="H81" s="332">
        <v>21</v>
      </c>
      <c r="I81" s="332">
        <v>15</v>
      </c>
      <c r="J81" s="333">
        <v>25</v>
      </c>
      <c r="K81" s="333">
        <v>21</v>
      </c>
      <c r="L81" s="333">
        <v>25</v>
      </c>
      <c r="M81" s="333">
        <v>20</v>
      </c>
      <c r="N81" s="334">
        <f t="shared" si="2"/>
        <v>76.100000000000009</v>
      </c>
      <c r="O81" s="334" t="str">
        <f t="shared" si="3"/>
        <v>C</v>
      </c>
    </row>
    <row r="82" spans="1:15" x14ac:dyDescent="0.35">
      <c r="A82" s="330" t="s">
        <v>2395</v>
      </c>
      <c r="B82" s="330" t="s">
        <v>2316</v>
      </c>
      <c r="C82" s="330" t="s">
        <v>2313</v>
      </c>
      <c r="D82" s="331">
        <v>75</v>
      </c>
      <c r="E82" s="331">
        <v>66</v>
      </c>
      <c r="F82" s="331">
        <v>65</v>
      </c>
      <c r="G82" s="331">
        <v>92</v>
      </c>
      <c r="H82" s="332">
        <v>21</v>
      </c>
      <c r="I82" s="332">
        <v>21</v>
      </c>
      <c r="J82" s="333">
        <v>22</v>
      </c>
      <c r="K82" s="333">
        <v>25</v>
      </c>
      <c r="L82" s="333">
        <v>25</v>
      </c>
      <c r="M82" s="333">
        <v>23</v>
      </c>
      <c r="N82" s="334">
        <f t="shared" si="2"/>
        <v>80.900000000000006</v>
      </c>
      <c r="O82" s="334" t="str">
        <f t="shared" si="3"/>
        <v>C</v>
      </c>
    </row>
    <row r="83" spans="1:15" x14ac:dyDescent="0.35">
      <c r="A83" s="330" t="s">
        <v>2396</v>
      </c>
      <c r="B83" s="330" t="s">
        <v>2312</v>
      </c>
      <c r="C83" s="330" t="s">
        <v>2310</v>
      </c>
      <c r="D83" s="331">
        <v>82</v>
      </c>
      <c r="E83" s="331">
        <v>61</v>
      </c>
      <c r="F83" s="331">
        <v>61</v>
      </c>
      <c r="G83" s="331">
        <v>93</v>
      </c>
      <c r="H83" s="332">
        <v>23</v>
      </c>
      <c r="I83" s="332">
        <v>17</v>
      </c>
      <c r="J83" s="333">
        <v>25</v>
      </c>
      <c r="K83" s="333">
        <v>19</v>
      </c>
      <c r="L83" s="333">
        <v>25</v>
      </c>
      <c r="M83" s="333">
        <v>18</v>
      </c>
      <c r="N83" s="334">
        <f t="shared" si="2"/>
        <v>80.05</v>
      </c>
      <c r="O83" s="334" t="str">
        <f t="shared" si="3"/>
        <v>C</v>
      </c>
    </row>
    <row r="84" spans="1:15" x14ac:dyDescent="0.35">
      <c r="A84" s="330" t="s">
        <v>2397</v>
      </c>
      <c r="B84" s="330" t="s">
        <v>2316</v>
      </c>
      <c r="C84" s="330" t="s">
        <v>2310</v>
      </c>
      <c r="D84" s="331">
        <v>81</v>
      </c>
      <c r="E84" s="331">
        <v>61</v>
      </c>
      <c r="F84" s="331">
        <v>65</v>
      </c>
      <c r="G84" s="331">
        <v>81</v>
      </c>
      <c r="H84" s="332">
        <v>25</v>
      </c>
      <c r="I84" s="332">
        <v>19</v>
      </c>
      <c r="J84" s="333">
        <v>25</v>
      </c>
      <c r="K84" s="333">
        <v>18</v>
      </c>
      <c r="L84" s="333">
        <v>25</v>
      </c>
      <c r="M84" s="333">
        <v>19</v>
      </c>
      <c r="N84" s="334">
        <f t="shared" si="2"/>
        <v>78.599999999999994</v>
      </c>
      <c r="O84" s="334" t="str">
        <f t="shared" si="3"/>
        <v>C</v>
      </c>
    </row>
    <row r="85" spans="1:15" x14ac:dyDescent="0.35">
      <c r="A85" s="330" t="s">
        <v>2398</v>
      </c>
      <c r="B85" s="330" t="s">
        <v>2309</v>
      </c>
      <c r="C85" s="330" t="s">
        <v>2313</v>
      </c>
      <c r="D85" s="331">
        <v>90</v>
      </c>
      <c r="E85" s="331">
        <v>66</v>
      </c>
      <c r="F85" s="331">
        <v>60</v>
      </c>
      <c r="G85" s="331">
        <v>83</v>
      </c>
      <c r="H85" s="332">
        <v>22</v>
      </c>
      <c r="I85" s="332">
        <v>25</v>
      </c>
      <c r="J85" s="333">
        <v>23</v>
      </c>
      <c r="K85" s="333">
        <v>24</v>
      </c>
      <c r="L85" s="333">
        <v>22</v>
      </c>
      <c r="M85" s="333">
        <v>24</v>
      </c>
      <c r="N85" s="334">
        <f t="shared" si="2"/>
        <v>83.100000000000009</v>
      </c>
      <c r="O85" s="334" t="str">
        <f t="shared" si="3"/>
        <v>B</v>
      </c>
    </row>
    <row r="86" spans="1:15" x14ac:dyDescent="0.35">
      <c r="A86" s="330" t="s">
        <v>2399</v>
      </c>
      <c r="B86" s="330" t="s">
        <v>2309</v>
      </c>
      <c r="C86" s="330" t="s">
        <v>2313</v>
      </c>
      <c r="D86" s="331">
        <v>97</v>
      </c>
      <c r="E86" s="331">
        <v>62</v>
      </c>
      <c r="F86" s="331">
        <v>64</v>
      </c>
      <c r="G86" s="331">
        <v>85</v>
      </c>
      <c r="H86" s="332">
        <v>22</v>
      </c>
      <c r="I86" s="332">
        <v>23</v>
      </c>
      <c r="J86" s="333">
        <v>22</v>
      </c>
      <c r="K86" s="333">
        <v>19</v>
      </c>
      <c r="L86" s="333">
        <v>22</v>
      </c>
      <c r="M86" s="333">
        <v>20</v>
      </c>
      <c r="N86" s="334">
        <f t="shared" si="2"/>
        <v>82.95</v>
      </c>
      <c r="O86" s="334" t="str">
        <f t="shared" si="3"/>
        <v>C</v>
      </c>
    </row>
    <row r="87" spans="1:15" x14ac:dyDescent="0.35">
      <c r="A87" s="330" t="s">
        <v>2400</v>
      </c>
      <c r="B87" s="330" t="s">
        <v>2316</v>
      </c>
      <c r="C87" s="330" t="s">
        <v>2313</v>
      </c>
      <c r="D87" s="331">
        <v>91</v>
      </c>
      <c r="E87" s="331">
        <v>61</v>
      </c>
      <c r="F87" s="331">
        <v>92</v>
      </c>
      <c r="G87" s="331">
        <v>91</v>
      </c>
      <c r="H87" s="332">
        <v>21</v>
      </c>
      <c r="I87" s="332">
        <v>15</v>
      </c>
      <c r="J87" s="333">
        <v>25</v>
      </c>
      <c r="K87" s="333">
        <v>25</v>
      </c>
      <c r="L87" s="333">
        <v>25</v>
      </c>
      <c r="M87" s="333">
        <v>18</v>
      </c>
      <c r="N87" s="334">
        <f t="shared" si="2"/>
        <v>89.65</v>
      </c>
      <c r="O87" s="334" t="str">
        <f t="shared" si="3"/>
        <v>B</v>
      </c>
    </row>
    <row r="88" spans="1:15" x14ac:dyDescent="0.35">
      <c r="A88" s="330" t="s">
        <v>2401</v>
      </c>
      <c r="B88" s="330" t="s">
        <v>2312</v>
      </c>
      <c r="C88" s="330" t="s">
        <v>2313</v>
      </c>
      <c r="D88" s="331">
        <v>99</v>
      </c>
      <c r="E88" s="331">
        <v>83</v>
      </c>
      <c r="F88" s="331">
        <v>97</v>
      </c>
      <c r="G88" s="331">
        <v>86</v>
      </c>
      <c r="H88" s="332">
        <v>24</v>
      </c>
      <c r="I88" s="332">
        <v>24</v>
      </c>
      <c r="J88" s="333">
        <v>22</v>
      </c>
      <c r="K88" s="333">
        <v>21</v>
      </c>
      <c r="L88" s="333">
        <v>22</v>
      </c>
      <c r="M88" s="333">
        <v>19</v>
      </c>
      <c r="N88" s="334">
        <f t="shared" si="2"/>
        <v>92.699999999999989</v>
      </c>
      <c r="O88" s="334" t="str">
        <f t="shared" si="3"/>
        <v>A</v>
      </c>
    </row>
    <row r="89" spans="1:15" x14ac:dyDescent="0.35">
      <c r="A89" s="330" t="s">
        <v>2402</v>
      </c>
      <c r="B89" s="330" t="s">
        <v>2316</v>
      </c>
      <c r="C89" s="330" t="s">
        <v>2310</v>
      </c>
      <c r="D89" s="331">
        <v>91</v>
      </c>
      <c r="E89" s="331">
        <v>93</v>
      </c>
      <c r="F89" s="331">
        <v>96</v>
      </c>
      <c r="G89" s="331">
        <v>91</v>
      </c>
      <c r="H89" s="332">
        <v>21</v>
      </c>
      <c r="I89" s="332">
        <v>21</v>
      </c>
      <c r="J89" s="333">
        <v>24</v>
      </c>
      <c r="K89" s="333">
        <v>24</v>
      </c>
      <c r="L89" s="333">
        <v>23</v>
      </c>
      <c r="M89" s="333">
        <v>24</v>
      </c>
      <c r="N89" s="334">
        <f t="shared" si="2"/>
        <v>92.649999999999991</v>
      </c>
      <c r="O89" s="334" t="str">
        <f t="shared" si="3"/>
        <v>A</v>
      </c>
    </row>
    <row r="90" spans="1:15" x14ac:dyDescent="0.35">
      <c r="A90" s="330" t="s">
        <v>2403</v>
      </c>
      <c r="B90" s="330" t="s">
        <v>2309</v>
      </c>
      <c r="C90" s="330" t="s">
        <v>2313</v>
      </c>
      <c r="D90" s="331">
        <v>96</v>
      </c>
      <c r="E90" s="331">
        <v>70</v>
      </c>
      <c r="F90" s="331">
        <v>100</v>
      </c>
      <c r="G90" s="331">
        <v>89</v>
      </c>
      <c r="H90" s="332">
        <v>22</v>
      </c>
      <c r="I90" s="332">
        <v>20</v>
      </c>
      <c r="J90" s="333">
        <v>25</v>
      </c>
      <c r="K90" s="333">
        <v>25</v>
      </c>
      <c r="L90" s="333">
        <v>22</v>
      </c>
      <c r="M90" s="333">
        <v>24</v>
      </c>
      <c r="N90" s="334">
        <f t="shared" si="2"/>
        <v>94.050000000000011</v>
      </c>
      <c r="O90" s="334" t="str">
        <f t="shared" si="3"/>
        <v>A</v>
      </c>
    </row>
    <row r="91" spans="1:15" x14ac:dyDescent="0.35">
      <c r="A91" s="330" t="s">
        <v>2404</v>
      </c>
      <c r="B91" s="330" t="s">
        <v>2309</v>
      </c>
      <c r="C91" s="330" t="s">
        <v>2310</v>
      </c>
      <c r="D91" s="331">
        <v>88</v>
      </c>
      <c r="E91" s="331">
        <v>93</v>
      </c>
      <c r="F91" s="331">
        <v>77</v>
      </c>
      <c r="G91" s="331">
        <v>88</v>
      </c>
      <c r="H91" s="332">
        <v>22</v>
      </c>
      <c r="I91" s="332">
        <v>19</v>
      </c>
      <c r="J91" s="333">
        <v>25</v>
      </c>
      <c r="K91" s="333">
        <v>25</v>
      </c>
      <c r="L91" s="333">
        <v>25</v>
      </c>
      <c r="M91" s="333">
        <v>20</v>
      </c>
      <c r="N91" s="334">
        <f t="shared" si="2"/>
        <v>89.7</v>
      </c>
      <c r="O91" s="334" t="str">
        <f t="shared" si="3"/>
        <v>B</v>
      </c>
    </row>
    <row r="92" spans="1:15" x14ac:dyDescent="0.35">
      <c r="A92" s="330" t="s">
        <v>2405</v>
      </c>
      <c r="B92" s="330" t="s">
        <v>2309</v>
      </c>
      <c r="C92" s="330" t="s">
        <v>2313</v>
      </c>
      <c r="D92" s="331">
        <v>88</v>
      </c>
      <c r="E92" s="331">
        <v>83</v>
      </c>
      <c r="F92" s="331">
        <v>98</v>
      </c>
      <c r="G92" s="331">
        <v>87</v>
      </c>
      <c r="H92" s="332">
        <v>21</v>
      </c>
      <c r="I92" s="332">
        <v>15</v>
      </c>
      <c r="J92" s="333">
        <v>25</v>
      </c>
      <c r="K92" s="333">
        <v>18</v>
      </c>
      <c r="L92" s="333">
        <v>25</v>
      </c>
      <c r="M92" s="333">
        <v>23</v>
      </c>
      <c r="N92" s="334">
        <f t="shared" si="2"/>
        <v>89.100000000000009</v>
      </c>
      <c r="O92" s="334" t="str">
        <f t="shared" si="3"/>
        <v>B</v>
      </c>
    </row>
    <row r="93" spans="1:15" x14ac:dyDescent="0.35">
      <c r="A93" s="330" t="s">
        <v>2406</v>
      </c>
      <c r="B93" s="330" t="s">
        <v>2312</v>
      </c>
      <c r="C93" s="330" t="s">
        <v>2310</v>
      </c>
      <c r="D93" s="331">
        <v>87</v>
      </c>
      <c r="E93" s="331">
        <v>90</v>
      </c>
      <c r="F93" s="331">
        <v>66</v>
      </c>
      <c r="G93" s="331">
        <v>86</v>
      </c>
      <c r="H93" s="332">
        <v>24</v>
      </c>
      <c r="I93" s="332">
        <v>22</v>
      </c>
      <c r="J93" s="333">
        <v>25</v>
      </c>
      <c r="K93" s="333">
        <v>22</v>
      </c>
      <c r="L93" s="333">
        <v>22</v>
      </c>
      <c r="M93" s="333">
        <v>20</v>
      </c>
      <c r="N93" s="334">
        <f t="shared" si="2"/>
        <v>88.3</v>
      </c>
      <c r="O93" s="334" t="str">
        <f t="shared" si="3"/>
        <v>B</v>
      </c>
    </row>
    <row r="94" spans="1:15" x14ac:dyDescent="0.35">
      <c r="A94" s="330" t="s">
        <v>2407</v>
      </c>
      <c r="B94" s="330" t="s">
        <v>2312</v>
      </c>
      <c r="C94" s="330" t="s">
        <v>2310</v>
      </c>
      <c r="D94" s="331">
        <v>80</v>
      </c>
      <c r="E94" s="331">
        <v>71</v>
      </c>
      <c r="F94" s="331">
        <v>94</v>
      </c>
      <c r="G94" s="331">
        <v>86</v>
      </c>
      <c r="H94" s="332">
        <v>20</v>
      </c>
      <c r="I94" s="332">
        <v>20</v>
      </c>
      <c r="J94" s="333">
        <v>23</v>
      </c>
      <c r="K94" s="333">
        <v>18</v>
      </c>
      <c r="L94" s="333">
        <v>25</v>
      </c>
      <c r="M94" s="333">
        <v>25</v>
      </c>
      <c r="N94" s="334">
        <f t="shared" si="2"/>
        <v>86.65</v>
      </c>
      <c r="O94" s="334" t="str">
        <f t="shared" si="3"/>
        <v>B</v>
      </c>
    </row>
    <row r="95" spans="1:15" x14ac:dyDescent="0.35">
      <c r="A95" s="330" t="s">
        <v>2408</v>
      </c>
      <c r="B95" s="330" t="s">
        <v>2309</v>
      </c>
      <c r="C95" s="330" t="s">
        <v>2313</v>
      </c>
      <c r="D95" s="331">
        <v>96</v>
      </c>
      <c r="E95" s="331">
        <v>99</v>
      </c>
      <c r="F95" s="331">
        <v>69</v>
      </c>
      <c r="G95" s="331">
        <v>96</v>
      </c>
      <c r="H95" s="332">
        <v>20</v>
      </c>
      <c r="I95" s="332">
        <v>18</v>
      </c>
      <c r="J95" s="333">
        <v>22</v>
      </c>
      <c r="K95" s="333">
        <v>24</v>
      </c>
      <c r="L95" s="333">
        <v>22</v>
      </c>
      <c r="M95" s="333">
        <v>18</v>
      </c>
      <c r="N95" s="334">
        <f t="shared" si="2"/>
        <v>93.25</v>
      </c>
      <c r="O95" s="334" t="str">
        <f t="shared" si="3"/>
        <v>A</v>
      </c>
    </row>
    <row r="96" spans="1:15" x14ac:dyDescent="0.35">
      <c r="A96" s="330" t="s">
        <v>2409</v>
      </c>
      <c r="B96" s="330" t="s">
        <v>2316</v>
      </c>
      <c r="C96" s="330" t="s">
        <v>2310</v>
      </c>
      <c r="D96" s="331">
        <v>85</v>
      </c>
      <c r="E96" s="331">
        <v>99</v>
      </c>
      <c r="F96" s="331">
        <v>66</v>
      </c>
      <c r="G96" s="331">
        <v>96</v>
      </c>
      <c r="H96" s="332">
        <v>22</v>
      </c>
      <c r="I96" s="332">
        <v>18</v>
      </c>
      <c r="J96" s="333">
        <v>25</v>
      </c>
      <c r="K96" s="333">
        <v>25</v>
      </c>
      <c r="L96" s="333">
        <v>25</v>
      </c>
      <c r="M96" s="333">
        <v>22</v>
      </c>
      <c r="N96" s="334">
        <f t="shared" si="2"/>
        <v>92.549999999999983</v>
      </c>
      <c r="O96" s="334" t="str">
        <f t="shared" si="3"/>
        <v>A</v>
      </c>
    </row>
    <row r="97" spans="1:15" x14ac:dyDescent="0.35">
      <c r="A97" s="330" t="s">
        <v>2410</v>
      </c>
      <c r="B97" s="330" t="s">
        <v>2312</v>
      </c>
      <c r="C97" s="330" t="s">
        <v>2313</v>
      </c>
      <c r="D97" s="331">
        <v>89</v>
      </c>
      <c r="E97" s="331">
        <v>96</v>
      </c>
      <c r="F97" s="331">
        <v>91</v>
      </c>
      <c r="G97" s="331">
        <v>97</v>
      </c>
      <c r="H97" s="332">
        <v>21</v>
      </c>
      <c r="I97" s="332">
        <v>19</v>
      </c>
      <c r="J97" s="333">
        <v>25</v>
      </c>
      <c r="K97" s="333">
        <v>23</v>
      </c>
      <c r="L97" s="333">
        <v>24</v>
      </c>
      <c r="M97" s="333">
        <v>20</v>
      </c>
      <c r="N97" s="334">
        <f t="shared" si="2"/>
        <v>92.800000000000011</v>
      </c>
      <c r="O97" s="334" t="str">
        <f t="shared" si="3"/>
        <v>A</v>
      </c>
    </row>
    <row r="98" spans="1:15" x14ac:dyDescent="0.35">
      <c r="A98" s="330" t="s">
        <v>2411</v>
      </c>
      <c r="B98" s="330" t="s">
        <v>2316</v>
      </c>
      <c r="C98" s="330" t="s">
        <v>2310</v>
      </c>
      <c r="D98" s="331">
        <v>90</v>
      </c>
      <c r="E98" s="331">
        <v>74</v>
      </c>
      <c r="F98" s="331">
        <v>69</v>
      </c>
      <c r="G98" s="331">
        <v>98</v>
      </c>
      <c r="H98" s="332">
        <v>23</v>
      </c>
      <c r="I98" s="332">
        <v>17</v>
      </c>
      <c r="J98" s="333">
        <v>25</v>
      </c>
      <c r="K98" s="333">
        <v>25</v>
      </c>
      <c r="L98" s="333">
        <v>24</v>
      </c>
      <c r="M98" s="333">
        <v>24</v>
      </c>
      <c r="N98" s="334">
        <f t="shared" si="2"/>
        <v>88.2</v>
      </c>
      <c r="O98" s="334" t="str">
        <f t="shared" si="3"/>
        <v>B</v>
      </c>
    </row>
    <row r="99" spans="1:15" x14ac:dyDescent="0.35">
      <c r="A99" s="330" t="s">
        <v>2412</v>
      </c>
      <c r="B99" s="330" t="s">
        <v>2312</v>
      </c>
      <c r="C99" s="330" t="s">
        <v>2310</v>
      </c>
      <c r="D99" s="331">
        <v>81</v>
      </c>
      <c r="E99" s="331">
        <v>90</v>
      </c>
      <c r="F99" s="331">
        <v>75</v>
      </c>
      <c r="G99" s="331">
        <v>99</v>
      </c>
      <c r="H99" s="332">
        <v>22</v>
      </c>
      <c r="I99" s="332">
        <v>19</v>
      </c>
      <c r="J99" s="333">
        <v>24</v>
      </c>
      <c r="K99" s="333">
        <v>19</v>
      </c>
      <c r="L99" s="333">
        <v>25</v>
      </c>
      <c r="M99" s="333">
        <v>18</v>
      </c>
      <c r="N99" s="334">
        <f t="shared" si="2"/>
        <v>88.600000000000009</v>
      </c>
      <c r="O99" s="334" t="str">
        <f t="shared" si="3"/>
        <v>B</v>
      </c>
    </row>
    <row r="100" spans="1:15" x14ac:dyDescent="0.35">
      <c r="A100" s="330" t="s">
        <v>2413</v>
      </c>
      <c r="B100" s="330" t="s">
        <v>2312</v>
      </c>
      <c r="C100" s="330" t="s">
        <v>2313</v>
      </c>
      <c r="D100" s="331">
        <v>89</v>
      </c>
      <c r="E100" s="331">
        <v>94</v>
      </c>
      <c r="F100" s="331">
        <v>67</v>
      </c>
      <c r="G100" s="331">
        <v>91</v>
      </c>
      <c r="H100" s="332">
        <v>23</v>
      </c>
      <c r="I100" s="332">
        <v>17</v>
      </c>
      <c r="J100" s="333">
        <v>24</v>
      </c>
      <c r="K100" s="333">
        <v>25</v>
      </c>
      <c r="L100" s="333">
        <v>24</v>
      </c>
      <c r="M100" s="333">
        <v>20</v>
      </c>
      <c r="N100" s="334">
        <f t="shared" si="2"/>
        <v>90.45</v>
      </c>
      <c r="O100" s="334" t="str">
        <f t="shared" si="3"/>
        <v>A</v>
      </c>
    </row>
    <row r="101" spans="1:15" x14ac:dyDescent="0.35">
      <c r="A101" s="330" t="s">
        <v>2414</v>
      </c>
      <c r="B101" s="330" t="s">
        <v>2316</v>
      </c>
      <c r="C101" s="330" t="s">
        <v>2310</v>
      </c>
      <c r="D101" s="331">
        <v>82</v>
      </c>
      <c r="E101" s="331">
        <v>80</v>
      </c>
      <c r="F101" s="331">
        <v>69</v>
      </c>
      <c r="G101" s="331">
        <v>94</v>
      </c>
      <c r="H101" s="332">
        <v>23</v>
      </c>
      <c r="I101" s="332">
        <v>23</v>
      </c>
      <c r="J101" s="333">
        <v>25</v>
      </c>
      <c r="K101" s="333">
        <v>22</v>
      </c>
      <c r="L101" s="333">
        <v>24</v>
      </c>
      <c r="M101" s="333">
        <v>20</v>
      </c>
      <c r="N101" s="334">
        <f t="shared" si="2"/>
        <v>86.85</v>
      </c>
      <c r="O101" s="334" t="str">
        <f t="shared" si="3"/>
        <v>B</v>
      </c>
    </row>
    <row r="102" spans="1:15" x14ac:dyDescent="0.35">
      <c r="A102" s="330" t="s">
        <v>2415</v>
      </c>
      <c r="B102" s="330" t="s">
        <v>2309</v>
      </c>
      <c r="C102" s="330" t="s">
        <v>2313</v>
      </c>
      <c r="D102" s="331">
        <v>85</v>
      </c>
      <c r="E102" s="331">
        <v>81</v>
      </c>
      <c r="F102" s="331">
        <v>81</v>
      </c>
      <c r="G102" s="331">
        <v>97</v>
      </c>
      <c r="H102" s="332">
        <v>21</v>
      </c>
      <c r="I102" s="332">
        <v>17</v>
      </c>
      <c r="J102" s="333">
        <v>24</v>
      </c>
      <c r="K102" s="333">
        <v>20</v>
      </c>
      <c r="L102" s="333">
        <v>22</v>
      </c>
      <c r="M102" s="333">
        <v>25</v>
      </c>
      <c r="N102" s="334">
        <f t="shared" si="2"/>
        <v>87</v>
      </c>
      <c r="O102" s="334" t="str">
        <f t="shared" si="3"/>
        <v>B</v>
      </c>
    </row>
    <row r="103" spans="1:15" x14ac:dyDescent="0.35">
      <c r="A103" s="330" t="s">
        <v>2416</v>
      </c>
      <c r="B103" s="330" t="s">
        <v>2309</v>
      </c>
      <c r="C103" s="330" t="s">
        <v>2310</v>
      </c>
      <c r="D103" s="331">
        <v>80</v>
      </c>
      <c r="E103" s="331">
        <v>76</v>
      </c>
      <c r="F103" s="331">
        <v>68</v>
      </c>
      <c r="G103" s="331">
        <v>94</v>
      </c>
      <c r="H103" s="332">
        <v>22</v>
      </c>
      <c r="I103" s="332">
        <v>23</v>
      </c>
      <c r="J103" s="333">
        <v>24</v>
      </c>
      <c r="K103" s="333">
        <v>22</v>
      </c>
      <c r="L103" s="333">
        <v>25</v>
      </c>
      <c r="M103" s="333">
        <v>23</v>
      </c>
      <c r="N103" s="334">
        <f t="shared" si="2"/>
        <v>85.6</v>
      </c>
      <c r="O103" s="334" t="str">
        <f t="shared" si="3"/>
        <v>B</v>
      </c>
    </row>
    <row r="104" spans="1:15" x14ac:dyDescent="0.35">
      <c r="A104" s="330" t="s">
        <v>2417</v>
      </c>
      <c r="B104" s="330" t="s">
        <v>2312</v>
      </c>
      <c r="C104" s="330" t="s">
        <v>2310</v>
      </c>
      <c r="D104" s="331">
        <v>99</v>
      </c>
      <c r="E104" s="331">
        <v>98</v>
      </c>
      <c r="F104" s="331">
        <v>100</v>
      </c>
      <c r="G104" s="331">
        <v>96</v>
      </c>
      <c r="H104" s="332">
        <v>23</v>
      </c>
      <c r="I104" s="332">
        <v>19</v>
      </c>
      <c r="J104" s="333">
        <v>22</v>
      </c>
      <c r="K104" s="333">
        <v>23</v>
      </c>
      <c r="L104" s="333">
        <v>24</v>
      </c>
      <c r="M104" s="333">
        <v>23</v>
      </c>
      <c r="N104" s="334">
        <f t="shared" si="2"/>
        <v>96.45</v>
      </c>
      <c r="O104" s="334" t="str">
        <f t="shared" si="3"/>
        <v>A</v>
      </c>
    </row>
    <row r="105" spans="1:15" x14ac:dyDescent="0.35">
      <c r="A105" s="330" t="s">
        <v>2418</v>
      </c>
      <c r="B105" s="330" t="s">
        <v>2309</v>
      </c>
      <c r="C105" s="330" t="s">
        <v>2310</v>
      </c>
      <c r="D105" s="331">
        <v>80</v>
      </c>
      <c r="E105" s="331">
        <v>88</v>
      </c>
      <c r="F105" s="331">
        <v>88</v>
      </c>
      <c r="G105" s="331">
        <v>91</v>
      </c>
      <c r="H105" s="332">
        <v>23</v>
      </c>
      <c r="I105" s="332">
        <v>18</v>
      </c>
      <c r="J105" s="333">
        <v>25</v>
      </c>
      <c r="K105" s="333">
        <v>19</v>
      </c>
      <c r="L105" s="333">
        <v>22</v>
      </c>
      <c r="M105" s="333">
        <v>21</v>
      </c>
      <c r="N105" s="334">
        <f t="shared" si="2"/>
        <v>88</v>
      </c>
      <c r="O105" s="334" t="str">
        <f t="shared" si="3"/>
        <v>B</v>
      </c>
    </row>
    <row r="106" spans="1:15" x14ac:dyDescent="0.35">
      <c r="A106" s="330" t="s">
        <v>1863</v>
      </c>
      <c r="B106" s="330" t="s">
        <v>2309</v>
      </c>
      <c r="C106" s="330" t="s">
        <v>2310</v>
      </c>
      <c r="D106" s="331">
        <v>90</v>
      </c>
      <c r="E106" s="331">
        <v>94</v>
      </c>
      <c r="F106" s="331">
        <v>74</v>
      </c>
      <c r="G106" s="331">
        <v>89</v>
      </c>
      <c r="H106" s="332">
        <v>21</v>
      </c>
      <c r="I106" s="332">
        <v>15</v>
      </c>
      <c r="J106" s="333">
        <v>23</v>
      </c>
      <c r="K106" s="333">
        <v>19</v>
      </c>
      <c r="L106" s="333">
        <v>25</v>
      </c>
      <c r="M106" s="333">
        <v>19</v>
      </c>
      <c r="N106" s="334">
        <f t="shared" si="2"/>
        <v>88.350000000000009</v>
      </c>
      <c r="O106" s="334" t="str">
        <f t="shared" si="3"/>
        <v>B</v>
      </c>
    </row>
    <row r="107" spans="1:15" x14ac:dyDescent="0.35">
      <c r="A107" s="330" t="s">
        <v>2419</v>
      </c>
      <c r="B107" s="330" t="s">
        <v>2312</v>
      </c>
      <c r="C107" s="330" t="s">
        <v>2310</v>
      </c>
      <c r="D107" s="331">
        <v>93</v>
      </c>
      <c r="E107" s="331">
        <v>78</v>
      </c>
      <c r="F107" s="331">
        <v>68</v>
      </c>
      <c r="G107" s="331">
        <v>81</v>
      </c>
      <c r="H107" s="332">
        <v>22</v>
      </c>
      <c r="I107" s="332">
        <v>25</v>
      </c>
      <c r="J107" s="333">
        <v>22</v>
      </c>
      <c r="K107" s="333">
        <v>25</v>
      </c>
      <c r="L107" s="333">
        <v>23</v>
      </c>
      <c r="M107" s="333">
        <v>18</v>
      </c>
      <c r="N107" s="334">
        <f t="shared" si="2"/>
        <v>85.600000000000009</v>
      </c>
      <c r="O107" s="334" t="str">
        <f t="shared" si="3"/>
        <v>B</v>
      </c>
    </row>
    <row r="108" spans="1:15" x14ac:dyDescent="0.35">
      <c r="A108" s="330" t="s">
        <v>2420</v>
      </c>
      <c r="B108" s="330" t="s">
        <v>2312</v>
      </c>
      <c r="C108" s="330" t="s">
        <v>2313</v>
      </c>
      <c r="D108" s="331">
        <v>88</v>
      </c>
      <c r="E108" s="331">
        <v>82</v>
      </c>
      <c r="F108" s="331">
        <v>79</v>
      </c>
      <c r="G108" s="331">
        <v>91</v>
      </c>
      <c r="H108" s="332">
        <v>23</v>
      </c>
      <c r="I108" s="332">
        <v>20</v>
      </c>
      <c r="J108" s="333">
        <v>22</v>
      </c>
      <c r="K108" s="333">
        <v>21</v>
      </c>
      <c r="L108" s="333">
        <v>25</v>
      </c>
      <c r="M108" s="333">
        <v>22</v>
      </c>
      <c r="N108" s="334">
        <f t="shared" si="2"/>
        <v>87.35</v>
      </c>
      <c r="O108" s="334" t="str">
        <f t="shared" si="3"/>
        <v>B</v>
      </c>
    </row>
    <row r="109" spans="1:15" x14ac:dyDescent="0.35">
      <c r="A109" s="330" t="s">
        <v>2421</v>
      </c>
      <c r="B109" s="330" t="s">
        <v>2309</v>
      </c>
      <c r="C109" s="330" t="s">
        <v>2313</v>
      </c>
      <c r="D109" s="331">
        <v>87</v>
      </c>
      <c r="E109" s="331">
        <v>70</v>
      </c>
      <c r="F109" s="331">
        <v>64</v>
      </c>
      <c r="G109" s="331">
        <v>86</v>
      </c>
      <c r="H109" s="332">
        <v>25</v>
      </c>
      <c r="I109" s="332">
        <v>23</v>
      </c>
      <c r="J109" s="333">
        <v>23</v>
      </c>
      <c r="K109" s="333">
        <v>25</v>
      </c>
      <c r="L109" s="333">
        <v>22</v>
      </c>
      <c r="M109" s="333">
        <v>23</v>
      </c>
      <c r="N109" s="334">
        <f t="shared" si="2"/>
        <v>84.300000000000011</v>
      </c>
      <c r="O109" s="334" t="str">
        <f t="shared" si="3"/>
        <v>B</v>
      </c>
    </row>
    <row r="110" spans="1:15" x14ac:dyDescent="0.35">
      <c r="A110" s="330" t="s">
        <v>483</v>
      </c>
      <c r="B110" s="330" t="s">
        <v>2312</v>
      </c>
      <c r="C110" s="330" t="s">
        <v>2310</v>
      </c>
      <c r="D110" s="331">
        <v>98</v>
      </c>
      <c r="E110" s="331">
        <v>84</v>
      </c>
      <c r="F110" s="331">
        <v>99</v>
      </c>
      <c r="G110" s="331">
        <v>92</v>
      </c>
      <c r="H110" s="332">
        <v>21</v>
      </c>
      <c r="I110" s="332">
        <v>23</v>
      </c>
      <c r="J110" s="333">
        <v>22</v>
      </c>
      <c r="K110" s="333">
        <v>23</v>
      </c>
      <c r="L110" s="333">
        <v>24</v>
      </c>
      <c r="M110" s="333">
        <v>20</v>
      </c>
      <c r="N110" s="334">
        <f t="shared" si="2"/>
        <v>94.399999999999991</v>
      </c>
      <c r="O110" s="334" t="str">
        <f t="shared" si="3"/>
        <v>A</v>
      </c>
    </row>
    <row r="111" spans="1:15" x14ac:dyDescent="0.35">
      <c r="A111" s="330" t="s">
        <v>2422</v>
      </c>
      <c r="B111" s="330" t="s">
        <v>2309</v>
      </c>
      <c r="C111" s="330" t="s">
        <v>2310</v>
      </c>
      <c r="D111" s="331">
        <v>90</v>
      </c>
      <c r="E111" s="331">
        <v>74</v>
      </c>
      <c r="F111" s="331">
        <v>73</v>
      </c>
      <c r="G111" s="331">
        <v>96</v>
      </c>
      <c r="H111" s="332">
        <v>24</v>
      </c>
      <c r="I111" s="332">
        <v>17</v>
      </c>
      <c r="J111" s="333">
        <v>22</v>
      </c>
      <c r="K111" s="333">
        <v>25</v>
      </c>
      <c r="L111" s="333">
        <v>24</v>
      </c>
      <c r="M111" s="333">
        <v>22</v>
      </c>
      <c r="N111" s="334">
        <f t="shared" si="2"/>
        <v>87.15</v>
      </c>
      <c r="O111" s="334" t="str">
        <f t="shared" si="3"/>
        <v>B</v>
      </c>
    </row>
    <row r="112" spans="1:15" x14ac:dyDescent="0.35">
      <c r="A112" s="330" t="s">
        <v>2423</v>
      </c>
      <c r="B112" s="330" t="s">
        <v>2316</v>
      </c>
      <c r="C112" s="330" t="s">
        <v>2310</v>
      </c>
      <c r="D112" s="331">
        <v>93</v>
      </c>
      <c r="E112" s="331">
        <v>75</v>
      </c>
      <c r="F112" s="331">
        <v>78</v>
      </c>
      <c r="G112" s="331">
        <v>92</v>
      </c>
      <c r="H112" s="332">
        <v>22</v>
      </c>
      <c r="I112" s="332">
        <v>22</v>
      </c>
      <c r="J112" s="333">
        <v>22</v>
      </c>
      <c r="K112" s="333">
        <v>19</v>
      </c>
      <c r="L112" s="333">
        <v>23</v>
      </c>
      <c r="M112" s="333">
        <v>20</v>
      </c>
      <c r="N112" s="334">
        <f t="shared" si="2"/>
        <v>87.149999999999991</v>
      </c>
      <c r="O112" s="334" t="str">
        <f t="shared" si="3"/>
        <v>B</v>
      </c>
    </row>
    <row r="113" spans="1:15" x14ac:dyDescent="0.35">
      <c r="A113" s="330" t="s">
        <v>2424</v>
      </c>
      <c r="B113" s="330" t="s">
        <v>2316</v>
      </c>
      <c r="C113" s="330" t="s">
        <v>2313</v>
      </c>
      <c r="D113" s="331">
        <v>98</v>
      </c>
      <c r="E113" s="331">
        <v>85</v>
      </c>
      <c r="F113" s="331">
        <v>93</v>
      </c>
      <c r="G113" s="331">
        <v>90</v>
      </c>
      <c r="H113" s="332">
        <v>23</v>
      </c>
      <c r="I113" s="332">
        <v>25</v>
      </c>
      <c r="J113" s="333">
        <v>24</v>
      </c>
      <c r="K113" s="333">
        <v>20</v>
      </c>
      <c r="L113" s="333">
        <v>25</v>
      </c>
      <c r="M113" s="333">
        <v>19</v>
      </c>
      <c r="N113" s="334">
        <f t="shared" si="2"/>
        <v>93.05</v>
      </c>
      <c r="O113" s="334" t="str">
        <f t="shared" si="3"/>
        <v>A</v>
      </c>
    </row>
    <row r="114" spans="1:15" x14ac:dyDescent="0.35">
      <c r="A114" s="330" t="s">
        <v>2425</v>
      </c>
      <c r="B114" s="330" t="s">
        <v>2312</v>
      </c>
      <c r="C114" s="330" t="s">
        <v>2313</v>
      </c>
      <c r="D114" s="331">
        <v>91</v>
      </c>
      <c r="E114" s="331">
        <v>80</v>
      </c>
      <c r="F114" s="331">
        <v>95</v>
      </c>
      <c r="G114" s="331">
        <v>97</v>
      </c>
      <c r="H114" s="332">
        <v>25</v>
      </c>
      <c r="I114" s="332">
        <v>17</v>
      </c>
      <c r="J114" s="333">
        <v>23</v>
      </c>
      <c r="K114" s="333">
        <v>19</v>
      </c>
      <c r="L114" s="333">
        <v>25</v>
      </c>
      <c r="M114" s="333">
        <v>20</v>
      </c>
      <c r="N114" s="334">
        <f t="shared" si="2"/>
        <v>92.2</v>
      </c>
      <c r="O114" s="334" t="str">
        <f t="shared" si="3"/>
        <v>A</v>
      </c>
    </row>
    <row r="115" spans="1:15" x14ac:dyDescent="0.35">
      <c r="A115" s="330" t="s">
        <v>2426</v>
      </c>
      <c r="B115" s="330" t="s">
        <v>2316</v>
      </c>
      <c r="C115" s="330" t="s">
        <v>2313</v>
      </c>
      <c r="D115" s="331">
        <v>97</v>
      </c>
      <c r="E115" s="331">
        <v>85</v>
      </c>
      <c r="F115" s="331">
        <v>68</v>
      </c>
      <c r="G115" s="331">
        <v>93</v>
      </c>
      <c r="H115" s="332">
        <v>24</v>
      </c>
      <c r="I115" s="332">
        <v>15</v>
      </c>
      <c r="J115" s="333">
        <v>24</v>
      </c>
      <c r="K115" s="333">
        <v>18</v>
      </c>
      <c r="L115" s="333">
        <v>25</v>
      </c>
      <c r="M115" s="333">
        <v>18</v>
      </c>
      <c r="N115" s="334">
        <f t="shared" si="2"/>
        <v>89.3</v>
      </c>
      <c r="O115" s="334" t="str">
        <f t="shared" si="3"/>
        <v>B</v>
      </c>
    </row>
    <row r="116" spans="1:15" x14ac:dyDescent="0.35">
      <c r="A116" s="330" t="s">
        <v>2427</v>
      </c>
      <c r="B116" s="330" t="s">
        <v>2316</v>
      </c>
      <c r="C116" s="330" t="s">
        <v>2310</v>
      </c>
      <c r="D116" s="331">
        <v>90</v>
      </c>
      <c r="E116" s="331">
        <v>100</v>
      </c>
      <c r="F116" s="331">
        <v>92</v>
      </c>
      <c r="G116" s="331">
        <v>93</v>
      </c>
      <c r="H116" s="332">
        <v>24</v>
      </c>
      <c r="I116" s="332">
        <v>23</v>
      </c>
      <c r="J116" s="333">
        <v>24</v>
      </c>
      <c r="K116" s="333">
        <v>20</v>
      </c>
      <c r="L116" s="333">
        <v>25</v>
      </c>
      <c r="M116" s="333">
        <v>24</v>
      </c>
      <c r="N116" s="334">
        <f t="shared" si="2"/>
        <v>94.600000000000009</v>
      </c>
      <c r="O116" s="334" t="str">
        <f t="shared" si="3"/>
        <v>A</v>
      </c>
    </row>
    <row r="117" spans="1:15" x14ac:dyDescent="0.35">
      <c r="A117" s="330" t="s">
        <v>2428</v>
      </c>
      <c r="B117" s="330" t="s">
        <v>2309</v>
      </c>
      <c r="C117" s="330" t="s">
        <v>2310</v>
      </c>
      <c r="D117" s="331">
        <v>92</v>
      </c>
      <c r="E117" s="331">
        <v>100</v>
      </c>
      <c r="F117" s="331">
        <v>87</v>
      </c>
      <c r="G117" s="331">
        <v>85</v>
      </c>
      <c r="H117" s="332">
        <v>22</v>
      </c>
      <c r="I117" s="332">
        <v>19</v>
      </c>
      <c r="J117" s="333">
        <v>22</v>
      </c>
      <c r="K117" s="333">
        <v>20</v>
      </c>
      <c r="L117" s="333">
        <v>25</v>
      </c>
      <c r="M117" s="333">
        <v>24</v>
      </c>
      <c r="N117" s="334">
        <f t="shared" si="2"/>
        <v>91.600000000000009</v>
      </c>
      <c r="O117" s="334" t="str">
        <f t="shared" si="3"/>
        <v>A</v>
      </c>
    </row>
    <row r="118" spans="1:15" x14ac:dyDescent="0.35">
      <c r="A118" s="330" t="s">
        <v>2429</v>
      </c>
      <c r="B118" s="330" t="s">
        <v>2316</v>
      </c>
      <c r="C118" s="330" t="s">
        <v>2310</v>
      </c>
      <c r="D118" s="331">
        <v>85</v>
      </c>
      <c r="E118" s="331">
        <v>87</v>
      </c>
      <c r="F118" s="331">
        <v>84</v>
      </c>
      <c r="G118" s="331">
        <v>87</v>
      </c>
      <c r="H118" s="332">
        <v>20</v>
      </c>
      <c r="I118" s="332">
        <v>20</v>
      </c>
      <c r="J118" s="333">
        <v>23</v>
      </c>
      <c r="K118" s="333">
        <v>19</v>
      </c>
      <c r="L118" s="333">
        <v>23</v>
      </c>
      <c r="M118" s="333">
        <v>21</v>
      </c>
      <c r="N118" s="334">
        <f t="shared" si="2"/>
        <v>85.65</v>
      </c>
      <c r="O118" s="334" t="str">
        <f t="shared" si="3"/>
        <v>B</v>
      </c>
    </row>
    <row r="119" spans="1:15" x14ac:dyDescent="0.35">
      <c r="A119" s="330" t="s">
        <v>2430</v>
      </c>
      <c r="B119" s="330" t="s">
        <v>2312</v>
      </c>
      <c r="C119" s="330" t="s">
        <v>2313</v>
      </c>
      <c r="D119" s="331">
        <v>99</v>
      </c>
      <c r="E119" s="331">
        <v>100</v>
      </c>
      <c r="F119" s="331">
        <v>85</v>
      </c>
      <c r="G119" s="331">
        <v>95</v>
      </c>
      <c r="H119" s="332">
        <v>22</v>
      </c>
      <c r="I119" s="332">
        <v>24</v>
      </c>
      <c r="J119" s="333">
        <v>25</v>
      </c>
      <c r="K119" s="333">
        <v>22</v>
      </c>
      <c r="L119" s="333">
        <v>23</v>
      </c>
      <c r="M119" s="333">
        <v>23</v>
      </c>
      <c r="N119" s="334">
        <f t="shared" si="2"/>
        <v>96.65</v>
      </c>
      <c r="O119" s="334" t="str">
        <f t="shared" si="3"/>
        <v>A</v>
      </c>
    </row>
    <row r="120" spans="1:15" x14ac:dyDescent="0.35">
      <c r="A120" s="330" t="s">
        <v>2431</v>
      </c>
      <c r="B120" s="330" t="s">
        <v>2309</v>
      </c>
      <c r="C120" s="330" t="s">
        <v>2310</v>
      </c>
      <c r="D120" s="331">
        <v>89</v>
      </c>
      <c r="E120" s="331">
        <v>79</v>
      </c>
      <c r="F120" s="331">
        <v>85</v>
      </c>
      <c r="G120" s="331">
        <v>90</v>
      </c>
      <c r="H120" s="332">
        <v>23</v>
      </c>
      <c r="I120" s="332">
        <v>20</v>
      </c>
      <c r="J120" s="333">
        <v>24</v>
      </c>
      <c r="K120" s="333">
        <v>18</v>
      </c>
      <c r="L120" s="333">
        <v>23</v>
      </c>
      <c r="M120" s="333">
        <v>23</v>
      </c>
      <c r="N120" s="334">
        <f t="shared" si="2"/>
        <v>87.8</v>
      </c>
      <c r="O120" s="334" t="str">
        <f t="shared" si="3"/>
        <v>B</v>
      </c>
    </row>
    <row r="121" spans="1:15" x14ac:dyDescent="0.35">
      <c r="A121" s="330" t="s">
        <v>2432</v>
      </c>
      <c r="B121" s="330" t="s">
        <v>2312</v>
      </c>
      <c r="C121" s="330" t="s">
        <v>2310</v>
      </c>
      <c r="D121" s="331">
        <v>89</v>
      </c>
      <c r="E121" s="331">
        <v>91</v>
      </c>
      <c r="F121" s="331">
        <v>62</v>
      </c>
      <c r="G121" s="331">
        <v>99</v>
      </c>
      <c r="H121" s="332">
        <v>22</v>
      </c>
      <c r="I121" s="332">
        <v>18</v>
      </c>
      <c r="J121" s="333">
        <v>25</v>
      </c>
      <c r="K121" s="333">
        <v>25</v>
      </c>
      <c r="L121" s="333">
        <v>25</v>
      </c>
      <c r="M121" s="333">
        <v>24</v>
      </c>
      <c r="N121" s="334">
        <f t="shared" si="2"/>
        <v>92.6</v>
      </c>
      <c r="O121" s="334" t="str">
        <f t="shared" si="3"/>
        <v>A</v>
      </c>
    </row>
    <row r="122" spans="1:15" x14ac:dyDescent="0.35">
      <c r="A122" s="330" t="s">
        <v>2433</v>
      </c>
      <c r="B122" s="330" t="s">
        <v>2316</v>
      </c>
      <c r="C122" s="330" t="s">
        <v>2310</v>
      </c>
      <c r="D122" s="331">
        <v>96</v>
      </c>
      <c r="E122" s="331">
        <v>78</v>
      </c>
      <c r="F122" s="331">
        <v>95</v>
      </c>
      <c r="G122" s="331">
        <v>80</v>
      </c>
      <c r="H122" s="332">
        <v>20</v>
      </c>
      <c r="I122" s="332">
        <v>17</v>
      </c>
      <c r="J122" s="333">
        <v>22</v>
      </c>
      <c r="K122" s="333">
        <v>23</v>
      </c>
      <c r="L122" s="333">
        <v>23</v>
      </c>
      <c r="M122" s="333">
        <v>25</v>
      </c>
      <c r="N122" s="334">
        <f t="shared" si="2"/>
        <v>89.100000000000009</v>
      </c>
      <c r="O122" s="334" t="str">
        <f t="shared" si="3"/>
        <v>B</v>
      </c>
    </row>
    <row r="123" spans="1:15" x14ac:dyDescent="0.35">
      <c r="A123" s="330" t="s">
        <v>2434</v>
      </c>
      <c r="B123" s="330" t="s">
        <v>2316</v>
      </c>
      <c r="C123" s="330" t="s">
        <v>2310</v>
      </c>
      <c r="D123" s="331">
        <v>100</v>
      </c>
      <c r="E123" s="331">
        <v>78</v>
      </c>
      <c r="F123" s="331">
        <v>76</v>
      </c>
      <c r="G123" s="331">
        <v>95</v>
      </c>
      <c r="H123" s="332">
        <v>23</v>
      </c>
      <c r="I123" s="332">
        <v>22</v>
      </c>
      <c r="J123" s="333">
        <v>25</v>
      </c>
      <c r="K123" s="333">
        <v>24</v>
      </c>
      <c r="L123" s="333">
        <v>25</v>
      </c>
      <c r="M123" s="333">
        <v>25</v>
      </c>
      <c r="N123" s="334">
        <f t="shared" si="2"/>
        <v>92.1</v>
      </c>
      <c r="O123" s="334" t="str">
        <f t="shared" si="3"/>
        <v>A</v>
      </c>
    </row>
    <row r="124" spans="1:15" x14ac:dyDescent="0.35">
      <c r="A124" s="330" t="s">
        <v>2435</v>
      </c>
      <c r="B124" s="330" t="s">
        <v>2312</v>
      </c>
      <c r="C124" s="330" t="s">
        <v>2313</v>
      </c>
      <c r="D124" s="331">
        <v>98</v>
      </c>
      <c r="E124" s="331">
        <v>92</v>
      </c>
      <c r="F124" s="331">
        <v>64</v>
      </c>
      <c r="G124" s="331">
        <v>85</v>
      </c>
      <c r="H124" s="332">
        <v>21</v>
      </c>
      <c r="I124" s="332">
        <v>17</v>
      </c>
      <c r="J124" s="333">
        <v>25</v>
      </c>
      <c r="K124" s="333">
        <v>21</v>
      </c>
      <c r="L124" s="333">
        <v>24</v>
      </c>
      <c r="M124" s="333">
        <v>21</v>
      </c>
      <c r="N124" s="334">
        <f t="shared" si="2"/>
        <v>90</v>
      </c>
      <c r="O124" s="334" t="str">
        <f t="shared" si="3"/>
        <v>A</v>
      </c>
    </row>
    <row r="125" spans="1:15" x14ac:dyDescent="0.35">
      <c r="A125" s="330" t="s">
        <v>2436</v>
      </c>
      <c r="B125" s="330" t="s">
        <v>2309</v>
      </c>
      <c r="C125" s="330" t="s">
        <v>2310</v>
      </c>
      <c r="D125" s="331">
        <v>88</v>
      </c>
      <c r="E125" s="331">
        <v>97</v>
      </c>
      <c r="F125" s="331">
        <v>82</v>
      </c>
      <c r="G125" s="331">
        <v>87</v>
      </c>
      <c r="H125" s="332">
        <v>24</v>
      </c>
      <c r="I125" s="332">
        <v>25</v>
      </c>
      <c r="J125" s="333">
        <v>22</v>
      </c>
      <c r="K125" s="333">
        <v>23</v>
      </c>
      <c r="L125" s="333">
        <v>23</v>
      </c>
      <c r="M125" s="333">
        <v>24</v>
      </c>
      <c r="N125" s="334">
        <f t="shared" si="2"/>
        <v>91.6</v>
      </c>
      <c r="O125" s="334" t="str">
        <f t="shared" si="3"/>
        <v>A</v>
      </c>
    </row>
    <row r="126" spans="1:15" x14ac:dyDescent="0.35">
      <c r="A126" s="330" t="s">
        <v>2437</v>
      </c>
      <c r="B126" s="330" t="s">
        <v>2309</v>
      </c>
      <c r="C126" s="330" t="s">
        <v>2313</v>
      </c>
      <c r="D126" s="331">
        <v>81</v>
      </c>
      <c r="E126" s="331">
        <v>82</v>
      </c>
      <c r="F126" s="331">
        <v>83</v>
      </c>
      <c r="G126" s="331">
        <v>84</v>
      </c>
      <c r="H126" s="332">
        <v>24</v>
      </c>
      <c r="I126" s="332">
        <v>18</v>
      </c>
      <c r="J126" s="333">
        <v>23</v>
      </c>
      <c r="K126" s="333">
        <v>23</v>
      </c>
      <c r="L126" s="333">
        <v>24</v>
      </c>
      <c r="M126" s="333">
        <v>19</v>
      </c>
      <c r="N126" s="334">
        <f t="shared" si="2"/>
        <v>84</v>
      </c>
      <c r="O126" s="334" t="str">
        <f t="shared" si="3"/>
        <v>B</v>
      </c>
    </row>
    <row r="127" spans="1:15" x14ac:dyDescent="0.35">
      <c r="A127" s="330" t="s">
        <v>2438</v>
      </c>
      <c r="B127" s="330" t="s">
        <v>2312</v>
      </c>
      <c r="C127" s="330" t="s">
        <v>2313</v>
      </c>
      <c r="D127" s="331">
        <v>82</v>
      </c>
      <c r="E127" s="331">
        <v>85</v>
      </c>
      <c r="F127" s="331">
        <v>88</v>
      </c>
      <c r="G127" s="331">
        <v>84</v>
      </c>
      <c r="H127" s="332">
        <v>22</v>
      </c>
      <c r="I127" s="332">
        <v>21</v>
      </c>
      <c r="J127" s="333">
        <v>22</v>
      </c>
      <c r="K127" s="333">
        <v>20</v>
      </c>
      <c r="L127" s="333">
        <v>23</v>
      </c>
      <c r="M127" s="333">
        <v>24</v>
      </c>
      <c r="N127" s="334">
        <f t="shared" si="2"/>
        <v>86.199999999999989</v>
      </c>
      <c r="O127" s="334" t="str">
        <f t="shared" si="3"/>
        <v>B</v>
      </c>
    </row>
    <row r="128" spans="1:15" x14ac:dyDescent="0.35">
      <c r="A128" s="330" t="s">
        <v>2439</v>
      </c>
      <c r="B128" s="330" t="s">
        <v>2309</v>
      </c>
      <c r="C128" s="330" t="s">
        <v>2313</v>
      </c>
      <c r="D128" s="331">
        <v>85</v>
      </c>
      <c r="E128" s="331">
        <v>82</v>
      </c>
      <c r="F128" s="331">
        <v>70</v>
      </c>
      <c r="G128" s="331">
        <v>82</v>
      </c>
      <c r="H128" s="332">
        <v>23</v>
      </c>
      <c r="I128" s="332">
        <v>25</v>
      </c>
      <c r="J128" s="333">
        <v>23</v>
      </c>
      <c r="K128" s="333">
        <v>22</v>
      </c>
      <c r="L128" s="333">
        <v>22</v>
      </c>
      <c r="M128" s="333">
        <v>25</v>
      </c>
      <c r="N128" s="334">
        <f t="shared" si="2"/>
        <v>85.649999999999991</v>
      </c>
      <c r="O128" s="334" t="str">
        <f t="shared" si="3"/>
        <v>B</v>
      </c>
    </row>
    <row r="129" spans="1:15" x14ac:dyDescent="0.35">
      <c r="A129" s="330" t="s">
        <v>2440</v>
      </c>
      <c r="B129" s="330" t="s">
        <v>2316</v>
      </c>
      <c r="C129" s="330" t="s">
        <v>2310</v>
      </c>
      <c r="D129" s="331">
        <v>97</v>
      </c>
      <c r="E129" s="331">
        <v>97</v>
      </c>
      <c r="F129" s="331">
        <v>96</v>
      </c>
      <c r="G129" s="331">
        <v>86</v>
      </c>
      <c r="H129" s="332">
        <v>20</v>
      </c>
      <c r="I129" s="332">
        <v>22</v>
      </c>
      <c r="J129" s="333">
        <v>23</v>
      </c>
      <c r="K129" s="333">
        <v>18</v>
      </c>
      <c r="L129" s="333">
        <v>22</v>
      </c>
      <c r="M129" s="333">
        <v>23</v>
      </c>
      <c r="N129" s="334">
        <f t="shared" si="2"/>
        <v>93.800000000000011</v>
      </c>
      <c r="O129" s="334" t="str">
        <f t="shared" si="3"/>
        <v>A</v>
      </c>
    </row>
    <row r="130" spans="1:15" x14ac:dyDescent="0.35">
      <c r="A130" s="330" t="s">
        <v>2441</v>
      </c>
      <c r="B130" s="330" t="s">
        <v>2312</v>
      </c>
      <c r="C130" s="330" t="s">
        <v>2310</v>
      </c>
      <c r="D130" s="331">
        <v>84</v>
      </c>
      <c r="E130" s="331">
        <v>83</v>
      </c>
      <c r="F130" s="331">
        <v>63</v>
      </c>
      <c r="G130" s="331">
        <v>94</v>
      </c>
      <c r="H130" s="332">
        <v>20</v>
      </c>
      <c r="I130" s="332">
        <v>25</v>
      </c>
      <c r="J130" s="333">
        <v>23</v>
      </c>
      <c r="K130" s="333">
        <v>23</v>
      </c>
      <c r="L130" s="333">
        <v>24</v>
      </c>
      <c r="M130" s="333">
        <v>24</v>
      </c>
      <c r="N130" s="334">
        <f t="shared" si="2"/>
        <v>88.35</v>
      </c>
      <c r="O130" s="334" t="str">
        <f t="shared" si="3"/>
        <v>B</v>
      </c>
    </row>
    <row r="131" spans="1:15" x14ac:dyDescent="0.35">
      <c r="A131" s="330" t="s">
        <v>2442</v>
      </c>
      <c r="B131" s="330" t="s">
        <v>2309</v>
      </c>
      <c r="C131" s="330" t="s">
        <v>2310</v>
      </c>
      <c r="D131" s="331">
        <v>92</v>
      </c>
      <c r="E131" s="331">
        <v>79</v>
      </c>
      <c r="F131" s="331">
        <v>84</v>
      </c>
      <c r="G131" s="331">
        <v>98</v>
      </c>
      <c r="H131" s="332">
        <v>24</v>
      </c>
      <c r="I131" s="332">
        <v>16</v>
      </c>
      <c r="J131" s="333">
        <v>23</v>
      </c>
      <c r="K131" s="333">
        <v>25</v>
      </c>
      <c r="L131" s="333">
        <v>25</v>
      </c>
      <c r="M131" s="333">
        <v>21</v>
      </c>
      <c r="N131" s="334">
        <f t="shared" si="2"/>
        <v>90.6</v>
      </c>
      <c r="O131" s="334" t="str">
        <f t="shared" si="3"/>
        <v>A</v>
      </c>
    </row>
    <row r="132" spans="1:15" x14ac:dyDescent="0.35">
      <c r="A132" s="330" t="s">
        <v>2443</v>
      </c>
      <c r="B132" s="330" t="s">
        <v>2309</v>
      </c>
      <c r="C132" s="330" t="s">
        <v>2310</v>
      </c>
      <c r="D132" s="331">
        <v>85</v>
      </c>
      <c r="E132" s="331">
        <v>85</v>
      </c>
      <c r="F132" s="331">
        <v>70</v>
      </c>
      <c r="G132" s="331">
        <v>94</v>
      </c>
      <c r="H132" s="332">
        <v>25</v>
      </c>
      <c r="I132" s="332">
        <v>23</v>
      </c>
      <c r="J132" s="333">
        <v>23</v>
      </c>
      <c r="K132" s="333">
        <v>25</v>
      </c>
      <c r="L132" s="333">
        <v>23</v>
      </c>
      <c r="M132" s="333">
        <v>22</v>
      </c>
      <c r="N132" s="334">
        <f t="shared" si="2"/>
        <v>89.55</v>
      </c>
      <c r="O132" s="334" t="str">
        <f t="shared" si="3"/>
        <v>B</v>
      </c>
    </row>
    <row r="133" spans="1:15" x14ac:dyDescent="0.35">
      <c r="A133" s="330" t="s">
        <v>2444</v>
      </c>
      <c r="B133" s="330" t="s">
        <v>2312</v>
      </c>
      <c r="C133" s="330" t="s">
        <v>2310</v>
      </c>
      <c r="D133" s="331">
        <v>95</v>
      </c>
      <c r="E133" s="331">
        <v>94</v>
      </c>
      <c r="F133" s="331">
        <v>85</v>
      </c>
      <c r="G133" s="331">
        <v>96</v>
      </c>
      <c r="H133" s="332">
        <v>23</v>
      </c>
      <c r="I133" s="332">
        <v>22</v>
      </c>
      <c r="J133" s="333">
        <v>22</v>
      </c>
      <c r="K133" s="333">
        <v>21</v>
      </c>
      <c r="L133" s="333">
        <v>25</v>
      </c>
      <c r="M133" s="333">
        <v>21</v>
      </c>
      <c r="N133" s="334">
        <f t="shared" si="2"/>
        <v>93.6</v>
      </c>
      <c r="O133" s="334" t="str">
        <f t="shared" si="3"/>
        <v>A</v>
      </c>
    </row>
    <row r="134" spans="1:15" x14ac:dyDescent="0.35">
      <c r="A134" s="330" t="s">
        <v>2445</v>
      </c>
      <c r="B134" s="330" t="s">
        <v>2309</v>
      </c>
      <c r="C134" s="330" t="s">
        <v>2313</v>
      </c>
      <c r="D134" s="331">
        <v>90</v>
      </c>
      <c r="E134" s="331">
        <v>74</v>
      </c>
      <c r="F134" s="331">
        <v>86</v>
      </c>
      <c r="G134" s="331">
        <v>81</v>
      </c>
      <c r="H134" s="332">
        <v>21</v>
      </c>
      <c r="I134" s="332">
        <v>19</v>
      </c>
      <c r="J134" s="333">
        <v>24</v>
      </c>
      <c r="K134" s="333">
        <v>24</v>
      </c>
      <c r="L134" s="333">
        <v>22</v>
      </c>
      <c r="M134" s="333">
        <v>22</v>
      </c>
      <c r="N134" s="334">
        <f t="shared" si="2"/>
        <v>86.05</v>
      </c>
      <c r="O134" s="334" t="str">
        <f t="shared" si="3"/>
        <v>B</v>
      </c>
    </row>
    <row r="135" spans="1:15" x14ac:dyDescent="0.35">
      <c r="A135" s="330" t="s">
        <v>2446</v>
      </c>
      <c r="B135" s="330" t="s">
        <v>2312</v>
      </c>
      <c r="C135" s="330" t="s">
        <v>2313</v>
      </c>
      <c r="D135" s="331">
        <v>87</v>
      </c>
      <c r="E135" s="331">
        <v>91</v>
      </c>
      <c r="F135" s="331">
        <v>74</v>
      </c>
      <c r="G135" s="331">
        <v>86</v>
      </c>
      <c r="H135" s="332">
        <v>22</v>
      </c>
      <c r="I135" s="332">
        <v>18</v>
      </c>
      <c r="J135" s="333">
        <v>23</v>
      </c>
      <c r="K135" s="333">
        <v>21</v>
      </c>
      <c r="L135" s="333">
        <v>23</v>
      </c>
      <c r="M135" s="333">
        <v>22</v>
      </c>
      <c r="N135" s="334">
        <f t="shared" si="2"/>
        <v>87.35</v>
      </c>
      <c r="O135" s="334" t="str">
        <f t="shared" si="3"/>
        <v>B</v>
      </c>
    </row>
    <row r="136" spans="1:15" x14ac:dyDescent="0.35">
      <c r="A136" s="330" t="s">
        <v>2447</v>
      </c>
      <c r="B136" s="330" t="s">
        <v>2312</v>
      </c>
      <c r="C136" s="330" t="s">
        <v>2310</v>
      </c>
      <c r="D136" s="331">
        <v>82</v>
      </c>
      <c r="E136" s="331">
        <v>73</v>
      </c>
      <c r="F136" s="331">
        <v>62</v>
      </c>
      <c r="G136" s="331">
        <v>87</v>
      </c>
      <c r="H136" s="332">
        <v>21</v>
      </c>
      <c r="I136" s="332">
        <v>25</v>
      </c>
      <c r="J136" s="333">
        <v>22</v>
      </c>
      <c r="K136" s="333">
        <v>20</v>
      </c>
      <c r="L136" s="333">
        <v>24</v>
      </c>
      <c r="M136" s="333">
        <v>23</v>
      </c>
      <c r="N136" s="334">
        <f t="shared" si="2"/>
        <v>83.05</v>
      </c>
      <c r="O136" s="334" t="str">
        <f t="shared" si="3"/>
        <v>B</v>
      </c>
    </row>
    <row r="137" spans="1:15" x14ac:dyDescent="0.35">
      <c r="A137" s="330" t="s">
        <v>2448</v>
      </c>
      <c r="B137" s="330" t="s">
        <v>2309</v>
      </c>
      <c r="C137" s="330" t="s">
        <v>2310</v>
      </c>
      <c r="D137" s="331">
        <v>100</v>
      </c>
      <c r="E137" s="331">
        <v>91</v>
      </c>
      <c r="F137" s="331">
        <v>68</v>
      </c>
      <c r="G137" s="331">
        <v>95</v>
      </c>
      <c r="H137" s="332">
        <v>22</v>
      </c>
      <c r="I137" s="332">
        <v>17</v>
      </c>
      <c r="J137" s="333">
        <v>24</v>
      </c>
      <c r="K137" s="333">
        <v>21</v>
      </c>
      <c r="L137" s="333">
        <v>23</v>
      </c>
      <c r="M137" s="333">
        <v>23</v>
      </c>
      <c r="N137" s="334">
        <f t="shared" si="2"/>
        <v>92.95</v>
      </c>
      <c r="O137" s="334" t="str">
        <f t="shared" si="3"/>
        <v>A</v>
      </c>
    </row>
    <row r="138" spans="1:15" x14ac:dyDescent="0.35">
      <c r="A138" s="330" t="s">
        <v>2449</v>
      </c>
      <c r="B138" s="330" t="s">
        <v>2316</v>
      </c>
      <c r="C138" s="330" t="s">
        <v>2310</v>
      </c>
      <c r="D138" s="331">
        <v>86</v>
      </c>
      <c r="E138" s="331">
        <v>73</v>
      </c>
      <c r="F138" s="331">
        <v>91</v>
      </c>
      <c r="G138" s="331">
        <v>90</v>
      </c>
      <c r="H138" s="332">
        <v>23</v>
      </c>
      <c r="I138" s="332">
        <v>21</v>
      </c>
      <c r="J138" s="333">
        <v>22</v>
      </c>
      <c r="K138" s="333">
        <v>21</v>
      </c>
      <c r="L138" s="333">
        <v>25</v>
      </c>
      <c r="M138" s="333">
        <v>19</v>
      </c>
      <c r="N138" s="334">
        <f t="shared" si="2"/>
        <v>88.6</v>
      </c>
      <c r="O138" s="334" t="str">
        <f t="shared" si="3"/>
        <v>B</v>
      </c>
    </row>
    <row r="139" spans="1:15" x14ac:dyDescent="0.35">
      <c r="A139" s="330" t="s">
        <v>2450</v>
      </c>
      <c r="B139" s="330" t="s">
        <v>2316</v>
      </c>
      <c r="C139" s="330" t="s">
        <v>2310</v>
      </c>
      <c r="D139" s="331">
        <v>82</v>
      </c>
      <c r="E139" s="331">
        <v>76</v>
      </c>
      <c r="F139" s="331">
        <v>81</v>
      </c>
      <c r="G139" s="331">
        <v>76</v>
      </c>
      <c r="H139" s="332">
        <v>21</v>
      </c>
      <c r="I139" s="332">
        <v>21</v>
      </c>
      <c r="J139" s="333">
        <v>25</v>
      </c>
      <c r="K139" s="333">
        <v>25</v>
      </c>
      <c r="L139" s="333">
        <v>25</v>
      </c>
      <c r="M139" s="333">
        <v>20</v>
      </c>
      <c r="N139" s="334">
        <f t="shared" ref="N139:N202" si="4">SUM(AVERAGE(LARGE(D139:G139,1),LARGE(D139:G139,2),LARGE(D139:G139,3))/100*75,AVERAGE(H139:I139)/25*10,AVERAGE(J139:M139)/25*15)</f>
        <v>82.4</v>
      </c>
      <c r="O139" s="334" t="str">
        <f t="shared" ref="O139:O202" si="5">IF(N139&gt;=90,"A",IF(N139&gt;=83,"B",IF(N139&gt;=73,"C",IF(N139&gt;=65,"D","F"))))</f>
        <v>C</v>
      </c>
    </row>
    <row r="140" spans="1:15" x14ac:dyDescent="0.35">
      <c r="A140" s="330" t="s">
        <v>2451</v>
      </c>
      <c r="B140" s="330" t="s">
        <v>2309</v>
      </c>
      <c r="C140" s="330" t="s">
        <v>2310</v>
      </c>
      <c r="D140" s="331">
        <v>85</v>
      </c>
      <c r="E140" s="331">
        <v>83</v>
      </c>
      <c r="F140" s="331">
        <v>69</v>
      </c>
      <c r="G140" s="331">
        <v>83</v>
      </c>
      <c r="H140" s="332">
        <v>20</v>
      </c>
      <c r="I140" s="332">
        <v>18</v>
      </c>
      <c r="J140" s="333">
        <v>22</v>
      </c>
      <c r="K140" s="333">
        <v>21</v>
      </c>
      <c r="L140" s="333">
        <v>22</v>
      </c>
      <c r="M140" s="333">
        <v>21</v>
      </c>
      <c r="N140" s="334">
        <f t="shared" si="4"/>
        <v>83.25</v>
      </c>
      <c r="O140" s="334" t="str">
        <f t="shared" si="5"/>
        <v>B</v>
      </c>
    </row>
    <row r="141" spans="1:15" x14ac:dyDescent="0.35">
      <c r="A141" s="330" t="s">
        <v>2452</v>
      </c>
      <c r="B141" s="330" t="s">
        <v>2309</v>
      </c>
      <c r="C141" s="330" t="s">
        <v>2313</v>
      </c>
      <c r="D141" s="331">
        <v>96</v>
      </c>
      <c r="E141" s="331">
        <v>78</v>
      </c>
      <c r="F141" s="331">
        <v>77</v>
      </c>
      <c r="G141" s="331">
        <v>95</v>
      </c>
      <c r="H141" s="332">
        <v>23</v>
      </c>
      <c r="I141" s="332">
        <v>21</v>
      </c>
      <c r="J141" s="333">
        <v>22</v>
      </c>
      <c r="K141" s="333">
        <v>18</v>
      </c>
      <c r="L141" s="333">
        <v>22</v>
      </c>
      <c r="M141" s="333">
        <v>25</v>
      </c>
      <c r="N141" s="334">
        <f t="shared" si="4"/>
        <v>89.1</v>
      </c>
      <c r="O141" s="334" t="str">
        <f t="shared" si="5"/>
        <v>B</v>
      </c>
    </row>
    <row r="142" spans="1:15" x14ac:dyDescent="0.35">
      <c r="A142" s="330" t="s">
        <v>2453</v>
      </c>
      <c r="B142" s="330" t="s">
        <v>2316</v>
      </c>
      <c r="C142" s="330" t="s">
        <v>2310</v>
      </c>
      <c r="D142" s="331">
        <v>95</v>
      </c>
      <c r="E142" s="331">
        <v>78</v>
      </c>
      <c r="F142" s="331">
        <v>64</v>
      </c>
      <c r="G142" s="331">
        <v>93</v>
      </c>
      <c r="H142" s="332">
        <v>22</v>
      </c>
      <c r="I142" s="332">
        <v>24</v>
      </c>
      <c r="J142" s="333">
        <v>23</v>
      </c>
      <c r="K142" s="333">
        <v>25</v>
      </c>
      <c r="L142" s="333">
        <v>24</v>
      </c>
      <c r="M142" s="333">
        <v>23</v>
      </c>
      <c r="N142" s="334">
        <f t="shared" si="4"/>
        <v>89.95</v>
      </c>
      <c r="O142" s="334" t="str">
        <f t="shared" si="5"/>
        <v>B</v>
      </c>
    </row>
    <row r="143" spans="1:15" x14ac:dyDescent="0.35">
      <c r="A143" s="330" t="s">
        <v>2454</v>
      </c>
      <c r="B143" s="330" t="s">
        <v>2309</v>
      </c>
      <c r="C143" s="330" t="s">
        <v>2313</v>
      </c>
      <c r="D143" s="331">
        <v>81</v>
      </c>
      <c r="E143" s="331">
        <v>90</v>
      </c>
      <c r="F143" s="331">
        <v>87</v>
      </c>
      <c r="G143" s="331">
        <v>80</v>
      </c>
      <c r="H143" s="332">
        <v>22</v>
      </c>
      <c r="I143" s="332">
        <v>21</v>
      </c>
      <c r="J143" s="333">
        <v>24</v>
      </c>
      <c r="K143" s="333">
        <v>25</v>
      </c>
      <c r="L143" s="333">
        <v>25</v>
      </c>
      <c r="M143" s="333">
        <v>22</v>
      </c>
      <c r="N143" s="334">
        <f t="shared" si="4"/>
        <v>87.5</v>
      </c>
      <c r="O143" s="334" t="str">
        <f t="shared" si="5"/>
        <v>B</v>
      </c>
    </row>
    <row r="144" spans="1:15" x14ac:dyDescent="0.35">
      <c r="A144" s="330" t="s">
        <v>2455</v>
      </c>
      <c r="B144" s="330" t="s">
        <v>2316</v>
      </c>
      <c r="C144" s="330" t="s">
        <v>2313</v>
      </c>
      <c r="D144" s="331">
        <v>96</v>
      </c>
      <c r="E144" s="331">
        <v>91</v>
      </c>
      <c r="F144" s="331">
        <v>98</v>
      </c>
      <c r="G144" s="331">
        <v>100</v>
      </c>
      <c r="H144" s="332">
        <v>21</v>
      </c>
      <c r="I144" s="332">
        <v>23</v>
      </c>
      <c r="J144" s="333">
        <v>24</v>
      </c>
      <c r="K144" s="333">
        <v>25</v>
      </c>
      <c r="L144" s="333">
        <v>24</v>
      </c>
      <c r="M144" s="333">
        <v>20</v>
      </c>
      <c r="N144" s="334">
        <f t="shared" si="4"/>
        <v>96.25</v>
      </c>
      <c r="O144" s="334" t="str">
        <f t="shared" si="5"/>
        <v>A</v>
      </c>
    </row>
    <row r="145" spans="1:15" x14ac:dyDescent="0.35">
      <c r="A145" s="330" t="s">
        <v>2456</v>
      </c>
      <c r="B145" s="330" t="s">
        <v>2316</v>
      </c>
      <c r="C145" s="330" t="s">
        <v>2313</v>
      </c>
      <c r="D145" s="331">
        <v>94</v>
      </c>
      <c r="E145" s="331">
        <v>81</v>
      </c>
      <c r="F145" s="331">
        <v>81</v>
      </c>
      <c r="G145" s="331">
        <v>96</v>
      </c>
      <c r="H145" s="332">
        <v>22</v>
      </c>
      <c r="I145" s="332">
        <v>24</v>
      </c>
      <c r="J145" s="333">
        <v>22</v>
      </c>
      <c r="K145" s="333">
        <v>23</v>
      </c>
      <c r="L145" s="333">
        <v>22</v>
      </c>
      <c r="M145" s="333">
        <v>23</v>
      </c>
      <c r="N145" s="334">
        <f t="shared" si="4"/>
        <v>90.45</v>
      </c>
      <c r="O145" s="334" t="str">
        <f t="shared" si="5"/>
        <v>A</v>
      </c>
    </row>
    <row r="146" spans="1:15" x14ac:dyDescent="0.35">
      <c r="A146" s="330" t="s">
        <v>2457</v>
      </c>
      <c r="B146" s="330" t="s">
        <v>2316</v>
      </c>
      <c r="C146" s="330" t="s">
        <v>2313</v>
      </c>
      <c r="D146" s="331">
        <v>92</v>
      </c>
      <c r="E146" s="331">
        <v>75</v>
      </c>
      <c r="F146" s="331">
        <v>64</v>
      </c>
      <c r="G146" s="331">
        <v>85</v>
      </c>
      <c r="H146" s="332">
        <v>24</v>
      </c>
      <c r="I146" s="332">
        <v>22</v>
      </c>
      <c r="J146" s="333">
        <v>25</v>
      </c>
      <c r="K146" s="333">
        <v>20</v>
      </c>
      <c r="L146" s="333">
        <v>25</v>
      </c>
      <c r="M146" s="333">
        <v>21</v>
      </c>
      <c r="N146" s="334">
        <f t="shared" si="4"/>
        <v>85.850000000000009</v>
      </c>
      <c r="O146" s="334" t="str">
        <f t="shared" si="5"/>
        <v>B</v>
      </c>
    </row>
    <row r="147" spans="1:15" x14ac:dyDescent="0.35">
      <c r="A147" s="330" t="s">
        <v>1882</v>
      </c>
      <c r="B147" s="330" t="s">
        <v>2316</v>
      </c>
      <c r="C147" s="330" t="s">
        <v>2310</v>
      </c>
      <c r="D147" s="331">
        <v>41</v>
      </c>
      <c r="E147" s="331">
        <v>42</v>
      </c>
      <c r="F147" s="331">
        <v>49</v>
      </c>
      <c r="G147" s="331">
        <v>42</v>
      </c>
      <c r="H147" s="332">
        <v>21</v>
      </c>
      <c r="I147" s="332">
        <v>21</v>
      </c>
      <c r="J147" s="333">
        <v>25</v>
      </c>
      <c r="K147" s="333">
        <v>19</v>
      </c>
      <c r="L147" s="333">
        <v>25</v>
      </c>
      <c r="M147" s="333">
        <v>23</v>
      </c>
      <c r="N147" s="334">
        <f t="shared" si="4"/>
        <v>55.45</v>
      </c>
      <c r="O147" s="334" t="str">
        <f t="shared" si="5"/>
        <v>F</v>
      </c>
    </row>
    <row r="148" spans="1:15" x14ac:dyDescent="0.35">
      <c r="A148" s="330" t="s">
        <v>1859</v>
      </c>
      <c r="B148" s="330" t="s">
        <v>2309</v>
      </c>
      <c r="C148" s="330" t="s">
        <v>2310</v>
      </c>
      <c r="D148" s="331">
        <v>58</v>
      </c>
      <c r="E148" s="331">
        <v>42</v>
      </c>
      <c r="F148" s="331">
        <v>49</v>
      </c>
      <c r="G148" s="331">
        <v>48</v>
      </c>
      <c r="H148" s="332">
        <v>23</v>
      </c>
      <c r="I148" s="332">
        <v>18</v>
      </c>
      <c r="J148" s="333">
        <v>16</v>
      </c>
      <c r="K148" s="333">
        <v>16</v>
      </c>
      <c r="L148" s="333">
        <v>17</v>
      </c>
      <c r="M148" s="333">
        <v>19</v>
      </c>
      <c r="N148" s="334">
        <f t="shared" si="4"/>
        <v>57.149999999999991</v>
      </c>
      <c r="O148" s="334" t="str">
        <f t="shared" si="5"/>
        <v>F</v>
      </c>
    </row>
    <row r="149" spans="1:15" x14ac:dyDescent="0.35">
      <c r="A149" s="330" t="s">
        <v>2458</v>
      </c>
      <c r="B149" s="330" t="s">
        <v>2309</v>
      </c>
      <c r="C149" s="330" t="s">
        <v>2313</v>
      </c>
      <c r="D149" s="331">
        <v>44</v>
      </c>
      <c r="E149" s="331">
        <v>40</v>
      </c>
      <c r="F149" s="331">
        <v>49</v>
      </c>
      <c r="G149" s="331">
        <v>57</v>
      </c>
      <c r="H149" s="332">
        <v>25</v>
      </c>
      <c r="I149" s="332">
        <v>25</v>
      </c>
      <c r="J149" s="333">
        <v>18</v>
      </c>
      <c r="K149" s="333">
        <v>19</v>
      </c>
      <c r="L149" s="333">
        <v>20</v>
      </c>
      <c r="M149" s="333">
        <v>18</v>
      </c>
      <c r="N149" s="334">
        <f t="shared" si="4"/>
        <v>58.75</v>
      </c>
      <c r="O149" s="334" t="str">
        <f t="shared" si="5"/>
        <v>F</v>
      </c>
    </row>
    <row r="150" spans="1:15" x14ac:dyDescent="0.35">
      <c r="A150" s="330" t="s">
        <v>2459</v>
      </c>
      <c r="B150" s="330" t="s">
        <v>2316</v>
      </c>
      <c r="C150" s="330" t="s">
        <v>2313</v>
      </c>
      <c r="D150" s="331">
        <v>47</v>
      </c>
      <c r="E150" s="331">
        <v>51</v>
      </c>
      <c r="F150" s="331">
        <v>59</v>
      </c>
      <c r="G150" s="331">
        <v>52</v>
      </c>
      <c r="H150" s="332">
        <v>25</v>
      </c>
      <c r="I150" s="332">
        <v>18</v>
      </c>
      <c r="J150" s="333">
        <v>20</v>
      </c>
      <c r="K150" s="333">
        <v>17</v>
      </c>
      <c r="L150" s="333">
        <v>16</v>
      </c>
      <c r="M150" s="333">
        <v>15</v>
      </c>
      <c r="N150" s="334">
        <f t="shared" si="4"/>
        <v>59.300000000000004</v>
      </c>
      <c r="O150" s="334" t="str">
        <f t="shared" si="5"/>
        <v>F</v>
      </c>
    </row>
    <row r="151" spans="1:15" x14ac:dyDescent="0.35">
      <c r="A151" s="330" t="s">
        <v>2460</v>
      </c>
      <c r="B151" s="330" t="s">
        <v>2316</v>
      </c>
      <c r="C151" s="330" t="s">
        <v>2313</v>
      </c>
      <c r="D151" s="331">
        <v>41</v>
      </c>
      <c r="E151" s="331">
        <v>55</v>
      </c>
      <c r="F151" s="331">
        <v>55</v>
      </c>
      <c r="G151" s="331">
        <v>51</v>
      </c>
      <c r="H151" s="332">
        <v>24</v>
      </c>
      <c r="I151" s="332">
        <v>22</v>
      </c>
      <c r="J151" s="333">
        <v>15</v>
      </c>
      <c r="K151" s="333">
        <v>17</v>
      </c>
      <c r="L151" s="333">
        <v>17</v>
      </c>
      <c r="M151" s="333">
        <v>17</v>
      </c>
      <c r="N151" s="334">
        <f t="shared" si="4"/>
        <v>59.35</v>
      </c>
      <c r="O151" s="334" t="str">
        <f t="shared" si="5"/>
        <v>F</v>
      </c>
    </row>
    <row r="152" spans="1:15" x14ac:dyDescent="0.35">
      <c r="A152" s="330" t="s">
        <v>2461</v>
      </c>
      <c r="B152" s="330" t="s">
        <v>2309</v>
      </c>
      <c r="C152" s="330" t="s">
        <v>2313</v>
      </c>
      <c r="D152" s="331">
        <v>47</v>
      </c>
      <c r="E152" s="331">
        <v>60</v>
      </c>
      <c r="F152" s="331">
        <v>56</v>
      </c>
      <c r="G152" s="331">
        <v>42</v>
      </c>
      <c r="H152" s="332">
        <v>20</v>
      </c>
      <c r="I152" s="332">
        <v>15</v>
      </c>
      <c r="J152" s="333">
        <v>20</v>
      </c>
      <c r="K152" s="333">
        <v>16</v>
      </c>
      <c r="L152" s="333">
        <v>15</v>
      </c>
      <c r="M152" s="333">
        <v>16</v>
      </c>
      <c r="N152" s="334">
        <f t="shared" si="4"/>
        <v>57.8</v>
      </c>
      <c r="O152" s="334" t="str">
        <f t="shared" si="5"/>
        <v>F</v>
      </c>
    </row>
    <row r="153" spans="1:15" x14ac:dyDescent="0.35">
      <c r="A153" s="330" t="s">
        <v>2462</v>
      </c>
      <c r="B153" s="330" t="s">
        <v>2309</v>
      </c>
      <c r="C153" s="330" t="s">
        <v>2313</v>
      </c>
      <c r="D153" s="331">
        <v>51</v>
      </c>
      <c r="E153" s="331">
        <v>46</v>
      </c>
      <c r="F153" s="331">
        <v>45</v>
      </c>
      <c r="G153" s="331">
        <v>52</v>
      </c>
      <c r="H153" s="332">
        <v>21</v>
      </c>
      <c r="I153" s="332">
        <v>17</v>
      </c>
      <c r="J153" s="333">
        <v>19</v>
      </c>
      <c r="K153" s="333">
        <v>15</v>
      </c>
      <c r="L153" s="333">
        <v>20</v>
      </c>
      <c r="M153" s="333">
        <v>16</v>
      </c>
      <c r="N153" s="334">
        <f t="shared" si="4"/>
        <v>55.35</v>
      </c>
      <c r="O153" s="334" t="str">
        <f t="shared" si="5"/>
        <v>F</v>
      </c>
    </row>
    <row r="154" spans="1:15" x14ac:dyDescent="0.35">
      <c r="A154" s="330" t="s">
        <v>2463</v>
      </c>
      <c r="B154" s="330" t="s">
        <v>2312</v>
      </c>
      <c r="C154" s="330" t="s">
        <v>2310</v>
      </c>
      <c r="D154" s="331">
        <v>48</v>
      </c>
      <c r="E154" s="331">
        <v>42</v>
      </c>
      <c r="F154" s="331">
        <v>47</v>
      </c>
      <c r="G154" s="331">
        <v>41</v>
      </c>
      <c r="H154" s="332">
        <v>25</v>
      </c>
      <c r="I154" s="332">
        <v>17</v>
      </c>
      <c r="J154" s="333">
        <v>16</v>
      </c>
      <c r="K154" s="333">
        <v>17</v>
      </c>
      <c r="L154" s="333">
        <v>15</v>
      </c>
      <c r="M154" s="333">
        <v>20</v>
      </c>
      <c r="N154" s="334">
        <f t="shared" si="4"/>
        <v>52.85</v>
      </c>
      <c r="O154" s="334" t="str">
        <f t="shared" si="5"/>
        <v>F</v>
      </c>
    </row>
    <row r="155" spans="1:15" x14ac:dyDescent="0.35">
      <c r="A155" s="330" t="s">
        <v>2464</v>
      </c>
      <c r="B155" s="330" t="s">
        <v>2309</v>
      </c>
      <c r="C155" s="330" t="s">
        <v>2313</v>
      </c>
      <c r="D155" s="331">
        <v>48</v>
      </c>
      <c r="E155" s="331">
        <v>54</v>
      </c>
      <c r="F155" s="331">
        <v>48</v>
      </c>
      <c r="G155" s="331">
        <v>60</v>
      </c>
      <c r="H155" s="332">
        <v>24</v>
      </c>
      <c r="I155" s="332">
        <v>17</v>
      </c>
      <c r="J155" s="333">
        <v>15</v>
      </c>
      <c r="K155" s="333">
        <v>17</v>
      </c>
      <c r="L155" s="333">
        <v>18</v>
      </c>
      <c r="M155" s="333">
        <v>16</v>
      </c>
      <c r="N155" s="334">
        <f t="shared" si="4"/>
        <v>58.6</v>
      </c>
      <c r="O155" s="334" t="str">
        <f t="shared" si="5"/>
        <v>F</v>
      </c>
    </row>
    <row r="156" spans="1:15" x14ac:dyDescent="0.35">
      <c r="A156" s="330" t="s">
        <v>2465</v>
      </c>
      <c r="B156" s="330" t="s">
        <v>2309</v>
      </c>
      <c r="C156" s="330" t="s">
        <v>2313</v>
      </c>
      <c r="D156" s="331">
        <v>59</v>
      </c>
      <c r="E156" s="331">
        <v>45</v>
      </c>
      <c r="F156" s="331">
        <v>52</v>
      </c>
      <c r="G156" s="331">
        <v>46</v>
      </c>
      <c r="H156" s="332">
        <v>25</v>
      </c>
      <c r="I156" s="332">
        <v>17</v>
      </c>
      <c r="J156" s="333">
        <v>16</v>
      </c>
      <c r="K156" s="333">
        <v>18</v>
      </c>
      <c r="L156" s="333">
        <v>18</v>
      </c>
      <c r="M156" s="333">
        <v>20</v>
      </c>
      <c r="N156" s="334">
        <f t="shared" si="4"/>
        <v>58.449999999999996</v>
      </c>
      <c r="O156" s="334" t="str">
        <f t="shared" si="5"/>
        <v>F</v>
      </c>
    </row>
    <row r="157" spans="1:15" x14ac:dyDescent="0.35">
      <c r="A157" s="330" t="s">
        <v>2466</v>
      </c>
      <c r="B157" s="330" t="s">
        <v>2309</v>
      </c>
      <c r="C157" s="330" t="s">
        <v>2313</v>
      </c>
      <c r="D157" s="331">
        <v>43</v>
      </c>
      <c r="E157" s="331">
        <v>41</v>
      </c>
      <c r="F157" s="331">
        <v>58</v>
      </c>
      <c r="G157" s="331">
        <v>54</v>
      </c>
      <c r="H157" s="332">
        <v>23</v>
      </c>
      <c r="I157" s="332">
        <v>20</v>
      </c>
      <c r="J157" s="333">
        <v>18</v>
      </c>
      <c r="K157" s="333">
        <v>17</v>
      </c>
      <c r="L157" s="333">
        <v>18</v>
      </c>
      <c r="M157" s="333">
        <v>19</v>
      </c>
      <c r="N157" s="334">
        <f t="shared" si="4"/>
        <v>58.149999999999991</v>
      </c>
      <c r="O157" s="334" t="str">
        <f t="shared" si="5"/>
        <v>F</v>
      </c>
    </row>
    <row r="158" spans="1:15" x14ac:dyDescent="0.35">
      <c r="A158" s="330" t="s">
        <v>2467</v>
      </c>
      <c r="B158" s="330" t="s">
        <v>2309</v>
      </c>
      <c r="C158" s="330" t="s">
        <v>2310</v>
      </c>
      <c r="D158" s="331">
        <v>54</v>
      </c>
      <c r="E158" s="331">
        <v>58</v>
      </c>
      <c r="F158" s="331">
        <v>67</v>
      </c>
      <c r="G158" s="331">
        <v>51</v>
      </c>
      <c r="H158" s="332">
        <v>24</v>
      </c>
      <c r="I158" s="332">
        <v>21</v>
      </c>
      <c r="J158" s="333">
        <v>18</v>
      </c>
      <c r="K158" s="333">
        <v>20</v>
      </c>
      <c r="L158" s="333">
        <v>17</v>
      </c>
      <c r="M158" s="333">
        <v>15</v>
      </c>
      <c r="N158" s="334">
        <f t="shared" si="4"/>
        <v>64.25</v>
      </c>
      <c r="O158" s="334" t="str">
        <f t="shared" si="5"/>
        <v>F</v>
      </c>
    </row>
    <row r="159" spans="1:15" x14ac:dyDescent="0.35">
      <c r="A159" s="330" t="s">
        <v>2468</v>
      </c>
      <c r="B159" s="330" t="s">
        <v>2309</v>
      </c>
      <c r="C159" s="330" t="s">
        <v>2313</v>
      </c>
      <c r="D159" s="331">
        <v>51</v>
      </c>
      <c r="E159" s="331">
        <v>52</v>
      </c>
      <c r="F159" s="331">
        <v>58</v>
      </c>
      <c r="G159" s="331">
        <v>58</v>
      </c>
      <c r="H159" s="332">
        <v>20</v>
      </c>
      <c r="I159" s="332">
        <v>18</v>
      </c>
      <c r="J159" s="333">
        <v>16</v>
      </c>
      <c r="K159" s="333">
        <v>20</v>
      </c>
      <c r="L159" s="333">
        <v>20</v>
      </c>
      <c r="M159" s="333">
        <v>17</v>
      </c>
      <c r="N159" s="334">
        <f t="shared" si="4"/>
        <v>60.550000000000011</v>
      </c>
      <c r="O159" s="334" t="str">
        <f t="shared" si="5"/>
        <v>F</v>
      </c>
    </row>
    <row r="160" spans="1:15" x14ac:dyDescent="0.35">
      <c r="A160" s="330" t="s">
        <v>2469</v>
      </c>
      <c r="B160" s="330" t="s">
        <v>2309</v>
      </c>
      <c r="C160" s="330" t="s">
        <v>2313</v>
      </c>
      <c r="D160" s="331">
        <v>60</v>
      </c>
      <c r="E160" s="331">
        <v>51</v>
      </c>
      <c r="F160" s="331">
        <v>67</v>
      </c>
      <c r="G160" s="331">
        <v>58</v>
      </c>
      <c r="H160" s="332">
        <v>25</v>
      </c>
      <c r="I160" s="332">
        <v>19</v>
      </c>
      <c r="J160" s="333">
        <v>17</v>
      </c>
      <c r="K160" s="333">
        <v>15</v>
      </c>
      <c r="L160" s="333">
        <v>20</v>
      </c>
      <c r="M160" s="333">
        <v>17</v>
      </c>
      <c r="N160" s="334">
        <f t="shared" si="4"/>
        <v>65.399999999999991</v>
      </c>
      <c r="O160" s="334" t="str">
        <f t="shared" si="5"/>
        <v>D</v>
      </c>
    </row>
    <row r="161" spans="1:15" x14ac:dyDescent="0.35">
      <c r="A161" s="330" t="s">
        <v>2470</v>
      </c>
      <c r="B161" s="330" t="s">
        <v>2312</v>
      </c>
      <c r="C161" s="330" t="s">
        <v>2310</v>
      </c>
      <c r="D161" s="331">
        <v>53</v>
      </c>
      <c r="E161" s="331">
        <v>67</v>
      </c>
      <c r="F161" s="331">
        <v>59</v>
      </c>
      <c r="G161" s="331">
        <v>53</v>
      </c>
      <c r="H161" s="332">
        <v>24</v>
      </c>
      <c r="I161" s="332">
        <v>21</v>
      </c>
      <c r="J161" s="333">
        <v>25</v>
      </c>
      <c r="K161" s="333">
        <v>25</v>
      </c>
      <c r="L161" s="333">
        <v>23</v>
      </c>
      <c r="M161" s="333">
        <v>18</v>
      </c>
      <c r="N161" s="334">
        <f t="shared" si="4"/>
        <v>67.400000000000006</v>
      </c>
      <c r="O161" s="334" t="str">
        <f t="shared" si="5"/>
        <v>D</v>
      </c>
    </row>
    <row r="162" spans="1:15" x14ac:dyDescent="0.35">
      <c r="A162" s="330" t="s">
        <v>2471</v>
      </c>
      <c r="B162" s="330" t="s">
        <v>2309</v>
      </c>
      <c r="C162" s="330" t="s">
        <v>2313</v>
      </c>
      <c r="D162" s="331">
        <v>84</v>
      </c>
      <c r="E162" s="331">
        <v>98</v>
      </c>
      <c r="F162" s="331">
        <v>76</v>
      </c>
      <c r="G162" s="331">
        <v>52</v>
      </c>
      <c r="H162" s="332">
        <v>20</v>
      </c>
      <c r="I162" s="332">
        <v>16</v>
      </c>
      <c r="J162" s="333">
        <v>22</v>
      </c>
      <c r="K162" s="333">
        <v>22</v>
      </c>
      <c r="L162" s="333">
        <v>25</v>
      </c>
      <c r="M162" s="333">
        <v>22</v>
      </c>
      <c r="N162" s="334">
        <f t="shared" si="4"/>
        <v>85.350000000000009</v>
      </c>
      <c r="O162" s="334" t="str">
        <f t="shared" si="5"/>
        <v>B</v>
      </c>
    </row>
    <row r="163" spans="1:15" x14ac:dyDescent="0.35">
      <c r="A163" s="330" t="s">
        <v>2472</v>
      </c>
      <c r="B163" s="330" t="s">
        <v>2312</v>
      </c>
      <c r="C163" s="330" t="s">
        <v>2313</v>
      </c>
      <c r="D163" s="331">
        <v>100</v>
      </c>
      <c r="E163" s="331">
        <v>85</v>
      </c>
      <c r="F163" s="331">
        <v>88</v>
      </c>
      <c r="G163" s="331">
        <v>58</v>
      </c>
      <c r="H163" s="332">
        <v>22</v>
      </c>
      <c r="I163" s="332">
        <v>23</v>
      </c>
      <c r="J163" s="333">
        <v>22</v>
      </c>
      <c r="K163" s="333">
        <v>20</v>
      </c>
      <c r="L163" s="333">
        <v>22</v>
      </c>
      <c r="M163" s="333">
        <v>23</v>
      </c>
      <c r="N163" s="334">
        <f t="shared" si="4"/>
        <v>90.3</v>
      </c>
      <c r="O163" s="334" t="str">
        <f t="shared" si="5"/>
        <v>A</v>
      </c>
    </row>
    <row r="164" spans="1:15" x14ac:dyDescent="0.35">
      <c r="A164" s="330" t="s">
        <v>2473</v>
      </c>
      <c r="B164" s="330" t="s">
        <v>2312</v>
      </c>
      <c r="C164" s="330" t="s">
        <v>2310</v>
      </c>
      <c r="D164" s="331">
        <v>83</v>
      </c>
      <c r="E164" s="331">
        <v>81</v>
      </c>
      <c r="F164" s="331">
        <v>79</v>
      </c>
      <c r="G164" s="331">
        <v>98</v>
      </c>
      <c r="H164" s="332">
        <v>21</v>
      </c>
      <c r="I164" s="332">
        <v>17</v>
      </c>
      <c r="J164" s="333">
        <v>25</v>
      </c>
      <c r="K164" s="333">
        <v>24</v>
      </c>
      <c r="L164" s="333">
        <v>23</v>
      </c>
      <c r="M164" s="333">
        <v>20</v>
      </c>
      <c r="N164" s="334">
        <f t="shared" si="4"/>
        <v>86.899999999999991</v>
      </c>
      <c r="O164" s="334" t="str">
        <f t="shared" si="5"/>
        <v>B</v>
      </c>
    </row>
    <row r="165" spans="1:15" x14ac:dyDescent="0.35">
      <c r="A165" s="330" t="s">
        <v>2474</v>
      </c>
      <c r="B165" s="330" t="s">
        <v>2312</v>
      </c>
      <c r="C165" s="330" t="s">
        <v>2310</v>
      </c>
      <c r="D165" s="331">
        <v>91</v>
      </c>
      <c r="E165" s="331">
        <v>84</v>
      </c>
      <c r="F165" s="331">
        <v>65</v>
      </c>
      <c r="G165" s="331">
        <v>90</v>
      </c>
      <c r="H165" s="332">
        <v>20</v>
      </c>
      <c r="I165" s="332">
        <v>17</v>
      </c>
      <c r="J165" s="333">
        <v>24</v>
      </c>
      <c r="K165" s="333">
        <v>20</v>
      </c>
      <c r="L165" s="333">
        <v>22</v>
      </c>
      <c r="M165" s="333">
        <v>23</v>
      </c>
      <c r="N165" s="334">
        <f t="shared" si="4"/>
        <v>87</v>
      </c>
      <c r="O165" s="334" t="str">
        <f t="shared" si="5"/>
        <v>B</v>
      </c>
    </row>
    <row r="166" spans="1:15" x14ac:dyDescent="0.35">
      <c r="A166" s="330" t="s">
        <v>2475</v>
      </c>
      <c r="B166" s="330" t="s">
        <v>2312</v>
      </c>
      <c r="C166" s="330" t="s">
        <v>2310</v>
      </c>
      <c r="D166" s="331">
        <v>91</v>
      </c>
      <c r="E166" s="331">
        <v>79</v>
      </c>
      <c r="F166" s="331">
        <v>82</v>
      </c>
      <c r="G166" s="331">
        <v>86</v>
      </c>
      <c r="H166" s="332">
        <v>20</v>
      </c>
      <c r="I166" s="332">
        <v>24</v>
      </c>
      <c r="J166" s="333">
        <v>22</v>
      </c>
      <c r="K166" s="333">
        <v>22</v>
      </c>
      <c r="L166" s="333">
        <v>24</v>
      </c>
      <c r="M166" s="333">
        <v>25</v>
      </c>
      <c r="N166" s="334">
        <f t="shared" si="4"/>
        <v>87.5</v>
      </c>
      <c r="O166" s="334" t="str">
        <f t="shared" si="5"/>
        <v>B</v>
      </c>
    </row>
    <row r="167" spans="1:15" x14ac:dyDescent="0.35">
      <c r="A167" s="330" t="s">
        <v>2476</v>
      </c>
      <c r="B167" s="330" t="s">
        <v>2309</v>
      </c>
      <c r="C167" s="330" t="s">
        <v>2313</v>
      </c>
      <c r="D167" s="331">
        <v>89</v>
      </c>
      <c r="E167" s="331">
        <v>70</v>
      </c>
      <c r="F167" s="331">
        <v>82</v>
      </c>
      <c r="G167" s="331">
        <v>93</v>
      </c>
      <c r="H167" s="332">
        <v>23</v>
      </c>
      <c r="I167" s="332">
        <v>16</v>
      </c>
      <c r="J167" s="333">
        <v>23</v>
      </c>
      <c r="K167" s="333">
        <v>20</v>
      </c>
      <c r="L167" s="333">
        <v>24</v>
      </c>
      <c r="M167" s="333">
        <v>23</v>
      </c>
      <c r="N167" s="334">
        <f t="shared" si="4"/>
        <v>87.3</v>
      </c>
      <c r="O167" s="334" t="str">
        <f t="shared" si="5"/>
        <v>B</v>
      </c>
    </row>
    <row r="168" spans="1:15" x14ac:dyDescent="0.35">
      <c r="A168" s="330" t="s">
        <v>2477</v>
      </c>
      <c r="B168" s="330" t="s">
        <v>2316</v>
      </c>
      <c r="C168" s="330" t="s">
        <v>2313</v>
      </c>
      <c r="D168" s="331">
        <v>96</v>
      </c>
      <c r="E168" s="331">
        <v>82</v>
      </c>
      <c r="F168" s="331">
        <v>93</v>
      </c>
      <c r="G168" s="331">
        <v>86</v>
      </c>
      <c r="H168" s="332">
        <v>20</v>
      </c>
      <c r="I168" s="332">
        <v>16</v>
      </c>
      <c r="J168" s="333">
        <v>25</v>
      </c>
      <c r="K168" s="333">
        <v>22</v>
      </c>
      <c r="L168" s="333">
        <v>24</v>
      </c>
      <c r="M168" s="333">
        <v>19</v>
      </c>
      <c r="N168" s="334">
        <f t="shared" si="4"/>
        <v>89.45</v>
      </c>
      <c r="O168" s="334" t="str">
        <f t="shared" si="5"/>
        <v>B</v>
      </c>
    </row>
    <row r="169" spans="1:15" x14ac:dyDescent="0.35">
      <c r="A169" s="330" t="s">
        <v>2478</v>
      </c>
      <c r="B169" s="330" t="s">
        <v>2312</v>
      </c>
      <c r="C169" s="330" t="s">
        <v>2310</v>
      </c>
      <c r="D169" s="331">
        <v>97</v>
      </c>
      <c r="E169" s="331">
        <v>92</v>
      </c>
      <c r="F169" s="331">
        <v>81</v>
      </c>
      <c r="G169" s="331">
        <v>91</v>
      </c>
      <c r="H169" s="332">
        <v>20</v>
      </c>
      <c r="I169" s="332">
        <v>16</v>
      </c>
      <c r="J169" s="333">
        <v>22</v>
      </c>
      <c r="K169" s="333">
        <v>23</v>
      </c>
      <c r="L169" s="333">
        <v>22</v>
      </c>
      <c r="M169" s="333">
        <v>23</v>
      </c>
      <c r="N169" s="334">
        <f t="shared" si="4"/>
        <v>90.699999999999989</v>
      </c>
      <c r="O169" s="334" t="str">
        <f t="shared" si="5"/>
        <v>A</v>
      </c>
    </row>
    <row r="170" spans="1:15" x14ac:dyDescent="0.35">
      <c r="A170" s="330" t="s">
        <v>2479</v>
      </c>
      <c r="B170" s="330" t="s">
        <v>2316</v>
      </c>
      <c r="C170" s="330" t="s">
        <v>2310</v>
      </c>
      <c r="D170" s="331">
        <v>88</v>
      </c>
      <c r="E170" s="331">
        <v>77</v>
      </c>
      <c r="F170" s="331">
        <v>91</v>
      </c>
      <c r="G170" s="331">
        <v>88</v>
      </c>
      <c r="H170" s="332">
        <v>22</v>
      </c>
      <c r="I170" s="332">
        <v>17</v>
      </c>
      <c r="J170" s="333">
        <v>24</v>
      </c>
      <c r="K170" s="333">
        <v>24</v>
      </c>
      <c r="L170" s="333">
        <v>23</v>
      </c>
      <c r="M170" s="333">
        <v>24</v>
      </c>
      <c r="N170" s="334">
        <f t="shared" si="4"/>
        <v>88.8</v>
      </c>
      <c r="O170" s="334" t="str">
        <f t="shared" si="5"/>
        <v>B</v>
      </c>
    </row>
    <row r="171" spans="1:15" x14ac:dyDescent="0.35">
      <c r="A171" s="330" t="s">
        <v>2480</v>
      </c>
      <c r="B171" s="330" t="s">
        <v>2312</v>
      </c>
      <c r="C171" s="330" t="s">
        <v>2313</v>
      </c>
      <c r="D171" s="331">
        <v>90</v>
      </c>
      <c r="E171" s="331">
        <v>94</v>
      </c>
      <c r="F171" s="331">
        <v>61</v>
      </c>
      <c r="G171" s="331">
        <v>84</v>
      </c>
      <c r="H171" s="332">
        <v>23</v>
      </c>
      <c r="I171" s="332">
        <v>16</v>
      </c>
      <c r="J171" s="333">
        <v>24</v>
      </c>
      <c r="K171" s="333">
        <v>24</v>
      </c>
      <c r="L171" s="333">
        <v>22</v>
      </c>
      <c r="M171" s="333">
        <v>18</v>
      </c>
      <c r="N171" s="334">
        <f t="shared" si="4"/>
        <v>88</v>
      </c>
      <c r="O171" s="334" t="str">
        <f t="shared" si="5"/>
        <v>B</v>
      </c>
    </row>
    <row r="172" spans="1:15" x14ac:dyDescent="0.35">
      <c r="A172" s="330" t="s">
        <v>2481</v>
      </c>
      <c r="B172" s="330" t="s">
        <v>2316</v>
      </c>
      <c r="C172" s="330" t="s">
        <v>2310</v>
      </c>
      <c r="D172" s="331">
        <v>99</v>
      </c>
      <c r="E172" s="331">
        <v>78</v>
      </c>
      <c r="F172" s="331">
        <v>98</v>
      </c>
      <c r="G172" s="331">
        <v>93</v>
      </c>
      <c r="H172" s="332">
        <v>21</v>
      </c>
      <c r="I172" s="332">
        <v>19</v>
      </c>
      <c r="J172" s="333">
        <v>25</v>
      </c>
      <c r="K172" s="333">
        <v>21</v>
      </c>
      <c r="L172" s="333">
        <v>25</v>
      </c>
      <c r="M172" s="333">
        <v>25</v>
      </c>
      <c r="N172" s="334">
        <f t="shared" si="4"/>
        <v>94.9</v>
      </c>
      <c r="O172" s="334" t="str">
        <f t="shared" si="5"/>
        <v>A</v>
      </c>
    </row>
    <row r="173" spans="1:15" x14ac:dyDescent="0.35">
      <c r="A173" s="330" t="s">
        <v>2482</v>
      </c>
      <c r="B173" s="330" t="s">
        <v>2316</v>
      </c>
      <c r="C173" s="330" t="s">
        <v>2310</v>
      </c>
      <c r="D173" s="331">
        <v>88</v>
      </c>
      <c r="E173" s="331">
        <v>83</v>
      </c>
      <c r="F173" s="331">
        <v>92</v>
      </c>
      <c r="G173" s="331">
        <v>86</v>
      </c>
      <c r="H173" s="332">
        <v>20</v>
      </c>
      <c r="I173" s="332">
        <v>22</v>
      </c>
      <c r="J173" s="333">
        <v>22</v>
      </c>
      <c r="K173" s="333">
        <v>19</v>
      </c>
      <c r="L173" s="333">
        <v>23</v>
      </c>
      <c r="M173" s="333">
        <v>25</v>
      </c>
      <c r="N173" s="334">
        <f t="shared" si="4"/>
        <v>88.25</v>
      </c>
      <c r="O173" s="334" t="str">
        <f t="shared" si="5"/>
        <v>B</v>
      </c>
    </row>
    <row r="174" spans="1:15" x14ac:dyDescent="0.35">
      <c r="A174" s="330" t="s">
        <v>2483</v>
      </c>
      <c r="B174" s="330" t="s">
        <v>2309</v>
      </c>
      <c r="C174" s="330" t="s">
        <v>2310</v>
      </c>
      <c r="D174" s="331">
        <v>85</v>
      </c>
      <c r="E174" s="331">
        <v>74</v>
      </c>
      <c r="F174" s="331">
        <v>76</v>
      </c>
      <c r="G174" s="331">
        <v>92</v>
      </c>
      <c r="H174" s="332">
        <v>20</v>
      </c>
      <c r="I174" s="332">
        <v>19</v>
      </c>
      <c r="J174" s="333">
        <v>23</v>
      </c>
      <c r="K174" s="333">
        <v>21</v>
      </c>
      <c r="L174" s="333">
        <v>24</v>
      </c>
      <c r="M174" s="333">
        <v>21</v>
      </c>
      <c r="N174" s="334">
        <f t="shared" si="4"/>
        <v>84.399999999999991</v>
      </c>
      <c r="O174" s="334" t="str">
        <f t="shared" si="5"/>
        <v>B</v>
      </c>
    </row>
    <row r="175" spans="1:15" x14ac:dyDescent="0.35">
      <c r="A175" s="330" t="s">
        <v>2484</v>
      </c>
      <c r="B175" s="330" t="s">
        <v>2312</v>
      </c>
      <c r="C175" s="330" t="s">
        <v>2310</v>
      </c>
      <c r="D175" s="331">
        <v>98</v>
      </c>
      <c r="E175" s="331">
        <v>85</v>
      </c>
      <c r="F175" s="331">
        <v>99</v>
      </c>
      <c r="G175" s="331">
        <v>97</v>
      </c>
      <c r="H175" s="332">
        <v>21</v>
      </c>
      <c r="I175" s="332">
        <v>19</v>
      </c>
      <c r="J175" s="333">
        <v>23</v>
      </c>
      <c r="K175" s="333">
        <v>23</v>
      </c>
      <c r="L175" s="333">
        <v>25</v>
      </c>
      <c r="M175" s="333">
        <v>21</v>
      </c>
      <c r="N175" s="334">
        <f t="shared" si="4"/>
        <v>95.3</v>
      </c>
      <c r="O175" s="334" t="str">
        <f t="shared" si="5"/>
        <v>A</v>
      </c>
    </row>
    <row r="176" spans="1:15" x14ac:dyDescent="0.35">
      <c r="A176" s="330" t="s">
        <v>2485</v>
      </c>
      <c r="B176" s="330" t="s">
        <v>2309</v>
      </c>
      <c r="C176" s="330" t="s">
        <v>2313</v>
      </c>
      <c r="D176" s="331">
        <v>90</v>
      </c>
      <c r="E176" s="331">
        <v>72</v>
      </c>
      <c r="F176" s="331">
        <v>78</v>
      </c>
      <c r="G176" s="331">
        <v>89</v>
      </c>
      <c r="H176" s="332">
        <v>21</v>
      </c>
      <c r="I176" s="332">
        <v>21</v>
      </c>
      <c r="J176" s="333">
        <v>25</v>
      </c>
      <c r="K176" s="333">
        <v>22</v>
      </c>
      <c r="L176" s="333">
        <v>25</v>
      </c>
      <c r="M176" s="333">
        <v>23</v>
      </c>
      <c r="N176" s="334">
        <f t="shared" si="4"/>
        <v>86.9</v>
      </c>
      <c r="O176" s="334" t="str">
        <f t="shared" si="5"/>
        <v>B</v>
      </c>
    </row>
    <row r="177" spans="1:15" x14ac:dyDescent="0.35">
      <c r="A177" s="330" t="s">
        <v>2486</v>
      </c>
      <c r="B177" s="330" t="s">
        <v>2309</v>
      </c>
      <c r="C177" s="330" t="s">
        <v>2313</v>
      </c>
      <c r="D177" s="331">
        <v>86</v>
      </c>
      <c r="E177" s="331">
        <v>89</v>
      </c>
      <c r="F177" s="331">
        <v>90</v>
      </c>
      <c r="G177" s="331">
        <v>99</v>
      </c>
      <c r="H177" s="332">
        <v>23</v>
      </c>
      <c r="I177" s="332">
        <v>21</v>
      </c>
      <c r="J177" s="333">
        <v>25</v>
      </c>
      <c r="K177" s="333">
        <v>24</v>
      </c>
      <c r="L177" s="333">
        <v>24</v>
      </c>
      <c r="M177" s="333">
        <v>23</v>
      </c>
      <c r="N177" s="334">
        <f t="shared" si="4"/>
        <v>92.699999999999989</v>
      </c>
      <c r="O177" s="334" t="str">
        <f t="shared" si="5"/>
        <v>A</v>
      </c>
    </row>
    <row r="178" spans="1:15" x14ac:dyDescent="0.35">
      <c r="A178" s="330" t="s">
        <v>2487</v>
      </c>
      <c r="B178" s="330" t="s">
        <v>2312</v>
      </c>
      <c r="C178" s="330" t="s">
        <v>2313</v>
      </c>
      <c r="D178" s="331">
        <v>95</v>
      </c>
      <c r="E178" s="331">
        <v>75</v>
      </c>
      <c r="F178" s="331">
        <v>89</v>
      </c>
      <c r="G178" s="331">
        <v>98</v>
      </c>
      <c r="H178" s="332">
        <v>22</v>
      </c>
      <c r="I178" s="332">
        <v>19</v>
      </c>
      <c r="J178" s="333">
        <v>24</v>
      </c>
      <c r="K178" s="333">
        <v>21</v>
      </c>
      <c r="L178" s="333">
        <v>24</v>
      </c>
      <c r="M178" s="333">
        <v>24</v>
      </c>
      <c r="N178" s="334">
        <f t="shared" si="4"/>
        <v>92.65</v>
      </c>
      <c r="O178" s="334" t="str">
        <f t="shared" si="5"/>
        <v>A</v>
      </c>
    </row>
    <row r="179" spans="1:15" x14ac:dyDescent="0.35">
      <c r="A179" s="330" t="s">
        <v>2488</v>
      </c>
      <c r="B179" s="330" t="s">
        <v>2309</v>
      </c>
      <c r="C179" s="330" t="s">
        <v>2310</v>
      </c>
      <c r="D179" s="331">
        <v>85</v>
      </c>
      <c r="E179" s="331">
        <v>100</v>
      </c>
      <c r="F179" s="331">
        <v>80</v>
      </c>
      <c r="G179" s="331">
        <v>83</v>
      </c>
      <c r="H179" s="332">
        <v>23</v>
      </c>
      <c r="I179" s="332">
        <v>24</v>
      </c>
      <c r="J179" s="333">
        <v>23</v>
      </c>
      <c r="K179" s="333">
        <v>19</v>
      </c>
      <c r="L179" s="333">
        <v>23</v>
      </c>
      <c r="M179" s="333">
        <v>21</v>
      </c>
      <c r="N179" s="334">
        <f t="shared" si="4"/>
        <v>89.300000000000011</v>
      </c>
      <c r="O179" s="334" t="str">
        <f t="shared" si="5"/>
        <v>B</v>
      </c>
    </row>
    <row r="180" spans="1:15" x14ac:dyDescent="0.35">
      <c r="A180" s="330" t="s">
        <v>2489</v>
      </c>
      <c r="B180" s="330" t="s">
        <v>2312</v>
      </c>
      <c r="C180" s="330" t="s">
        <v>2313</v>
      </c>
      <c r="D180" s="331">
        <v>87</v>
      </c>
      <c r="E180" s="331">
        <v>85</v>
      </c>
      <c r="F180" s="331">
        <v>96</v>
      </c>
      <c r="G180" s="331">
        <v>86</v>
      </c>
      <c r="H180" s="332">
        <v>25</v>
      </c>
      <c r="I180" s="332">
        <v>25</v>
      </c>
      <c r="J180" s="333">
        <v>22</v>
      </c>
      <c r="K180" s="333">
        <v>19</v>
      </c>
      <c r="L180" s="333">
        <v>25</v>
      </c>
      <c r="M180" s="333">
        <v>23</v>
      </c>
      <c r="N180" s="334">
        <f t="shared" si="4"/>
        <v>90.6</v>
      </c>
      <c r="O180" s="334" t="str">
        <f t="shared" si="5"/>
        <v>A</v>
      </c>
    </row>
    <row r="181" spans="1:15" x14ac:dyDescent="0.35">
      <c r="A181" s="330" t="s">
        <v>2490</v>
      </c>
      <c r="B181" s="330" t="s">
        <v>2312</v>
      </c>
      <c r="C181" s="330" t="s">
        <v>2313</v>
      </c>
      <c r="D181" s="331">
        <v>92</v>
      </c>
      <c r="E181" s="331">
        <v>82</v>
      </c>
      <c r="F181" s="331">
        <v>95</v>
      </c>
      <c r="G181" s="331">
        <v>98</v>
      </c>
      <c r="H181" s="332">
        <v>22</v>
      </c>
      <c r="I181" s="332">
        <v>23</v>
      </c>
      <c r="J181" s="333">
        <v>25</v>
      </c>
      <c r="K181" s="333">
        <v>24</v>
      </c>
      <c r="L181" s="333">
        <v>24</v>
      </c>
      <c r="M181" s="333">
        <v>25</v>
      </c>
      <c r="N181" s="334">
        <f t="shared" si="4"/>
        <v>94.95</v>
      </c>
      <c r="O181" s="334" t="str">
        <f t="shared" si="5"/>
        <v>A</v>
      </c>
    </row>
    <row r="182" spans="1:15" x14ac:dyDescent="0.35">
      <c r="A182" s="330" t="s">
        <v>2491</v>
      </c>
      <c r="B182" s="330" t="s">
        <v>2312</v>
      </c>
      <c r="C182" s="330" t="s">
        <v>2310</v>
      </c>
      <c r="D182" s="331">
        <v>53</v>
      </c>
      <c r="E182" s="331">
        <v>57</v>
      </c>
      <c r="F182" s="331">
        <v>49</v>
      </c>
      <c r="G182" s="331">
        <v>52</v>
      </c>
      <c r="H182" s="332">
        <v>23</v>
      </c>
      <c r="I182" s="332">
        <v>21</v>
      </c>
      <c r="J182" s="333">
        <v>23</v>
      </c>
      <c r="K182" s="333">
        <v>23</v>
      </c>
      <c r="L182" s="333">
        <v>23</v>
      </c>
      <c r="M182" s="333">
        <v>23</v>
      </c>
      <c r="N182" s="334">
        <f t="shared" si="4"/>
        <v>63.099999999999994</v>
      </c>
      <c r="O182" s="334" t="str">
        <f t="shared" si="5"/>
        <v>F</v>
      </c>
    </row>
    <row r="183" spans="1:15" x14ac:dyDescent="0.35">
      <c r="A183" s="330" t="s">
        <v>2492</v>
      </c>
      <c r="B183" s="330" t="s">
        <v>2316</v>
      </c>
      <c r="C183" s="330" t="s">
        <v>2310</v>
      </c>
      <c r="D183" s="331">
        <v>48</v>
      </c>
      <c r="E183" s="331">
        <v>57</v>
      </c>
      <c r="F183" s="331">
        <v>49</v>
      </c>
      <c r="G183" s="331">
        <v>56</v>
      </c>
      <c r="H183" s="332">
        <v>24</v>
      </c>
      <c r="I183" s="332">
        <v>19</v>
      </c>
      <c r="J183" s="333">
        <v>25</v>
      </c>
      <c r="K183" s="333">
        <v>18</v>
      </c>
      <c r="L183" s="333">
        <v>25</v>
      </c>
      <c r="M183" s="333">
        <v>24</v>
      </c>
      <c r="N183" s="334">
        <f t="shared" si="4"/>
        <v>62.900000000000006</v>
      </c>
      <c r="O183" s="334" t="str">
        <f t="shared" si="5"/>
        <v>F</v>
      </c>
    </row>
    <row r="184" spans="1:15" x14ac:dyDescent="0.35">
      <c r="A184" s="330" t="s">
        <v>2493</v>
      </c>
      <c r="B184" s="330" t="s">
        <v>2316</v>
      </c>
      <c r="C184" s="330" t="s">
        <v>2310</v>
      </c>
      <c r="D184" s="331">
        <v>52</v>
      </c>
      <c r="E184" s="331">
        <v>58</v>
      </c>
      <c r="F184" s="331">
        <v>41</v>
      </c>
      <c r="G184" s="331">
        <v>59</v>
      </c>
      <c r="H184" s="332">
        <v>20</v>
      </c>
      <c r="I184" s="332">
        <v>16</v>
      </c>
      <c r="J184" s="333">
        <v>25</v>
      </c>
      <c r="K184" s="333">
        <v>20</v>
      </c>
      <c r="L184" s="333">
        <v>25</v>
      </c>
      <c r="M184" s="333">
        <v>19</v>
      </c>
      <c r="N184" s="334">
        <f t="shared" si="4"/>
        <v>62.800000000000004</v>
      </c>
      <c r="O184" s="334" t="str">
        <f t="shared" si="5"/>
        <v>F</v>
      </c>
    </row>
    <row r="185" spans="1:15" x14ac:dyDescent="0.35">
      <c r="A185" s="330" t="s">
        <v>2494</v>
      </c>
      <c r="B185" s="330" t="s">
        <v>2309</v>
      </c>
      <c r="C185" s="330" t="s">
        <v>2313</v>
      </c>
      <c r="D185" s="331">
        <v>43</v>
      </c>
      <c r="E185" s="331">
        <v>45</v>
      </c>
      <c r="F185" s="331">
        <v>43</v>
      </c>
      <c r="G185" s="331">
        <v>40</v>
      </c>
      <c r="H185" s="332">
        <v>23</v>
      </c>
      <c r="I185" s="332">
        <v>21</v>
      </c>
      <c r="J185" s="333">
        <v>22</v>
      </c>
      <c r="K185" s="333">
        <v>19</v>
      </c>
      <c r="L185" s="333">
        <v>25</v>
      </c>
      <c r="M185" s="333">
        <v>22</v>
      </c>
      <c r="N185" s="334">
        <f t="shared" si="4"/>
        <v>54.75</v>
      </c>
      <c r="O185" s="334" t="str">
        <f t="shared" si="5"/>
        <v>F</v>
      </c>
    </row>
    <row r="186" spans="1:15" x14ac:dyDescent="0.35">
      <c r="A186" s="330" t="s">
        <v>2495</v>
      </c>
      <c r="B186" s="330" t="s">
        <v>2309</v>
      </c>
      <c r="C186" s="330" t="s">
        <v>2310</v>
      </c>
      <c r="D186" s="331">
        <v>43</v>
      </c>
      <c r="E186" s="331">
        <v>53</v>
      </c>
      <c r="F186" s="331">
        <v>41</v>
      </c>
      <c r="G186" s="331">
        <v>54</v>
      </c>
      <c r="H186" s="332">
        <v>22</v>
      </c>
      <c r="I186" s="332">
        <v>21</v>
      </c>
      <c r="J186" s="333">
        <v>23</v>
      </c>
      <c r="K186" s="333">
        <v>25</v>
      </c>
      <c r="L186" s="333">
        <v>22</v>
      </c>
      <c r="M186" s="333">
        <v>23</v>
      </c>
      <c r="N186" s="334">
        <f t="shared" si="4"/>
        <v>60.050000000000004</v>
      </c>
      <c r="O186" s="334" t="str">
        <f t="shared" si="5"/>
        <v>F</v>
      </c>
    </row>
    <row r="187" spans="1:15" x14ac:dyDescent="0.35">
      <c r="A187" s="330" t="s">
        <v>2496</v>
      </c>
      <c r="B187" s="330" t="s">
        <v>2312</v>
      </c>
      <c r="C187" s="330" t="s">
        <v>2310</v>
      </c>
      <c r="D187" s="331">
        <v>57</v>
      </c>
      <c r="E187" s="331">
        <v>60</v>
      </c>
      <c r="F187" s="331">
        <v>43</v>
      </c>
      <c r="G187" s="331">
        <v>43</v>
      </c>
      <c r="H187" s="332">
        <v>20</v>
      </c>
      <c r="I187" s="332">
        <v>16</v>
      </c>
      <c r="J187" s="333">
        <v>25</v>
      </c>
      <c r="K187" s="333">
        <v>20</v>
      </c>
      <c r="L187" s="333">
        <v>23</v>
      </c>
      <c r="M187" s="333">
        <v>21</v>
      </c>
      <c r="N187" s="334">
        <f t="shared" si="4"/>
        <v>60.550000000000004</v>
      </c>
      <c r="O187" s="334" t="str">
        <f t="shared" si="5"/>
        <v>F</v>
      </c>
    </row>
    <row r="188" spans="1:15" x14ac:dyDescent="0.35">
      <c r="A188" s="330" t="s">
        <v>2497</v>
      </c>
      <c r="B188" s="330" t="s">
        <v>2309</v>
      </c>
      <c r="C188" s="330" t="s">
        <v>2313</v>
      </c>
      <c r="D188" s="331">
        <v>50</v>
      </c>
      <c r="E188" s="331">
        <v>43</v>
      </c>
      <c r="F188" s="331">
        <v>55</v>
      </c>
      <c r="G188" s="331">
        <v>57</v>
      </c>
      <c r="H188" s="332">
        <v>24</v>
      </c>
      <c r="I188" s="332">
        <v>15</v>
      </c>
      <c r="J188" s="333">
        <v>23</v>
      </c>
      <c r="K188" s="333">
        <v>22</v>
      </c>
      <c r="L188" s="333">
        <v>25</v>
      </c>
      <c r="M188" s="333">
        <v>22</v>
      </c>
      <c r="N188" s="334">
        <f t="shared" si="4"/>
        <v>62.099999999999994</v>
      </c>
      <c r="O188" s="334" t="str">
        <f t="shared" si="5"/>
        <v>F</v>
      </c>
    </row>
    <row r="189" spans="1:15" x14ac:dyDescent="0.35">
      <c r="A189" s="330" t="s">
        <v>1849</v>
      </c>
      <c r="B189" s="330" t="s">
        <v>2316</v>
      </c>
      <c r="C189" s="330" t="s">
        <v>2313</v>
      </c>
      <c r="D189" s="331">
        <v>43</v>
      </c>
      <c r="E189" s="331">
        <v>47</v>
      </c>
      <c r="F189" s="331">
        <v>46</v>
      </c>
      <c r="G189" s="331">
        <v>41</v>
      </c>
      <c r="H189" s="332">
        <v>25</v>
      </c>
      <c r="I189" s="332">
        <v>20</v>
      </c>
      <c r="J189" s="333">
        <v>24</v>
      </c>
      <c r="K189" s="333">
        <v>18</v>
      </c>
      <c r="L189" s="333">
        <v>25</v>
      </c>
      <c r="M189" s="333">
        <v>20</v>
      </c>
      <c r="N189" s="334">
        <f t="shared" si="4"/>
        <v>56.05</v>
      </c>
      <c r="O189" s="334" t="str">
        <f t="shared" si="5"/>
        <v>F</v>
      </c>
    </row>
    <row r="190" spans="1:15" x14ac:dyDescent="0.35">
      <c r="A190" s="330" t="s">
        <v>2498</v>
      </c>
      <c r="B190" s="330" t="s">
        <v>2312</v>
      </c>
      <c r="C190" s="330" t="s">
        <v>2313</v>
      </c>
      <c r="D190" s="331">
        <v>51</v>
      </c>
      <c r="E190" s="331">
        <v>68</v>
      </c>
      <c r="F190" s="331">
        <v>58</v>
      </c>
      <c r="G190" s="331">
        <v>51</v>
      </c>
      <c r="H190" s="332">
        <v>25</v>
      </c>
      <c r="I190" s="332">
        <v>18</v>
      </c>
      <c r="J190" s="333">
        <v>25</v>
      </c>
      <c r="K190" s="333">
        <v>23</v>
      </c>
      <c r="L190" s="333">
        <v>25</v>
      </c>
      <c r="M190" s="333">
        <v>22</v>
      </c>
      <c r="N190" s="334">
        <f t="shared" si="4"/>
        <v>67.099999999999994</v>
      </c>
      <c r="O190" s="334" t="str">
        <f t="shared" si="5"/>
        <v>D</v>
      </c>
    </row>
    <row r="191" spans="1:15" x14ac:dyDescent="0.35">
      <c r="A191" s="330" t="s">
        <v>2499</v>
      </c>
      <c r="B191" s="330" t="s">
        <v>2309</v>
      </c>
      <c r="C191" s="330" t="s">
        <v>2310</v>
      </c>
      <c r="D191" s="331">
        <v>62</v>
      </c>
      <c r="E191" s="331">
        <v>55</v>
      </c>
      <c r="F191" s="331">
        <v>56</v>
      </c>
      <c r="G191" s="331">
        <v>51</v>
      </c>
      <c r="H191" s="332">
        <v>22</v>
      </c>
      <c r="I191" s="332">
        <v>23</v>
      </c>
      <c r="J191" s="333">
        <v>24</v>
      </c>
      <c r="K191" s="333">
        <v>24</v>
      </c>
      <c r="L191" s="333">
        <v>22</v>
      </c>
      <c r="M191" s="333">
        <v>24</v>
      </c>
      <c r="N191" s="334">
        <f t="shared" si="4"/>
        <v>66.349999999999994</v>
      </c>
      <c r="O191" s="334" t="str">
        <f t="shared" si="5"/>
        <v>D</v>
      </c>
    </row>
    <row r="192" spans="1:15" x14ac:dyDescent="0.35">
      <c r="A192" s="330" t="s">
        <v>2500</v>
      </c>
      <c r="B192" s="330" t="s">
        <v>2316</v>
      </c>
      <c r="C192" s="330" t="s">
        <v>2313</v>
      </c>
      <c r="D192" s="331">
        <v>58</v>
      </c>
      <c r="E192" s="331">
        <v>51</v>
      </c>
      <c r="F192" s="331">
        <v>57</v>
      </c>
      <c r="G192" s="331">
        <v>55</v>
      </c>
      <c r="H192" s="332">
        <v>21</v>
      </c>
      <c r="I192" s="332">
        <v>21</v>
      </c>
      <c r="J192" s="333">
        <v>25</v>
      </c>
      <c r="K192" s="333">
        <v>19</v>
      </c>
      <c r="L192" s="333">
        <v>24</v>
      </c>
      <c r="M192" s="333">
        <v>21</v>
      </c>
      <c r="N192" s="334">
        <f t="shared" si="4"/>
        <v>64.25</v>
      </c>
      <c r="O192" s="334" t="str">
        <f t="shared" si="5"/>
        <v>F</v>
      </c>
    </row>
    <row r="193" spans="1:15" x14ac:dyDescent="0.35">
      <c r="A193" s="330" t="s">
        <v>2501</v>
      </c>
      <c r="B193" s="330" t="s">
        <v>2316</v>
      </c>
      <c r="C193" s="330" t="s">
        <v>2313</v>
      </c>
      <c r="D193" s="331">
        <v>53</v>
      </c>
      <c r="E193" s="331">
        <v>55</v>
      </c>
      <c r="F193" s="331">
        <v>65</v>
      </c>
      <c r="G193" s="331">
        <v>58</v>
      </c>
      <c r="H193" s="332">
        <v>25</v>
      </c>
      <c r="I193" s="332">
        <v>23</v>
      </c>
      <c r="J193" s="333">
        <v>23</v>
      </c>
      <c r="K193" s="333">
        <v>19</v>
      </c>
      <c r="L193" s="333">
        <v>23</v>
      </c>
      <c r="M193" s="333">
        <v>23</v>
      </c>
      <c r="N193" s="334">
        <f t="shared" si="4"/>
        <v>67.3</v>
      </c>
      <c r="O193" s="334" t="str">
        <f t="shared" si="5"/>
        <v>D</v>
      </c>
    </row>
    <row r="194" spans="1:15" x14ac:dyDescent="0.35">
      <c r="A194" s="330" t="s">
        <v>2502</v>
      </c>
      <c r="B194" s="330" t="s">
        <v>2309</v>
      </c>
      <c r="C194" s="330" t="s">
        <v>2313</v>
      </c>
      <c r="D194" s="331">
        <v>81</v>
      </c>
      <c r="E194" s="331">
        <v>88</v>
      </c>
      <c r="F194" s="331">
        <v>60</v>
      </c>
      <c r="G194" s="331">
        <v>52</v>
      </c>
      <c r="H194" s="332">
        <v>25</v>
      </c>
      <c r="I194" s="332">
        <v>19</v>
      </c>
      <c r="J194" s="333">
        <v>22</v>
      </c>
      <c r="K194" s="333">
        <v>19</v>
      </c>
      <c r="L194" s="333">
        <v>22</v>
      </c>
      <c r="M194" s="333">
        <v>25</v>
      </c>
      <c r="N194" s="334">
        <f t="shared" si="4"/>
        <v>79.25</v>
      </c>
      <c r="O194" s="334" t="str">
        <f t="shared" si="5"/>
        <v>C</v>
      </c>
    </row>
    <row r="195" spans="1:15" x14ac:dyDescent="0.35">
      <c r="A195" s="330" t="s">
        <v>2503</v>
      </c>
      <c r="B195" s="330" t="s">
        <v>2316</v>
      </c>
      <c r="C195" s="330" t="s">
        <v>2313</v>
      </c>
      <c r="D195" s="331">
        <v>91</v>
      </c>
      <c r="E195" s="331">
        <v>99</v>
      </c>
      <c r="F195" s="331">
        <v>63</v>
      </c>
      <c r="G195" s="331">
        <v>60</v>
      </c>
      <c r="H195" s="332">
        <v>22</v>
      </c>
      <c r="I195" s="332">
        <v>17</v>
      </c>
      <c r="J195" s="333">
        <v>25</v>
      </c>
      <c r="K195" s="333">
        <v>24</v>
      </c>
      <c r="L195" s="333">
        <v>24</v>
      </c>
      <c r="M195" s="333">
        <v>23</v>
      </c>
      <c r="N195" s="334">
        <f t="shared" si="4"/>
        <v>85.449999999999989</v>
      </c>
      <c r="O195" s="334" t="str">
        <f t="shared" si="5"/>
        <v>B</v>
      </c>
    </row>
    <row r="196" spans="1:15" x14ac:dyDescent="0.35">
      <c r="A196" s="330" t="s">
        <v>2504</v>
      </c>
      <c r="B196" s="330" t="s">
        <v>2316</v>
      </c>
      <c r="C196" s="330" t="s">
        <v>2313</v>
      </c>
      <c r="D196" s="331">
        <v>86</v>
      </c>
      <c r="E196" s="331">
        <v>80</v>
      </c>
      <c r="F196" s="331">
        <v>84</v>
      </c>
      <c r="G196" s="331">
        <v>96</v>
      </c>
      <c r="H196" s="332">
        <v>22</v>
      </c>
      <c r="I196" s="332">
        <v>19</v>
      </c>
      <c r="J196" s="333">
        <v>25</v>
      </c>
      <c r="K196" s="333">
        <v>24</v>
      </c>
      <c r="L196" s="333">
        <v>23</v>
      </c>
      <c r="M196" s="333">
        <v>19</v>
      </c>
      <c r="N196" s="334">
        <f t="shared" si="4"/>
        <v>88.350000000000009</v>
      </c>
      <c r="O196" s="334" t="str">
        <f t="shared" si="5"/>
        <v>B</v>
      </c>
    </row>
    <row r="197" spans="1:15" x14ac:dyDescent="0.35">
      <c r="A197" s="330" t="s">
        <v>2505</v>
      </c>
      <c r="B197" s="330" t="s">
        <v>2316</v>
      </c>
      <c r="C197" s="330" t="s">
        <v>2313</v>
      </c>
      <c r="D197" s="331">
        <v>92</v>
      </c>
      <c r="E197" s="331">
        <v>75</v>
      </c>
      <c r="F197" s="331">
        <v>67</v>
      </c>
      <c r="G197" s="331">
        <v>94</v>
      </c>
      <c r="H197" s="332">
        <v>24</v>
      </c>
      <c r="I197" s="332">
        <v>16</v>
      </c>
      <c r="J197" s="333">
        <v>25</v>
      </c>
      <c r="K197" s="333">
        <v>21</v>
      </c>
      <c r="L197" s="333">
        <v>24</v>
      </c>
      <c r="M197" s="333">
        <v>24</v>
      </c>
      <c r="N197" s="334">
        <f t="shared" si="4"/>
        <v>87.35</v>
      </c>
      <c r="O197" s="334" t="str">
        <f t="shared" si="5"/>
        <v>B</v>
      </c>
    </row>
    <row r="198" spans="1:15" x14ac:dyDescent="0.35">
      <c r="A198" s="330" t="s">
        <v>2506</v>
      </c>
      <c r="B198" s="330" t="s">
        <v>2309</v>
      </c>
      <c r="C198" s="330" t="s">
        <v>2310</v>
      </c>
      <c r="D198" s="331">
        <v>80</v>
      </c>
      <c r="E198" s="331">
        <v>83</v>
      </c>
      <c r="F198" s="331">
        <v>99</v>
      </c>
      <c r="G198" s="331">
        <v>90</v>
      </c>
      <c r="H198" s="332">
        <v>20</v>
      </c>
      <c r="I198" s="332">
        <v>19</v>
      </c>
      <c r="J198" s="333">
        <v>24</v>
      </c>
      <c r="K198" s="333">
        <v>18</v>
      </c>
      <c r="L198" s="333">
        <v>22</v>
      </c>
      <c r="M198" s="333">
        <v>20</v>
      </c>
      <c r="N198" s="334">
        <f t="shared" si="4"/>
        <v>88.399999999999991</v>
      </c>
      <c r="O198" s="334" t="str">
        <f t="shared" si="5"/>
        <v>B</v>
      </c>
    </row>
    <row r="199" spans="1:15" x14ac:dyDescent="0.35">
      <c r="A199" s="330" t="s">
        <v>2507</v>
      </c>
      <c r="B199" s="330" t="s">
        <v>2316</v>
      </c>
      <c r="C199" s="330" t="s">
        <v>2313</v>
      </c>
      <c r="D199" s="331">
        <v>95</v>
      </c>
      <c r="E199" s="331">
        <v>72</v>
      </c>
      <c r="F199" s="331">
        <v>81</v>
      </c>
      <c r="G199" s="331">
        <v>94</v>
      </c>
      <c r="H199" s="332">
        <v>25</v>
      </c>
      <c r="I199" s="332">
        <v>25</v>
      </c>
      <c r="J199" s="333">
        <v>22</v>
      </c>
      <c r="K199" s="333">
        <v>18</v>
      </c>
      <c r="L199" s="333">
        <v>25</v>
      </c>
      <c r="M199" s="333">
        <v>24</v>
      </c>
      <c r="N199" s="334">
        <f t="shared" si="4"/>
        <v>90.85</v>
      </c>
      <c r="O199" s="334" t="str">
        <f t="shared" si="5"/>
        <v>A</v>
      </c>
    </row>
    <row r="200" spans="1:15" x14ac:dyDescent="0.35">
      <c r="A200" s="330" t="s">
        <v>2508</v>
      </c>
      <c r="B200" s="330" t="s">
        <v>2316</v>
      </c>
      <c r="C200" s="330" t="s">
        <v>2310</v>
      </c>
      <c r="D200" s="331">
        <v>100</v>
      </c>
      <c r="E200" s="331">
        <v>97</v>
      </c>
      <c r="F200" s="331">
        <v>77</v>
      </c>
      <c r="G200" s="331">
        <v>89</v>
      </c>
      <c r="H200" s="332">
        <v>20</v>
      </c>
      <c r="I200" s="332">
        <v>16</v>
      </c>
      <c r="J200" s="333">
        <v>22</v>
      </c>
      <c r="K200" s="333">
        <v>20</v>
      </c>
      <c r="L200" s="333">
        <v>22</v>
      </c>
      <c r="M200" s="333">
        <v>21</v>
      </c>
      <c r="N200" s="334">
        <f t="shared" si="4"/>
        <v>91.45</v>
      </c>
      <c r="O200" s="334" t="str">
        <f t="shared" si="5"/>
        <v>A</v>
      </c>
    </row>
    <row r="201" spans="1:15" x14ac:dyDescent="0.35">
      <c r="A201" s="330" t="s">
        <v>2509</v>
      </c>
      <c r="B201" s="330" t="s">
        <v>2316</v>
      </c>
      <c r="C201" s="330" t="s">
        <v>2310</v>
      </c>
      <c r="D201" s="331">
        <v>86</v>
      </c>
      <c r="E201" s="331">
        <v>73</v>
      </c>
      <c r="F201" s="331">
        <v>66</v>
      </c>
      <c r="G201" s="331">
        <v>91</v>
      </c>
      <c r="H201" s="332">
        <v>22</v>
      </c>
      <c r="I201" s="332">
        <v>19</v>
      </c>
      <c r="J201" s="333">
        <v>22</v>
      </c>
      <c r="K201" s="333">
        <v>18</v>
      </c>
      <c r="L201" s="333">
        <v>22</v>
      </c>
      <c r="M201" s="333">
        <v>23</v>
      </c>
      <c r="N201" s="334">
        <f t="shared" si="4"/>
        <v>83.449999999999989</v>
      </c>
      <c r="O201" s="334" t="str">
        <f t="shared" si="5"/>
        <v>B</v>
      </c>
    </row>
    <row r="202" spans="1:15" x14ac:dyDescent="0.35">
      <c r="A202" s="330" t="s">
        <v>2510</v>
      </c>
      <c r="B202" s="330" t="s">
        <v>2316</v>
      </c>
      <c r="C202" s="330" t="s">
        <v>2313</v>
      </c>
      <c r="D202" s="331">
        <v>82</v>
      </c>
      <c r="E202" s="331">
        <v>92</v>
      </c>
      <c r="F202" s="331">
        <v>92</v>
      </c>
      <c r="G202" s="331">
        <v>100</v>
      </c>
      <c r="H202" s="332">
        <v>20</v>
      </c>
      <c r="I202" s="332">
        <v>18</v>
      </c>
      <c r="J202" s="333">
        <v>22</v>
      </c>
      <c r="K202" s="333">
        <v>20</v>
      </c>
      <c r="L202" s="333">
        <v>24</v>
      </c>
      <c r="M202" s="333">
        <v>24</v>
      </c>
      <c r="N202" s="334">
        <f t="shared" si="4"/>
        <v>92.100000000000009</v>
      </c>
      <c r="O202" s="334" t="str">
        <f t="shared" si="5"/>
        <v>A</v>
      </c>
    </row>
    <row r="203" spans="1:15" x14ac:dyDescent="0.35">
      <c r="A203" s="330" t="s">
        <v>2511</v>
      </c>
      <c r="B203" s="330" t="s">
        <v>2312</v>
      </c>
      <c r="C203" s="330" t="s">
        <v>2313</v>
      </c>
      <c r="D203" s="331">
        <v>88</v>
      </c>
      <c r="E203" s="331">
        <v>73</v>
      </c>
      <c r="F203" s="331">
        <v>82</v>
      </c>
      <c r="G203" s="331">
        <v>80</v>
      </c>
      <c r="H203" s="332">
        <v>21</v>
      </c>
      <c r="I203" s="332">
        <v>17</v>
      </c>
      <c r="J203" s="333">
        <v>24</v>
      </c>
      <c r="K203" s="333">
        <v>24</v>
      </c>
      <c r="L203" s="333">
        <v>24</v>
      </c>
      <c r="M203" s="333">
        <v>21</v>
      </c>
      <c r="N203" s="334">
        <f t="shared" ref="N203:N248" si="6">SUM(AVERAGE(LARGE(D203:G203,1),LARGE(D203:G203,2),LARGE(D203:G203,3))/100*75,AVERAGE(H203:I203)/25*10,AVERAGE(J203:M203)/25*15)</f>
        <v>84.05</v>
      </c>
      <c r="O203" s="334" t="str">
        <f t="shared" ref="O203:O248" si="7">IF(N203&gt;=90,"A",IF(N203&gt;=83,"B",IF(N203&gt;=73,"C",IF(N203&gt;=65,"D","F"))))</f>
        <v>B</v>
      </c>
    </row>
    <row r="204" spans="1:15" x14ac:dyDescent="0.35">
      <c r="A204" s="330" t="s">
        <v>62</v>
      </c>
      <c r="B204" s="330" t="s">
        <v>2309</v>
      </c>
      <c r="C204" s="330" t="s">
        <v>2310</v>
      </c>
      <c r="D204" s="331">
        <v>94</v>
      </c>
      <c r="E204" s="331">
        <v>82</v>
      </c>
      <c r="F204" s="331">
        <v>74</v>
      </c>
      <c r="G204" s="331">
        <v>82</v>
      </c>
      <c r="H204" s="332">
        <v>20</v>
      </c>
      <c r="I204" s="332">
        <v>23</v>
      </c>
      <c r="J204" s="333">
        <v>25</v>
      </c>
      <c r="K204" s="333">
        <v>24</v>
      </c>
      <c r="L204" s="333">
        <v>25</v>
      </c>
      <c r="M204" s="333">
        <v>22</v>
      </c>
      <c r="N204" s="334">
        <f t="shared" si="6"/>
        <v>87.5</v>
      </c>
      <c r="O204" s="334" t="str">
        <f t="shared" si="7"/>
        <v>B</v>
      </c>
    </row>
    <row r="205" spans="1:15" x14ac:dyDescent="0.35">
      <c r="A205" s="330" t="s">
        <v>2512</v>
      </c>
      <c r="B205" s="330" t="s">
        <v>2316</v>
      </c>
      <c r="C205" s="330" t="s">
        <v>2310</v>
      </c>
      <c r="D205" s="331">
        <v>80</v>
      </c>
      <c r="E205" s="331">
        <v>74</v>
      </c>
      <c r="F205" s="331">
        <v>84</v>
      </c>
      <c r="G205" s="331">
        <v>86</v>
      </c>
      <c r="H205" s="332">
        <v>24</v>
      </c>
      <c r="I205" s="332">
        <v>23</v>
      </c>
      <c r="J205" s="333">
        <v>23</v>
      </c>
      <c r="K205" s="333">
        <v>23</v>
      </c>
      <c r="L205" s="333">
        <v>23</v>
      </c>
      <c r="M205" s="333">
        <v>18</v>
      </c>
      <c r="N205" s="334">
        <f t="shared" si="6"/>
        <v>84.949999999999989</v>
      </c>
      <c r="O205" s="334" t="str">
        <f t="shared" si="7"/>
        <v>B</v>
      </c>
    </row>
    <row r="206" spans="1:15" x14ac:dyDescent="0.35">
      <c r="A206" s="330" t="s">
        <v>2513</v>
      </c>
      <c r="B206" s="330" t="s">
        <v>2312</v>
      </c>
      <c r="C206" s="330" t="s">
        <v>2310</v>
      </c>
      <c r="D206" s="331">
        <v>83</v>
      </c>
      <c r="E206" s="331">
        <v>97</v>
      </c>
      <c r="F206" s="331">
        <v>67</v>
      </c>
      <c r="G206" s="331">
        <v>90</v>
      </c>
      <c r="H206" s="332">
        <v>24</v>
      </c>
      <c r="I206" s="332">
        <v>15</v>
      </c>
      <c r="J206" s="333">
        <v>23</v>
      </c>
      <c r="K206" s="333">
        <v>22</v>
      </c>
      <c r="L206" s="333">
        <v>25</v>
      </c>
      <c r="M206" s="333">
        <v>20</v>
      </c>
      <c r="N206" s="334">
        <f t="shared" si="6"/>
        <v>88.8</v>
      </c>
      <c r="O206" s="334" t="str">
        <f t="shared" si="7"/>
        <v>B</v>
      </c>
    </row>
    <row r="207" spans="1:15" x14ac:dyDescent="0.35">
      <c r="A207" s="330" t="s">
        <v>2514</v>
      </c>
      <c r="B207" s="330" t="s">
        <v>2312</v>
      </c>
      <c r="C207" s="330" t="s">
        <v>2310</v>
      </c>
      <c r="D207" s="331">
        <v>85</v>
      </c>
      <c r="E207" s="331">
        <v>98</v>
      </c>
      <c r="F207" s="331">
        <v>95</v>
      </c>
      <c r="G207" s="331">
        <v>92</v>
      </c>
      <c r="H207" s="332">
        <v>25</v>
      </c>
      <c r="I207" s="332">
        <v>18</v>
      </c>
      <c r="J207" s="333">
        <v>22</v>
      </c>
      <c r="K207" s="333">
        <v>18</v>
      </c>
      <c r="L207" s="333">
        <v>25</v>
      </c>
      <c r="M207" s="333">
        <v>25</v>
      </c>
      <c r="N207" s="334">
        <f t="shared" si="6"/>
        <v>93.35</v>
      </c>
      <c r="O207" s="334" t="str">
        <f t="shared" si="7"/>
        <v>A</v>
      </c>
    </row>
    <row r="208" spans="1:15" x14ac:dyDescent="0.35">
      <c r="A208" s="330" t="s">
        <v>2515</v>
      </c>
      <c r="B208" s="330" t="s">
        <v>2316</v>
      </c>
      <c r="C208" s="330" t="s">
        <v>2313</v>
      </c>
      <c r="D208" s="331">
        <v>84</v>
      </c>
      <c r="E208" s="331">
        <v>98</v>
      </c>
      <c r="F208" s="331">
        <v>75</v>
      </c>
      <c r="G208" s="331">
        <v>86</v>
      </c>
      <c r="H208" s="332">
        <v>22</v>
      </c>
      <c r="I208" s="332">
        <v>24</v>
      </c>
      <c r="J208" s="333">
        <v>25</v>
      </c>
      <c r="K208" s="333">
        <v>22</v>
      </c>
      <c r="L208" s="333">
        <v>25</v>
      </c>
      <c r="M208" s="333">
        <v>20</v>
      </c>
      <c r="N208" s="334">
        <f t="shared" si="6"/>
        <v>90</v>
      </c>
      <c r="O208" s="334" t="str">
        <f t="shared" si="7"/>
        <v>A</v>
      </c>
    </row>
    <row r="209" spans="1:15" x14ac:dyDescent="0.35">
      <c r="A209" s="330" t="s">
        <v>2516</v>
      </c>
      <c r="B209" s="330" t="s">
        <v>2312</v>
      </c>
      <c r="C209" s="330" t="s">
        <v>2310</v>
      </c>
      <c r="D209" s="331">
        <v>96</v>
      </c>
      <c r="E209" s="331">
        <v>71</v>
      </c>
      <c r="F209" s="331">
        <v>78</v>
      </c>
      <c r="G209" s="331">
        <v>94</v>
      </c>
      <c r="H209" s="332">
        <v>21</v>
      </c>
      <c r="I209" s="332">
        <v>20</v>
      </c>
      <c r="J209" s="333">
        <v>25</v>
      </c>
      <c r="K209" s="333">
        <v>21</v>
      </c>
      <c r="L209" s="333">
        <v>25</v>
      </c>
      <c r="M209" s="333">
        <v>18</v>
      </c>
      <c r="N209" s="334">
        <f t="shared" si="6"/>
        <v>88.55</v>
      </c>
      <c r="O209" s="334" t="str">
        <f t="shared" si="7"/>
        <v>B</v>
      </c>
    </row>
    <row r="210" spans="1:15" x14ac:dyDescent="0.35">
      <c r="A210" s="330" t="s">
        <v>2517</v>
      </c>
      <c r="B210" s="330" t="s">
        <v>2309</v>
      </c>
      <c r="C210" s="330" t="s">
        <v>2310</v>
      </c>
      <c r="D210" s="331">
        <v>95</v>
      </c>
      <c r="E210" s="331">
        <v>100</v>
      </c>
      <c r="F210" s="331">
        <v>77</v>
      </c>
      <c r="G210" s="331">
        <v>93</v>
      </c>
      <c r="H210" s="332">
        <v>24</v>
      </c>
      <c r="I210" s="332">
        <v>23</v>
      </c>
      <c r="J210" s="333">
        <v>24</v>
      </c>
      <c r="K210" s="333">
        <v>23</v>
      </c>
      <c r="L210" s="333">
        <v>23</v>
      </c>
      <c r="M210" s="333">
        <v>21</v>
      </c>
      <c r="N210" s="334">
        <f t="shared" si="6"/>
        <v>95.050000000000011</v>
      </c>
      <c r="O210" s="334" t="str">
        <f t="shared" si="7"/>
        <v>A</v>
      </c>
    </row>
    <row r="211" spans="1:15" x14ac:dyDescent="0.35">
      <c r="A211" s="330" t="s">
        <v>2518</v>
      </c>
      <c r="B211" s="330" t="s">
        <v>2309</v>
      </c>
      <c r="C211" s="330" t="s">
        <v>2313</v>
      </c>
      <c r="D211" s="331">
        <v>95</v>
      </c>
      <c r="E211" s="331">
        <v>97</v>
      </c>
      <c r="F211" s="331">
        <v>62</v>
      </c>
      <c r="G211" s="331">
        <v>85</v>
      </c>
      <c r="H211" s="332">
        <v>23</v>
      </c>
      <c r="I211" s="332">
        <v>20</v>
      </c>
      <c r="J211" s="333">
        <v>24</v>
      </c>
      <c r="K211" s="333">
        <v>19</v>
      </c>
      <c r="L211" s="333">
        <v>24</v>
      </c>
      <c r="M211" s="333">
        <v>23</v>
      </c>
      <c r="N211" s="334">
        <f t="shared" si="6"/>
        <v>91.35</v>
      </c>
      <c r="O211" s="334" t="str">
        <f t="shared" si="7"/>
        <v>A</v>
      </c>
    </row>
    <row r="212" spans="1:15" x14ac:dyDescent="0.35">
      <c r="A212" s="330" t="s">
        <v>2519</v>
      </c>
      <c r="B212" s="330" t="s">
        <v>2309</v>
      </c>
      <c r="C212" s="330" t="s">
        <v>2310</v>
      </c>
      <c r="D212" s="331">
        <v>82</v>
      </c>
      <c r="E212" s="331">
        <v>94</v>
      </c>
      <c r="F212" s="331">
        <v>63</v>
      </c>
      <c r="G212" s="331">
        <v>98</v>
      </c>
      <c r="H212" s="332">
        <v>24</v>
      </c>
      <c r="I212" s="332">
        <v>19</v>
      </c>
      <c r="J212" s="333">
        <v>23</v>
      </c>
      <c r="K212" s="333">
        <v>18</v>
      </c>
      <c r="L212" s="333">
        <v>25</v>
      </c>
      <c r="M212" s="333">
        <v>24</v>
      </c>
      <c r="N212" s="334">
        <f t="shared" si="6"/>
        <v>90.6</v>
      </c>
      <c r="O212" s="334" t="str">
        <f t="shared" si="7"/>
        <v>A</v>
      </c>
    </row>
    <row r="213" spans="1:15" x14ac:dyDescent="0.35">
      <c r="A213" s="330" t="s">
        <v>2520</v>
      </c>
      <c r="B213" s="330" t="s">
        <v>2309</v>
      </c>
      <c r="C213" s="330" t="s">
        <v>2313</v>
      </c>
      <c r="D213" s="331">
        <v>87</v>
      </c>
      <c r="E213" s="331">
        <v>76</v>
      </c>
      <c r="F213" s="331">
        <v>80</v>
      </c>
      <c r="G213" s="331">
        <v>100</v>
      </c>
      <c r="H213" s="332">
        <v>20</v>
      </c>
      <c r="I213" s="332">
        <v>24</v>
      </c>
      <c r="J213" s="333">
        <v>22</v>
      </c>
      <c r="K213" s="333">
        <v>21</v>
      </c>
      <c r="L213" s="333">
        <v>25</v>
      </c>
      <c r="M213" s="333">
        <v>21</v>
      </c>
      <c r="N213" s="334">
        <f t="shared" si="6"/>
        <v>88.899999999999991</v>
      </c>
      <c r="O213" s="334" t="str">
        <f t="shared" si="7"/>
        <v>B</v>
      </c>
    </row>
    <row r="214" spans="1:15" x14ac:dyDescent="0.35">
      <c r="A214" s="330" t="s">
        <v>2521</v>
      </c>
      <c r="B214" s="330" t="s">
        <v>2312</v>
      </c>
      <c r="C214" s="330" t="s">
        <v>2310</v>
      </c>
      <c r="D214" s="331">
        <v>90</v>
      </c>
      <c r="E214" s="331">
        <v>70</v>
      </c>
      <c r="F214" s="331">
        <v>62</v>
      </c>
      <c r="G214" s="331">
        <v>97</v>
      </c>
      <c r="H214" s="332">
        <v>23</v>
      </c>
      <c r="I214" s="332">
        <v>16</v>
      </c>
      <c r="J214" s="333">
        <v>24</v>
      </c>
      <c r="K214" s="333">
        <v>19</v>
      </c>
      <c r="L214" s="333">
        <v>24</v>
      </c>
      <c r="M214" s="333">
        <v>22</v>
      </c>
      <c r="N214" s="334">
        <f t="shared" si="6"/>
        <v>85.399999999999991</v>
      </c>
      <c r="O214" s="334" t="str">
        <f t="shared" si="7"/>
        <v>B</v>
      </c>
    </row>
    <row r="215" spans="1:15" x14ac:dyDescent="0.35">
      <c r="A215" s="330" t="s">
        <v>2522</v>
      </c>
      <c r="B215" s="330" t="s">
        <v>2309</v>
      </c>
      <c r="C215" s="330" t="s">
        <v>2310</v>
      </c>
      <c r="D215" s="331">
        <v>89</v>
      </c>
      <c r="E215" s="331">
        <v>94</v>
      </c>
      <c r="F215" s="331">
        <v>79</v>
      </c>
      <c r="G215" s="331">
        <v>87</v>
      </c>
      <c r="H215" s="332">
        <v>24</v>
      </c>
      <c r="I215" s="332">
        <v>20</v>
      </c>
      <c r="J215" s="333">
        <v>23</v>
      </c>
      <c r="K215" s="333">
        <v>21</v>
      </c>
      <c r="L215" s="333">
        <v>24</v>
      </c>
      <c r="M215" s="333">
        <v>19</v>
      </c>
      <c r="N215" s="334">
        <f t="shared" si="6"/>
        <v>89.35</v>
      </c>
      <c r="O215" s="334" t="str">
        <f t="shared" si="7"/>
        <v>B</v>
      </c>
    </row>
    <row r="216" spans="1:15" x14ac:dyDescent="0.35">
      <c r="A216" s="330" t="s">
        <v>2523</v>
      </c>
      <c r="B216" s="330" t="s">
        <v>2309</v>
      </c>
      <c r="C216" s="330" t="s">
        <v>2310</v>
      </c>
      <c r="D216" s="331">
        <v>83</v>
      </c>
      <c r="E216" s="331">
        <v>88</v>
      </c>
      <c r="F216" s="331">
        <v>75</v>
      </c>
      <c r="G216" s="331">
        <v>93</v>
      </c>
      <c r="H216" s="332">
        <v>23</v>
      </c>
      <c r="I216" s="332">
        <v>21</v>
      </c>
      <c r="J216" s="333">
        <v>25</v>
      </c>
      <c r="K216" s="333">
        <v>18</v>
      </c>
      <c r="L216" s="333">
        <v>25</v>
      </c>
      <c r="M216" s="333">
        <v>20</v>
      </c>
      <c r="N216" s="334">
        <f t="shared" si="6"/>
        <v>88</v>
      </c>
      <c r="O216" s="334" t="str">
        <f t="shared" si="7"/>
        <v>B</v>
      </c>
    </row>
    <row r="217" spans="1:15" x14ac:dyDescent="0.35">
      <c r="A217" s="330" t="s">
        <v>2524</v>
      </c>
      <c r="B217" s="330" t="s">
        <v>2316</v>
      </c>
      <c r="C217" s="330" t="s">
        <v>2310</v>
      </c>
      <c r="D217" s="331">
        <v>99</v>
      </c>
      <c r="E217" s="331">
        <v>98</v>
      </c>
      <c r="F217" s="331">
        <v>75</v>
      </c>
      <c r="G217" s="331">
        <v>83</v>
      </c>
      <c r="H217" s="332">
        <v>24</v>
      </c>
      <c r="I217" s="332">
        <v>22</v>
      </c>
      <c r="J217" s="333">
        <v>24</v>
      </c>
      <c r="K217" s="333">
        <v>25</v>
      </c>
      <c r="L217" s="333">
        <v>25</v>
      </c>
      <c r="M217" s="333">
        <v>19</v>
      </c>
      <c r="N217" s="334">
        <f t="shared" si="6"/>
        <v>93.149999999999991</v>
      </c>
      <c r="O217" s="334" t="str">
        <f t="shared" si="7"/>
        <v>A</v>
      </c>
    </row>
    <row r="218" spans="1:15" x14ac:dyDescent="0.35">
      <c r="A218" s="330" t="s">
        <v>105</v>
      </c>
      <c r="B218" s="330" t="s">
        <v>2316</v>
      </c>
      <c r="C218" s="330" t="s">
        <v>2310</v>
      </c>
      <c r="D218" s="331">
        <v>91</v>
      </c>
      <c r="E218" s="331">
        <v>72</v>
      </c>
      <c r="F218" s="331">
        <v>62</v>
      </c>
      <c r="G218" s="331">
        <v>89</v>
      </c>
      <c r="H218" s="332">
        <v>21</v>
      </c>
      <c r="I218" s="332">
        <v>21</v>
      </c>
      <c r="J218" s="333">
        <v>22</v>
      </c>
      <c r="K218" s="333">
        <v>20</v>
      </c>
      <c r="L218" s="333">
        <v>22</v>
      </c>
      <c r="M218" s="333">
        <v>20</v>
      </c>
      <c r="N218" s="334">
        <f t="shared" si="6"/>
        <v>84</v>
      </c>
      <c r="O218" s="334" t="str">
        <f t="shared" si="7"/>
        <v>B</v>
      </c>
    </row>
    <row r="219" spans="1:15" x14ac:dyDescent="0.35">
      <c r="A219" s="330" t="s">
        <v>2525</v>
      </c>
      <c r="B219" s="330" t="s">
        <v>2312</v>
      </c>
      <c r="C219" s="330" t="s">
        <v>2313</v>
      </c>
      <c r="D219" s="331">
        <v>94</v>
      </c>
      <c r="E219" s="331">
        <v>87</v>
      </c>
      <c r="F219" s="331">
        <v>65</v>
      </c>
      <c r="G219" s="331">
        <v>98</v>
      </c>
      <c r="H219" s="332">
        <v>20</v>
      </c>
      <c r="I219" s="332">
        <v>17</v>
      </c>
      <c r="J219" s="333">
        <v>23</v>
      </c>
      <c r="K219" s="333">
        <v>23</v>
      </c>
      <c r="L219" s="333">
        <v>24</v>
      </c>
      <c r="M219" s="333">
        <v>25</v>
      </c>
      <c r="N219" s="334">
        <f t="shared" si="6"/>
        <v>91.4</v>
      </c>
      <c r="O219" s="334" t="str">
        <f t="shared" si="7"/>
        <v>A</v>
      </c>
    </row>
    <row r="220" spans="1:15" x14ac:dyDescent="0.35">
      <c r="A220" s="330" t="s">
        <v>2526</v>
      </c>
      <c r="B220" s="330" t="s">
        <v>2316</v>
      </c>
      <c r="C220" s="330" t="s">
        <v>2313</v>
      </c>
      <c r="D220" s="331">
        <v>81</v>
      </c>
      <c r="E220" s="331">
        <v>72</v>
      </c>
      <c r="F220" s="331">
        <v>85</v>
      </c>
      <c r="G220" s="331">
        <v>99</v>
      </c>
      <c r="H220" s="332">
        <v>21</v>
      </c>
      <c r="I220" s="332">
        <v>25</v>
      </c>
      <c r="J220" s="333">
        <v>24</v>
      </c>
      <c r="K220" s="333">
        <v>25</v>
      </c>
      <c r="L220" s="333">
        <v>25</v>
      </c>
      <c r="M220" s="333">
        <v>19</v>
      </c>
      <c r="N220" s="334">
        <f t="shared" si="6"/>
        <v>89.4</v>
      </c>
      <c r="O220" s="334" t="str">
        <f t="shared" si="7"/>
        <v>B</v>
      </c>
    </row>
    <row r="221" spans="1:15" x14ac:dyDescent="0.35">
      <c r="A221" s="330" t="s">
        <v>1844</v>
      </c>
      <c r="B221" s="330" t="s">
        <v>2312</v>
      </c>
      <c r="C221" s="330" t="s">
        <v>2313</v>
      </c>
      <c r="D221" s="331">
        <v>96</v>
      </c>
      <c r="E221" s="331">
        <v>72</v>
      </c>
      <c r="F221" s="331">
        <v>96</v>
      </c>
      <c r="G221" s="331">
        <v>99</v>
      </c>
      <c r="H221" s="332">
        <v>24</v>
      </c>
      <c r="I221" s="332">
        <v>16</v>
      </c>
      <c r="J221" s="333">
        <v>25</v>
      </c>
      <c r="K221" s="333">
        <v>18</v>
      </c>
      <c r="L221" s="333">
        <v>24</v>
      </c>
      <c r="M221" s="333">
        <v>20</v>
      </c>
      <c r="N221" s="334">
        <f t="shared" si="6"/>
        <v>93.8</v>
      </c>
      <c r="O221" s="334" t="str">
        <f t="shared" si="7"/>
        <v>A</v>
      </c>
    </row>
    <row r="222" spans="1:15" x14ac:dyDescent="0.35">
      <c r="A222" s="330" t="s">
        <v>2527</v>
      </c>
      <c r="B222" s="330" t="s">
        <v>2312</v>
      </c>
      <c r="C222" s="330" t="s">
        <v>2310</v>
      </c>
      <c r="D222" s="331">
        <v>81</v>
      </c>
      <c r="E222" s="331">
        <v>98</v>
      </c>
      <c r="F222" s="331">
        <v>99</v>
      </c>
      <c r="G222" s="331">
        <v>96</v>
      </c>
      <c r="H222" s="332">
        <v>22</v>
      </c>
      <c r="I222" s="332">
        <v>24</v>
      </c>
      <c r="J222" s="333">
        <v>22</v>
      </c>
      <c r="K222" s="333">
        <v>18</v>
      </c>
      <c r="L222" s="333">
        <v>22</v>
      </c>
      <c r="M222" s="333">
        <v>25</v>
      </c>
      <c r="N222" s="334">
        <f t="shared" si="6"/>
        <v>95.5</v>
      </c>
      <c r="O222" s="334" t="str">
        <f t="shared" si="7"/>
        <v>A</v>
      </c>
    </row>
    <row r="223" spans="1:15" x14ac:dyDescent="0.35">
      <c r="A223" s="330" t="s">
        <v>2528</v>
      </c>
      <c r="B223" s="330" t="s">
        <v>2316</v>
      </c>
      <c r="C223" s="330" t="s">
        <v>2310</v>
      </c>
      <c r="D223" s="331">
        <v>100</v>
      </c>
      <c r="E223" s="331">
        <v>80</v>
      </c>
      <c r="F223" s="331">
        <v>81</v>
      </c>
      <c r="G223" s="331">
        <v>94</v>
      </c>
      <c r="H223" s="332">
        <v>25</v>
      </c>
      <c r="I223" s="332">
        <v>21</v>
      </c>
      <c r="J223" s="333">
        <v>24</v>
      </c>
      <c r="K223" s="333">
        <v>23</v>
      </c>
      <c r="L223" s="333">
        <v>22</v>
      </c>
      <c r="M223" s="333">
        <v>24</v>
      </c>
      <c r="N223" s="334">
        <f t="shared" si="6"/>
        <v>91.9</v>
      </c>
      <c r="O223" s="334" t="str">
        <f t="shared" si="7"/>
        <v>A</v>
      </c>
    </row>
    <row r="224" spans="1:15" x14ac:dyDescent="0.35">
      <c r="A224" s="330" t="s">
        <v>2529</v>
      </c>
      <c r="B224" s="330" t="s">
        <v>2309</v>
      </c>
      <c r="C224" s="330" t="s">
        <v>2310</v>
      </c>
      <c r="D224" s="331">
        <v>95</v>
      </c>
      <c r="E224" s="331">
        <v>74</v>
      </c>
      <c r="F224" s="331">
        <v>87</v>
      </c>
      <c r="G224" s="331">
        <v>86</v>
      </c>
      <c r="H224" s="332">
        <v>21</v>
      </c>
      <c r="I224" s="332">
        <v>22</v>
      </c>
      <c r="J224" s="333">
        <v>22</v>
      </c>
      <c r="K224" s="333">
        <v>23</v>
      </c>
      <c r="L224" s="333">
        <v>25</v>
      </c>
      <c r="M224" s="333">
        <v>21</v>
      </c>
      <c r="N224" s="334">
        <f t="shared" si="6"/>
        <v>89.25</v>
      </c>
      <c r="O224" s="334" t="str">
        <f t="shared" si="7"/>
        <v>B</v>
      </c>
    </row>
    <row r="225" spans="1:15" x14ac:dyDescent="0.35">
      <c r="A225" s="330" t="s">
        <v>2530</v>
      </c>
      <c r="B225" s="330" t="s">
        <v>2316</v>
      </c>
      <c r="C225" s="330" t="s">
        <v>2310</v>
      </c>
      <c r="D225" s="331">
        <v>93</v>
      </c>
      <c r="E225" s="331">
        <v>85</v>
      </c>
      <c r="F225" s="331">
        <v>96</v>
      </c>
      <c r="G225" s="331">
        <v>91</v>
      </c>
      <c r="H225" s="332">
        <v>21</v>
      </c>
      <c r="I225" s="332">
        <v>21</v>
      </c>
      <c r="J225" s="333">
        <v>23</v>
      </c>
      <c r="K225" s="333">
        <v>20</v>
      </c>
      <c r="L225" s="333">
        <v>24</v>
      </c>
      <c r="M225" s="333">
        <v>24</v>
      </c>
      <c r="N225" s="334">
        <f t="shared" si="6"/>
        <v>92.05</v>
      </c>
      <c r="O225" s="334" t="str">
        <f t="shared" si="7"/>
        <v>A</v>
      </c>
    </row>
    <row r="226" spans="1:15" x14ac:dyDescent="0.35">
      <c r="A226" s="330" t="s">
        <v>2531</v>
      </c>
      <c r="B226" s="330" t="s">
        <v>2312</v>
      </c>
      <c r="C226" s="330" t="s">
        <v>2313</v>
      </c>
      <c r="D226" s="331">
        <v>90</v>
      </c>
      <c r="E226" s="331">
        <v>82</v>
      </c>
      <c r="F226" s="331">
        <v>84</v>
      </c>
      <c r="G226" s="331">
        <v>83</v>
      </c>
      <c r="H226" s="332">
        <v>20</v>
      </c>
      <c r="I226" s="332">
        <v>25</v>
      </c>
      <c r="J226" s="333">
        <v>25</v>
      </c>
      <c r="K226" s="333">
        <v>21</v>
      </c>
      <c r="L226" s="333">
        <v>23</v>
      </c>
      <c r="M226" s="333">
        <v>19</v>
      </c>
      <c r="N226" s="334">
        <f t="shared" si="6"/>
        <v>86.45</v>
      </c>
      <c r="O226" s="334" t="str">
        <f t="shared" si="7"/>
        <v>B</v>
      </c>
    </row>
    <row r="227" spans="1:15" x14ac:dyDescent="0.35">
      <c r="A227" s="330" t="s">
        <v>2532</v>
      </c>
      <c r="B227" s="330" t="s">
        <v>2312</v>
      </c>
      <c r="C227" s="330" t="s">
        <v>2310</v>
      </c>
      <c r="D227" s="331">
        <v>86</v>
      </c>
      <c r="E227" s="331">
        <v>79</v>
      </c>
      <c r="F227" s="331">
        <v>89</v>
      </c>
      <c r="G227" s="331">
        <v>95</v>
      </c>
      <c r="H227" s="332">
        <v>25</v>
      </c>
      <c r="I227" s="332">
        <v>20</v>
      </c>
      <c r="J227" s="333">
        <v>25</v>
      </c>
      <c r="K227" s="333">
        <v>19</v>
      </c>
      <c r="L227" s="333">
        <v>25</v>
      </c>
      <c r="M227" s="333">
        <v>22</v>
      </c>
      <c r="N227" s="334">
        <f t="shared" si="6"/>
        <v>90.15</v>
      </c>
      <c r="O227" s="334" t="str">
        <f t="shared" si="7"/>
        <v>A</v>
      </c>
    </row>
    <row r="228" spans="1:15" x14ac:dyDescent="0.35">
      <c r="A228" s="330" t="s">
        <v>2533</v>
      </c>
      <c r="B228" s="330" t="s">
        <v>2312</v>
      </c>
      <c r="C228" s="330" t="s">
        <v>2313</v>
      </c>
      <c r="D228" s="331">
        <v>87</v>
      </c>
      <c r="E228" s="331">
        <v>87</v>
      </c>
      <c r="F228" s="331">
        <v>88</v>
      </c>
      <c r="G228" s="331">
        <v>83</v>
      </c>
      <c r="H228" s="332">
        <v>21</v>
      </c>
      <c r="I228" s="332">
        <v>16</v>
      </c>
      <c r="J228" s="333">
        <v>22</v>
      </c>
      <c r="K228" s="333">
        <v>18</v>
      </c>
      <c r="L228" s="333">
        <v>23</v>
      </c>
      <c r="M228" s="333">
        <v>20</v>
      </c>
      <c r="N228" s="334">
        <f t="shared" si="6"/>
        <v>85.350000000000009</v>
      </c>
      <c r="O228" s="334" t="str">
        <f t="shared" si="7"/>
        <v>B</v>
      </c>
    </row>
    <row r="229" spans="1:15" x14ac:dyDescent="0.35">
      <c r="A229" s="330" t="s">
        <v>2534</v>
      </c>
      <c r="B229" s="330" t="s">
        <v>2312</v>
      </c>
      <c r="C229" s="330" t="s">
        <v>2313</v>
      </c>
      <c r="D229" s="331">
        <v>50</v>
      </c>
      <c r="E229" s="331">
        <v>55</v>
      </c>
      <c r="F229" s="331">
        <v>60</v>
      </c>
      <c r="G229" s="331">
        <v>49</v>
      </c>
      <c r="H229" s="332">
        <v>23</v>
      </c>
      <c r="I229" s="332">
        <v>15</v>
      </c>
      <c r="J229" s="333">
        <v>25</v>
      </c>
      <c r="K229" s="333">
        <v>18</v>
      </c>
      <c r="L229" s="333">
        <v>22</v>
      </c>
      <c r="M229" s="333">
        <v>24</v>
      </c>
      <c r="N229" s="334">
        <f t="shared" si="6"/>
        <v>62.2</v>
      </c>
      <c r="O229" s="334" t="str">
        <f t="shared" si="7"/>
        <v>F</v>
      </c>
    </row>
    <row r="230" spans="1:15" x14ac:dyDescent="0.35">
      <c r="A230" s="330" t="s">
        <v>2535</v>
      </c>
      <c r="B230" s="330" t="s">
        <v>2316</v>
      </c>
      <c r="C230" s="330" t="s">
        <v>2310</v>
      </c>
      <c r="D230" s="331">
        <v>40</v>
      </c>
      <c r="E230" s="331">
        <v>40</v>
      </c>
      <c r="F230" s="331">
        <v>56</v>
      </c>
      <c r="G230" s="331">
        <v>51</v>
      </c>
      <c r="H230" s="332">
        <v>20</v>
      </c>
      <c r="I230" s="332">
        <v>15</v>
      </c>
      <c r="J230" s="333">
        <v>23</v>
      </c>
      <c r="K230" s="333">
        <v>24</v>
      </c>
      <c r="L230" s="333">
        <v>22</v>
      </c>
      <c r="M230" s="333">
        <v>22</v>
      </c>
      <c r="N230" s="334">
        <f t="shared" si="6"/>
        <v>57.4</v>
      </c>
      <c r="O230" s="334" t="str">
        <f t="shared" si="7"/>
        <v>F</v>
      </c>
    </row>
    <row r="231" spans="1:15" x14ac:dyDescent="0.35">
      <c r="A231" s="330" t="s">
        <v>2536</v>
      </c>
      <c r="B231" s="330" t="s">
        <v>2316</v>
      </c>
      <c r="C231" s="330" t="s">
        <v>2310</v>
      </c>
      <c r="D231" s="331">
        <v>41</v>
      </c>
      <c r="E231" s="331">
        <v>50</v>
      </c>
      <c r="F231" s="331">
        <v>41</v>
      </c>
      <c r="G231" s="331">
        <v>48</v>
      </c>
      <c r="H231" s="332">
        <v>25</v>
      </c>
      <c r="I231" s="332">
        <v>24</v>
      </c>
      <c r="J231" s="333">
        <v>25</v>
      </c>
      <c r="K231" s="333">
        <v>18</v>
      </c>
      <c r="L231" s="333">
        <v>25</v>
      </c>
      <c r="M231" s="333">
        <v>22</v>
      </c>
      <c r="N231" s="334">
        <f t="shared" si="6"/>
        <v>58.05</v>
      </c>
      <c r="O231" s="334" t="str">
        <f t="shared" si="7"/>
        <v>F</v>
      </c>
    </row>
    <row r="232" spans="1:15" x14ac:dyDescent="0.35">
      <c r="A232" s="330" t="s">
        <v>2537</v>
      </c>
      <c r="B232" s="330" t="s">
        <v>2312</v>
      </c>
      <c r="C232" s="330" t="s">
        <v>2313</v>
      </c>
      <c r="D232" s="331">
        <v>52</v>
      </c>
      <c r="E232" s="331">
        <v>45</v>
      </c>
      <c r="F232" s="331">
        <v>45</v>
      </c>
      <c r="G232" s="331">
        <v>44</v>
      </c>
      <c r="H232" s="332">
        <v>24</v>
      </c>
      <c r="I232" s="332">
        <v>22</v>
      </c>
      <c r="J232" s="333">
        <v>25</v>
      </c>
      <c r="K232" s="333">
        <v>22</v>
      </c>
      <c r="L232" s="333">
        <v>25</v>
      </c>
      <c r="M232" s="333">
        <v>25</v>
      </c>
      <c r="N232" s="334">
        <f t="shared" si="6"/>
        <v>59.250000000000007</v>
      </c>
      <c r="O232" s="334" t="str">
        <f t="shared" si="7"/>
        <v>F</v>
      </c>
    </row>
    <row r="233" spans="1:15" x14ac:dyDescent="0.35">
      <c r="A233" s="330" t="s">
        <v>2538</v>
      </c>
      <c r="B233" s="330" t="s">
        <v>2312</v>
      </c>
      <c r="C233" s="330" t="s">
        <v>2313</v>
      </c>
      <c r="D233" s="331">
        <v>43</v>
      </c>
      <c r="E233" s="331">
        <v>53</v>
      </c>
      <c r="F233" s="331">
        <v>51</v>
      </c>
      <c r="G233" s="331">
        <v>51</v>
      </c>
      <c r="H233" s="332">
        <v>25</v>
      </c>
      <c r="I233" s="332">
        <v>17</v>
      </c>
      <c r="J233" s="333">
        <v>24</v>
      </c>
      <c r="K233" s="333">
        <v>25</v>
      </c>
      <c r="L233" s="333">
        <v>22</v>
      </c>
      <c r="M233" s="333">
        <v>25</v>
      </c>
      <c r="N233" s="334">
        <f t="shared" si="6"/>
        <v>61.54999999999999</v>
      </c>
      <c r="O233" s="334" t="str">
        <f t="shared" si="7"/>
        <v>F</v>
      </c>
    </row>
    <row r="234" spans="1:15" x14ac:dyDescent="0.35">
      <c r="A234" s="330" t="s">
        <v>2539</v>
      </c>
      <c r="B234" s="330" t="s">
        <v>2309</v>
      </c>
      <c r="C234" s="330" t="s">
        <v>2310</v>
      </c>
      <c r="D234" s="331">
        <v>45</v>
      </c>
      <c r="E234" s="331">
        <v>48</v>
      </c>
      <c r="F234" s="331">
        <v>54</v>
      </c>
      <c r="G234" s="331">
        <v>50</v>
      </c>
      <c r="H234" s="332">
        <v>22</v>
      </c>
      <c r="I234" s="332">
        <v>21</v>
      </c>
      <c r="J234" s="333">
        <v>23</v>
      </c>
      <c r="K234" s="333">
        <v>21</v>
      </c>
      <c r="L234" s="333">
        <v>24</v>
      </c>
      <c r="M234" s="333">
        <v>19</v>
      </c>
      <c r="N234" s="334">
        <f t="shared" si="6"/>
        <v>59.649999999999991</v>
      </c>
      <c r="O234" s="334" t="str">
        <f t="shared" si="7"/>
        <v>F</v>
      </c>
    </row>
    <row r="235" spans="1:15" x14ac:dyDescent="0.35">
      <c r="A235" s="330" t="s">
        <v>2540</v>
      </c>
      <c r="B235" s="330" t="s">
        <v>2309</v>
      </c>
      <c r="C235" s="330" t="s">
        <v>2310</v>
      </c>
      <c r="D235" s="331">
        <v>40</v>
      </c>
      <c r="E235" s="331">
        <v>52</v>
      </c>
      <c r="F235" s="331">
        <v>44</v>
      </c>
      <c r="G235" s="331">
        <v>55</v>
      </c>
      <c r="H235" s="332">
        <v>20</v>
      </c>
      <c r="I235" s="332">
        <v>19</v>
      </c>
      <c r="J235" s="333">
        <v>24</v>
      </c>
      <c r="K235" s="333">
        <v>20</v>
      </c>
      <c r="L235" s="333">
        <v>24</v>
      </c>
      <c r="M235" s="333">
        <v>25</v>
      </c>
      <c r="N235" s="334">
        <f t="shared" si="6"/>
        <v>59.500000000000014</v>
      </c>
      <c r="O235" s="334" t="str">
        <f t="shared" si="7"/>
        <v>F</v>
      </c>
    </row>
    <row r="236" spans="1:15" x14ac:dyDescent="0.35">
      <c r="A236" s="330" t="s">
        <v>2541</v>
      </c>
      <c r="B236" s="330" t="s">
        <v>2309</v>
      </c>
      <c r="C236" s="330" t="s">
        <v>2313</v>
      </c>
      <c r="D236" s="331">
        <v>48</v>
      </c>
      <c r="E236" s="331">
        <v>40</v>
      </c>
      <c r="F236" s="331">
        <v>42</v>
      </c>
      <c r="G236" s="331">
        <v>57</v>
      </c>
      <c r="H236" s="332">
        <v>24</v>
      </c>
      <c r="I236" s="332">
        <v>17</v>
      </c>
      <c r="J236" s="333">
        <v>23</v>
      </c>
      <c r="K236" s="333">
        <v>18</v>
      </c>
      <c r="L236" s="333">
        <v>24</v>
      </c>
      <c r="M236" s="333">
        <v>22</v>
      </c>
      <c r="N236" s="334">
        <f t="shared" si="6"/>
        <v>58</v>
      </c>
      <c r="O236" s="334" t="str">
        <f t="shared" si="7"/>
        <v>F</v>
      </c>
    </row>
    <row r="237" spans="1:15" x14ac:dyDescent="0.35">
      <c r="A237" s="330" t="s">
        <v>2542</v>
      </c>
      <c r="B237" s="330" t="s">
        <v>2312</v>
      </c>
      <c r="C237" s="330" t="s">
        <v>2313</v>
      </c>
      <c r="D237" s="331">
        <v>50</v>
      </c>
      <c r="E237" s="331">
        <v>67</v>
      </c>
      <c r="F237" s="331">
        <v>59</v>
      </c>
      <c r="G237" s="331">
        <v>53</v>
      </c>
      <c r="H237" s="332">
        <v>23</v>
      </c>
      <c r="I237" s="332">
        <v>18</v>
      </c>
      <c r="J237" s="333">
        <v>22</v>
      </c>
      <c r="K237" s="333">
        <v>25</v>
      </c>
      <c r="L237" s="333">
        <v>23</v>
      </c>
      <c r="M237" s="333">
        <v>25</v>
      </c>
      <c r="N237" s="334">
        <f t="shared" si="6"/>
        <v>67.2</v>
      </c>
      <c r="O237" s="334" t="str">
        <f t="shared" si="7"/>
        <v>D</v>
      </c>
    </row>
    <row r="238" spans="1:15" x14ac:dyDescent="0.35">
      <c r="A238" s="330" t="s">
        <v>2543</v>
      </c>
      <c r="B238" s="330" t="s">
        <v>2312</v>
      </c>
      <c r="C238" s="330" t="s">
        <v>2310</v>
      </c>
      <c r="D238" s="331">
        <v>52</v>
      </c>
      <c r="E238" s="331">
        <v>70</v>
      </c>
      <c r="F238" s="331">
        <v>63</v>
      </c>
      <c r="G238" s="331">
        <v>60</v>
      </c>
      <c r="H238" s="332">
        <v>25</v>
      </c>
      <c r="I238" s="332">
        <v>15</v>
      </c>
      <c r="J238" s="333">
        <v>25</v>
      </c>
      <c r="K238" s="333">
        <v>24</v>
      </c>
      <c r="L238" s="333">
        <v>25</v>
      </c>
      <c r="M238" s="333">
        <v>18</v>
      </c>
      <c r="N238" s="334">
        <f t="shared" si="6"/>
        <v>70.05</v>
      </c>
      <c r="O238" s="334" t="str">
        <f t="shared" si="7"/>
        <v>D</v>
      </c>
    </row>
    <row r="239" spans="1:15" x14ac:dyDescent="0.35">
      <c r="A239" s="330" t="s">
        <v>2544</v>
      </c>
      <c r="B239" s="330" t="s">
        <v>2316</v>
      </c>
      <c r="C239" s="330" t="s">
        <v>2313</v>
      </c>
      <c r="D239" s="331">
        <v>68</v>
      </c>
      <c r="E239" s="331">
        <v>61</v>
      </c>
      <c r="F239" s="331">
        <v>54</v>
      </c>
      <c r="G239" s="331">
        <v>56</v>
      </c>
      <c r="H239" s="332">
        <v>25</v>
      </c>
      <c r="I239" s="332">
        <v>20</v>
      </c>
      <c r="J239" s="333">
        <v>25</v>
      </c>
      <c r="K239" s="333">
        <v>22</v>
      </c>
      <c r="L239" s="333">
        <v>25</v>
      </c>
      <c r="M239" s="333">
        <v>25</v>
      </c>
      <c r="N239" s="334">
        <f t="shared" si="6"/>
        <v>69.8</v>
      </c>
      <c r="O239" s="334" t="str">
        <f t="shared" si="7"/>
        <v>D</v>
      </c>
    </row>
    <row r="240" spans="1:15" x14ac:dyDescent="0.35">
      <c r="A240" s="330" t="s">
        <v>2545</v>
      </c>
      <c r="B240" s="330" t="s">
        <v>2312</v>
      </c>
      <c r="C240" s="330" t="s">
        <v>2310</v>
      </c>
      <c r="D240" s="331">
        <v>54</v>
      </c>
      <c r="E240" s="331">
        <v>53</v>
      </c>
      <c r="F240" s="331">
        <v>69</v>
      </c>
      <c r="G240" s="331">
        <v>59</v>
      </c>
      <c r="H240" s="332">
        <v>20</v>
      </c>
      <c r="I240" s="332">
        <v>18</v>
      </c>
      <c r="J240" s="333">
        <v>24</v>
      </c>
      <c r="K240" s="333">
        <v>21</v>
      </c>
      <c r="L240" s="333">
        <v>24</v>
      </c>
      <c r="M240" s="333">
        <v>23</v>
      </c>
      <c r="N240" s="334">
        <f t="shared" si="6"/>
        <v>66.900000000000006</v>
      </c>
      <c r="O240" s="334" t="str">
        <f t="shared" si="7"/>
        <v>D</v>
      </c>
    </row>
    <row r="241" spans="1:15" x14ac:dyDescent="0.35">
      <c r="A241" s="330" t="s">
        <v>2546</v>
      </c>
      <c r="B241" s="330" t="s">
        <v>2309</v>
      </c>
      <c r="C241" s="330" t="s">
        <v>2310</v>
      </c>
      <c r="D241" s="331">
        <v>89</v>
      </c>
      <c r="E241" s="331">
        <v>94</v>
      </c>
      <c r="F241" s="331">
        <v>66</v>
      </c>
      <c r="G241" s="331">
        <v>55</v>
      </c>
      <c r="H241" s="332">
        <v>24</v>
      </c>
      <c r="I241" s="332">
        <v>17</v>
      </c>
      <c r="J241" s="333">
        <v>23</v>
      </c>
      <c r="K241" s="333">
        <v>20</v>
      </c>
      <c r="L241" s="333">
        <v>24</v>
      </c>
      <c r="M241" s="333">
        <v>22</v>
      </c>
      <c r="N241" s="334">
        <f t="shared" si="6"/>
        <v>83.8</v>
      </c>
      <c r="O241" s="334" t="str">
        <f t="shared" si="7"/>
        <v>B</v>
      </c>
    </row>
    <row r="242" spans="1:15" x14ac:dyDescent="0.35">
      <c r="A242" s="330" t="s">
        <v>2547</v>
      </c>
      <c r="B242" s="330" t="s">
        <v>2312</v>
      </c>
      <c r="C242" s="330" t="s">
        <v>2310</v>
      </c>
      <c r="D242" s="331">
        <v>97</v>
      </c>
      <c r="E242" s="331">
        <v>85</v>
      </c>
      <c r="F242" s="331">
        <v>99</v>
      </c>
      <c r="G242" s="331">
        <v>60</v>
      </c>
      <c r="H242" s="332">
        <v>22</v>
      </c>
      <c r="I242" s="332">
        <v>24</v>
      </c>
      <c r="J242" s="333">
        <v>25</v>
      </c>
      <c r="K242" s="333">
        <v>23</v>
      </c>
      <c r="L242" s="333">
        <v>23</v>
      </c>
      <c r="M242" s="333">
        <v>20</v>
      </c>
      <c r="N242" s="334">
        <f t="shared" si="6"/>
        <v>93.100000000000009</v>
      </c>
      <c r="O242" s="334" t="str">
        <f t="shared" si="7"/>
        <v>A</v>
      </c>
    </row>
    <row r="243" spans="1:15" x14ac:dyDescent="0.35">
      <c r="A243" s="330" t="s">
        <v>2548</v>
      </c>
      <c r="B243" s="330" t="s">
        <v>2312</v>
      </c>
      <c r="C243" s="330" t="s">
        <v>2310</v>
      </c>
      <c r="D243" s="331">
        <v>95</v>
      </c>
      <c r="E243" s="331">
        <v>75</v>
      </c>
      <c r="F243" s="331">
        <v>83</v>
      </c>
      <c r="G243" s="331">
        <v>89</v>
      </c>
      <c r="H243" s="332">
        <v>25</v>
      </c>
      <c r="I243" s="332">
        <v>18</v>
      </c>
      <c r="J243" s="333">
        <v>25</v>
      </c>
      <c r="K243" s="333">
        <v>22</v>
      </c>
      <c r="L243" s="333">
        <v>24</v>
      </c>
      <c r="M243" s="333">
        <v>24</v>
      </c>
      <c r="N243" s="334">
        <f t="shared" si="6"/>
        <v>89.6</v>
      </c>
      <c r="O243" s="334" t="str">
        <f t="shared" si="7"/>
        <v>B</v>
      </c>
    </row>
    <row r="244" spans="1:15" x14ac:dyDescent="0.35">
      <c r="A244" s="330" t="s">
        <v>1843</v>
      </c>
      <c r="B244" s="330" t="s">
        <v>2309</v>
      </c>
      <c r="C244" s="330" t="s">
        <v>2310</v>
      </c>
      <c r="D244" s="331">
        <v>80</v>
      </c>
      <c r="E244" s="331">
        <v>97</v>
      </c>
      <c r="F244" s="331">
        <v>100</v>
      </c>
      <c r="G244" s="331">
        <v>81</v>
      </c>
      <c r="H244" s="332">
        <v>23</v>
      </c>
      <c r="I244" s="332">
        <v>23</v>
      </c>
      <c r="J244" s="333">
        <v>23</v>
      </c>
      <c r="K244" s="333">
        <v>25</v>
      </c>
      <c r="L244" s="333">
        <v>25</v>
      </c>
      <c r="M244" s="333">
        <v>21</v>
      </c>
      <c r="N244" s="334">
        <f t="shared" si="6"/>
        <v>92.8</v>
      </c>
      <c r="O244" s="334" t="str">
        <f t="shared" si="7"/>
        <v>A</v>
      </c>
    </row>
    <row r="245" spans="1:15" x14ac:dyDescent="0.35">
      <c r="A245" s="330" t="s">
        <v>2549</v>
      </c>
      <c r="B245" s="330" t="s">
        <v>2309</v>
      </c>
      <c r="C245" s="330" t="s">
        <v>2313</v>
      </c>
      <c r="D245" s="331">
        <v>91</v>
      </c>
      <c r="E245" s="331">
        <v>74</v>
      </c>
      <c r="F245" s="331">
        <v>96</v>
      </c>
      <c r="G245" s="331">
        <v>100</v>
      </c>
      <c r="H245" s="332">
        <v>24</v>
      </c>
      <c r="I245" s="332">
        <v>23</v>
      </c>
      <c r="J245" s="333">
        <v>22</v>
      </c>
      <c r="K245" s="333">
        <v>20</v>
      </c>
      <c r="L245" s="333">
        <v>22</v>
      </c>
      <c r="M245" s="333">
        <v>25</v>
      </c>
      <c r="N245" s="334">
        <f t="shared" si="6"/>
        <v>94.5</v>
      </c>
      <c r="O245" s="334" t="str">
        <f t="shared" si="7"/>
        <v>A</v>
      </c>
    </row>
    <row r="246" spans="1:15" x14ac:dyDescent="0.35">
      <c r="A246" s="330" t="s">
        <v>2550</v>
      </c>
      <c r="B246" s="330" t="s">
        <v>2312</v>
      </c>
      <c r="C246" s="330" t="s">
        <v>2310</v>
      </c>
      <c r="D246" s="331">
        <v>100</v>
      </c>
      <c r="E246" s="331">
        <v>89</v>
      </c>
      <c r="F246" s="331">
        <v>84</v>
      </c>
      <c r="G246" s="331">
        <v>97</v>
      </c>
      <c r="H246" s="332">
        <v>23</v>
      </c>
      <c r="I246" s="332">
        <v>23</v>
      </c>
      <c r="J246" s="333">
        <v>24</v>
      </c>
      <c r="K246" s="333">
        <v>24</v>
      </c>
      <c r="L246" s="333">
        <v>25</v>
      </c>
      <c r="M246" s="333">
        <v>22</v>
      </c>
      <c r="N246" s="334">
        <f t="shared" si="6"/>
        <v>94.95</v>
      </c>
      <c r="O246" s="334" t="str">
        <f t="shared" si="7"/>
        <v>A</v>
      </c>
    </row>
    <row r="247" spans="1:15" x14ac:dyDescent="0.35">
      <c r="A247" s="330" t="s">
        <v>2551</v>
      </c>
      <c r="B247" s="330" t="s">
        <v>2309</v>
      </c>
      <c r="C247" s="330" t="s">
        <v>2313</v>
      </c>
      <c r="D247" s="331">
        <v>100</v>
      </c>
      <c r="E247" s="331">
        <v>98</v>
      </c>
      <c r="F247" s="331">
        <v>71</v>
      </c>
      <c r="G247" s="331">
        <v>95</v>
      </c>
      <c r="H247" s="332">
        <v>20</v>
      </c>
      <c r="I247" s="332">
        <v>22</v>
      </c>
      <c r="J247" s="333">
        <v>22</v>
      </c>
      <c r="K247" s="333">
        <v>18</v>
      </c>
      <c r="L247" s="333">
        <v>22</v>
      </c>
      <c r="M247" s="333">
        <v>24</v>
      </c>
      <c r="N247" s="334">
        <f t="shared" si="6"/>
        <v>94.550000000000011</v>
      </c>
      <c r="O247" s="334" t="str">
        <f t="shared" si="7"/>
        <v>A</v>
      </c>
    </row>
    <row r="248" spans="1:15" x14ac:dyDescent="0.35">
      <c r="A248" s="330" t="s">
        <v>2552</v>
      </c>
      <c r="B248" s="330" t="s">
        <v>2316</v>
      </c>
      <c r="C248" s="330" t="s">
        <v>2310</v>
      </c>
      <c r="D248" s="331">
        <v>96</v>
      </c>
      <c r="E248" s="331">
        <v>82</v>
      </c>
      <c r="F248" s="331">
        <v>93</v>
      </c>
      <c r="G248" s="331">
        <v>82</v>
      </c>
      <c r="H248" s="332">
        <v>24</v>
      </c>
      <c r="I248" s="332">
        <v>15</v>
      </c>
      <c r="J248" s="333">
        <v>22</v>
      </c>
      <c r="K248" s="333">
        <v>23</v>
      </c>
      <c r="L248" s="333">
        <v>24</v>
      </c>
      <c r="M248" s="333">
        <v>23</v>
      </c>
      <c r="N248" s="334">
        <f t="shared" si="6"/>
        <v>89.35</v>
      </c>
      <c r="O248" s="334" t="str">
        <f t="shared" si="7"/>
        <v>B</v>
      </c>
    </row>
  </sheetData>
  <sheetProtection algorithmName="SHA-512" hashValue="knlW959hzAkKej5J18s0mexD4bhsPsHxk02KLCVIOtHe+nQ5QLmBnQhiRp0R27wNIXPloeZPWqgiGiT+BP8Y9g==" saltValue="Wnd9zZMHQfmTxVwbigl64A==" spinCount="100000" sheet="1" formatCells="0" formatColumns="0" formatRows="0"/>
  <mergeCells count="7">
    <mergeCell ref="Q12:R12"/>
    <mergeCell ref="A7:A8"/>
    <mergeCell ref="B7:B8"/>
    <mergeCell ref="C7:C8"/>
    <mergeCell ref="N7:N8"/>
    <mergeCell ref="O7:O8"/>
    <mergeCell ref="Q7:R7"/>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2AE7C-7F69-4586-8923-FCA4B1C0DCC4}">
  <dimension ref="A1:N26"/>
  <sheetViews>
    <sheetView zoomScaleNormal="100" workbookViewId="0"/>
  </sheetViews>
  <sheetFormatPr defaultRowHeight="14.5" x14ac:dyDescent="0.35"/>
  <cols>
    <col min="1" max="1" width="6.25" style="210" bestFit="1" customWidth="1"/>
    <col min="2" max="2" width="12.6640625" style="210" bestFit="1" customWidth="1"/>
    <col min="3" max="3" width="10.83203125" style="210" bestFit="1" customWidth="1"/>
    <col min="4" max="4" width="18.33203125" style="210" customWidth="1"/>
    <col min="5" max="5" width="13.58203125" style="210" bestFit="1" customWidth="1"/>
    <col min="6" max="6" width="12.9140625" style="210" customWidth="1"/>
    <col min="7" max="7" width="16.6640625" style="210" bestFit="1" customWidth="1"/>
    <col min="8" max="8" width="17.83203125" style="210" bestFit="1" customWidth="1"/>
    <col min="9" max="9" width="12.75" style="210" bestFit="1" customWidth="1"/>
    <col min="10" max="10" width="16.75" style="210" bestFit="1" customWidth="1"/>
    <col min="11" max="11" width="11.1640625" style="210" bestFit="1" customWidth="1"/>
    <col min="12" max="12" width="9.75" style="210" bestFit="1" customWidth="1"/>
    <col min="13" max="13" width="18.6640625" style="210" bestFit="1" customWidth="1"/>
    <col min="14" max="14" width="13.25" style="210" bestFit="1" customWidth="1"/>
    <col min="15" max="16384" width="8.6640625" style="210"/>
  </cols>
  <sheetData>
    <row r="1" spans="1:14" s="375" customFormat="1" x14ac:dyDescent="0.35">
      <c r="A1" s="372" t="s">
        <v>2553</v>
      </c>
      <c r="B1" s="373" t="s">
        <v>2554</v>
      </c>
      <c r="C1" s="373" t="s">
        <v>2555</v>
      </c>
      <c r="D1" s="374" t="s">
        <v>2556</v>
      </c>
      <c r="E1" s="375" t="s">
        <v>2557</v>
      </c>
      <c r="F1" s="375" t="s">
        <v>2558</v>
      </c>
      <c r="G1" s="375" t="s">
        <v>2559</v>
      </c>
      <c r="H1" s="375" t="s">
        <v>2560</v>
      </c>
      <c r="I1" s="375" t="s">
        <v>2561</v>
      </c>
      <c r="J1" s="375" t="s">
        <v>2562</v>
      </c>
      <c r="K1" s="375" t="s">
        <v>2563</v>
      </c>
      <c r="L1" s="375" t="s">
        <v>2564</v>
      </c>
      <c r="M1" s="375" t="s">
        <v>2565</v>
      </c>
      <c r="N1" s="375" t="s">
        <v>2566</v>
      </c>
    </row>
    <row r="2" spans="1:14" x14ac:dyDescent="0.35">
      <c r="A2" s="376">
        <v>425154</v>
      </c>
      <c r="B2" s="210">
        <v>2948</v>
      </c>
      <c r="C2" s="210">
        <v>1.0724680412292864</v>
      </c>
      <c r="D2" s="377">
        <v>346</v>
      </c>
      <c r="E2" s="210">
        <f>B2*C2</f>
        <v>3161.6357855439364</v>
      </c>
      <c r="F2" s="210">
        <f>SQRT(E2)</f>
        <v>56.22842506725523</v>
      </c>
      <c r="G2" s="210">
        <f>F2*K2/SUMPRODUCT($F$2:$F$26,$K$2:$K$26)</f>
        <v>0</v>
      </c>
      <c r="H2" s="210">
        <f t="shared" ref="H2:H26" si="0">G2*Forwardsize</f>
        <v>0</v>
      </c>
      <c r="I2" s="210">
        <f>D2/F2</f>
        <v>6.1534713018575014</v>
      </c>
      <c r="J2" s="210">
        <f>_xlfn.RANK.EQ(I2,$I$2:$I$26,0)</f>
        <v>17</v>
      </c>
      <c r="K2" s="210">
        <f t="shared" ref="K2:K26" si="1">IF(J2&lt;=numSKU,1,0)</f>
        <v>0</v>
      </c>
      <c r="L2" s="210">
        <f t="shared" ref="L2:L26" si="2">savingsperpick*D2*K2</f>
        <v>0</v>
      </c>
      <c r="M2" s="210">
        <f>IF(K2=0,0,E2/H2)</f>
        <v>0</v>
      </c>
      <c r="N2" s="210">
        <f t="shared" ref="N2:N26" si="3">M2*replcost</f>
        <v>0</v>
      </c>
    </row>
    <row r="3" spans="1:14" x14ac:dyDescent="0.35">
      <c r="A3" s="376">
        <v>982760</v>
      </c>
      <c r="B3" s="210">
        <v>268</v>
      </c>
      <c r="C3" s="210">
        <v>0.94706557673754899</v>
      </c>
      <c r="D3" s="377">
        <v>99</v>
      </c>
      <c r="E3" s="210">
        <f t="shared" ref="E3:E26" si="4">B3*C3</f>
        <v>253.81357456566312</v>
      </c>
      <c r="F3" s="210">
        <f t="shared" ref="F3:F26" si="5">SQRT(E3)</f>
        <v>15.931527690892143</v>
      </c>
      <c r="G3" s="210">
        <f t="shared" ref="G3:G26" si="6">F3*K3/SUMPRODUCT($F$2:$F$26,$K$2:$K$26)</f>
        <v>0</v>
      </c>
      <c r="H3" s="210">
        <f t="shared" si="0"/>
        <v>0</v>
      </c>
      <c r="I3" s="210">
        <f t="shared" ref="I3:I26" si="7">D3/F3</f>
        <v>6.2140933324678631</v>
      </c>
      <c r="J3" s="210">
        <f t="shared" ref="J3:J26" si="8">_xlfn.RANK.EQ(I3,$I$2:$I$26,0)</f>
        <v>16</v>
      </c>
      <c r="K3" s="210">
        <f t="shared" si="1"/>
        <v>0</v>
      </c>
      <c r="L3" s="210">
        <f t="shared" si="2"/>
        <v>0</v>
      </c>
      <c r="M3" s="210">
        <f t="shared" ref="M3:M26" si="9">IF(K3=0,0,E3/H3)</f>
        <v>0</v>
      </c>
      <c r="N3" s="210">
        <f t="shared" si="3"/>
        <v>0</v>
      </c>
    </row>
    <row r="4" spans="1:14" x14ac:dyDescent="0.35">
      <c r="A4" s="376">
        <v>35713</v>
      </c>
      <c r="B4" s="210">
        <v>154</v>
      </c>
      <c r="C4" s="210">
        <v>0.76215346235009629</v>
      </c>
      <c r="D4" s="377">
        <v>18</v>
      </c>
      <c r="E4" s="210">
        <f t="shared" si="4"/>
        <v>117.37163320191483</v>
      </c>
      <c r="F4" s="210">
        <f t="shared" si="5"/>
        <v>10.83381895740901</v>
      </c>
      <c r="G4" s="210">
        <f t="shared" si="6"/>
        <v>0</v>
      </c>
      <c r="H4" s="210">
        <f t="shared" si="0"/>
        <v>0</v>
      </c>
      <c r="I4" s="210">
        <f t="shared" si="7"/>
        <v>1.6614639833620439</v>
      </c>
      <c r="J4" s="210">
        <f t="shared" si="8"/>
        <v>21</v>
      </c>
      <c r="K4" s="210">
        <f t="shared" si="1"/>
        <v>0</v>
      </c>
      <c r="L4" s="210">
        <f t="shared" si="2"/>
        <v>0</v>
      </c>
      <c r="M4" s="210">
        <f t="shared" si="9"/>
        <v>0</v>
      </c>
      <c r="N4" s="210">
        <f t="shared" si="3"/>
        <v>0</v>
      </c>
    </row>
    <row r="5" spans="1:14" x14ac:dyDescent="0.35">
      <c r="A5" s="376">
        <v>62032</v>
      </c>
      <c r="B5" s="210">
        <v>5423</v>
      </c>
      <c r="C5" s="210">
        <v>1.0760243568253798</v>
      </c>
      <c r="D5" s="377">
        <v>4063</v>
      </c>
      <c r="E5" s="210">
        <f t="shared" si="4"/>
        <v>5835.2800870640349</v>
      </c>
      <c r="F5" s="210">
        <f t="shared" si="5"/>
        <v>76.389005014229866</v>
      </c>
      <c r="G5" s="210">
        <f t="shared" si="6"/>
        <v>0.11944411338634268</v>
      </c>
      <c r="H5" s="210">
        <f t="shared" si="0"/>
        <v>17.916617007951402</v>
      </c>
      <c r="I5" s="210">
        <f t="shared" si="7"/>
        <v>53.188282780265794</v>
      </c>
      <c r="J5" s="210">
        <f t="shared" si="8"/>
        <v>4</v>
      </c>
      <c r="K5" s="210">
        <f t="shared" si="1"/>
        <v>1</v>
      </c>
      <c r="L5" s="210">
        <f t="shared" si="2"/>
        <v>345.35500000000002</v>
      </c>
      <c r="M5" s="210">
        <f t="shared" si="9"/>
        <v>325.69095407209602</v>
      </c>
      <c r="N5" s="210">
        <f t="shared" si="3"/>
        <v>162.84547703604801</v>
      </c>
    </row>
    <row r="6" spans="1:14" x14ac:dyDescent="0.35">
      <c r="A6" s="376">
        <v>901563</v>
      </c>
      <c r="B6" s="210">
        <v>152</v>
      </c>
      <c r="C6" s="210">
        <v>1.4721862559969523</v>
      </c>
      <c r="D6" s="377">
        <v>39</v>
      </c>
      <c r="E6" s="210">
        <f t="shared" si="4"/>
        <v>223.77231091153675</v>
      </c>
      <c r="F6" s="210">
        <f t="shared" si="5"/>
        <v>14.95902105458565</v>
      </c>
      <c r="G6" s="210">
        <f t="shared" si="6"/>
        <v>0</v>
      </c>
      <c r="H6" s="210">
        <f t="shared" si="0"/>
        <v>0</v>
      </c>
      <c r="I6" s="210">
        <f t="shared" si="7"/>
        <v>2.6071224753069417</v>
      </c>
      <c r="J6" s="210">
        <f t="shared" si="8"/>
        <v>20</v>
      </c>
      <c r="K6" s="210">
        <f t="shared" si="1"/>
        <v>0</v>
      </c>
      <c r="L6" s="210">
        <f t="shared" si="2"/>
        <v>0</v>
      </c>
      <c r="M6" s="210">
        <f t="shared" si="9"/>
        <v>0</v>
      </c>
      <c r="N6" s="210">
        <f t="shared" si="3"/>
        <v>0</v>
      </c>
    </row>
    <row r="7" spans="1:14" x14ac:dyDescent="0.35">
      <c r="A7" s="376">
        <v>404673</v>
      </c>
      <c r="B7" s="210">
        <v>692</v>
      </c>
      <c r="C7" s="210">
        <v>0.84708786159839677</v>
      </c>
      <c r="D7" s="377">
        <v>39</v>
      </c>
      <c r="E7" s="210">
        <f t="shared" si="4"/>
        <v>586.1848002260906</v>
      </c>
      <c r="F7" s="210">
        <f t="shared" si="5"/>
        <v>24.211253586423208</v>
      </c>
      <c r="G7" s="210">
        <f t="shared" si="6"/>
        <v>0</v>
      </c>
      <c r="H7" s="210">
        <f t="shared" si="0"/>
        <v>0</v>
      </c>
      <c r="I7" s="210">
        <f t="shared" si="7"/>
        <v>1.6108211770525498</v>
      </c>
      <c r="J7" s="210">
        <f t="shared" si="8"/>
        <v>22</v>
      </c>
      <c r="K7" s="210">
        <f t="shared" si="1"/>
        <v>0</v>
      </c>
      <c r="L7" s="210">
        <f t="shared" si="2"/>
        <v>0</v>
      </c>
      <c r="M7" s="210">
        <f t="shared" si="9"/>
        <v>0</v>
      </c>
      <c r="N7" s="210">
        <f t="shared" si="3"/>
        <v>0</v>
      </c>
    </row>
    <row r="8" spans="1:14" x14ac:dyDescent="0.35">
      <c r="A8" s="376">
        <v>134992</v>
      </c>
      <c r="B8" s="210">
        <v>6802</v>
      </c>
      <c r="C8" s="210">
        <v>1.1557717460035519</v>
      </c>
      <c r="D8" s="377">
        <v>4762</v>
      </c>
      <c r="E8" s="210">
        <f t="shared" si="4"/>
        <v>7861.5594163161604</v>
      </c>
      <c r="F8" s="210">
        <f t="shared" si="5"/>
        <v>88.6654352964906</v>
      </c>
      <c r="G8" s="210">
        <f t="shared" si="6"/>
        <v>0.13863990380592897</v>
      </c>
      <c r="H8" s="210">
        <f t="shared" si="0"/>
        <v>20.795985570889346</v>
      </c>
      <c r="I8" s="210">
        <f t="shared" si="7"/>
        <v>53.707512787550499</v>
      </c>
      <c r="J8" s="210">
        <f t="shared" si="8"/>
        <v>3</v>
      </c>
      <c r="K8" s="210">
        <f t="shared" si="1"/>
        <v>1</v>
      </c>
      <c r="L8" s="210">
        <f t="shared" si="2"/>
        <v>404.77000000000004</v>
      </c>
      <c r="M8" s="210">
        <f t="shared" si="9"/>
        <v>378.03254813375787</v>
      </c>
      <c r="N8" s="210">
        <f t="shared" si="3"/>
        <v>189.01627406687894</v>
      </c>
    </row>
    <row r="9" spans="1:14" x14ac:dyDescent="0.35">
      <c r="A9" s="376">
        <v>154507</v>
      </c>
      <c r="B9" s="210">
        <v>7911</v>
      </c>
      <c r="C9" s="210">
        <v>1.0510069035219418</v>
      </c>
      <c r="D9" s="377">
        <v>4493</v>
      </c>
      <c r="E9" s="210">
        <f t="shared" si="4"/>
        <v>8314.5156137620816</v>
      </c>
      <c r="F9" s="210">
        <f t="shared" si="5"/>
        <v>91.183965771192916</v>
      </c>
      <c r="G9" s="210">
        <f t="shared" si="6"/>
        <v>0</v>
      </c>
      <c r="H9" s="210">
        <f t="shared" si="0"/>
        <v>0</v>
      </c>
      <c r="I9" s="210">
        <f t="shared" si="7"/>
        <v>49.274013934360383</v>
      </c>
      <c r="J9" s="210">
        <f t="shared" si="8"/>
        <v>7</v>
      </c>
      <c r="K9" s="210">
        <f t="shared" si="1"/>
        <v>0</v>
      </c>
      <c r="L9" s="210">
        <f t="shared" si="2"/>
        <v>0</v>
      </c>
      <c r="M9" s="210">
        <f t="shared" si="9"/>
        <v>0</v>
      </c>
      <c r="N9" s="210">
        <f t="shared" si="3"/>
        <v>0</v>
      </c>
    </row>
    <row r="10" spans="1:14" x14ac:dyDescent="0.35">
      <c r="A10" s="376">
        <v>264861</v>
      </c>
      <c r="B10" s="210">
        <v>3628</v>
      </c>
      <c r="C10" s="210">
        <v>0.66550219560321222</v>
      </c>
      <c r="D10" s="377">
        <v>2177</v>
      </c>
      <c r="E10" s="210">
        <f t="shared" si="4"/>
        <v>2414.4419656484538</v>
      </c>
      <c r="F10" s="210">
        <f t="shared" si="5"/>
        <v>49.136971474119704</v>
      </c>
      <c r="G10" s="210">
        <f t="shared" si="6"/>
        <v>0</v>
      </c>
      <c r="H10" s="210">
        <f t="shared" si="0"/>
        <v>0</v>
      </c>
      <c r="I10" s="210">
        <f t="shared" si="7"/>
        <v>44.30472482714201</v>
      </c>
      <c r="J10" s="210">
        <f t="shared" si="8"/>
        <v>8</v>
      </c>
      <c r="K10" s="210">
        <f t="shared" si="1"/>
        <v>0</v>
      </c>
      <c r="L10" s="210">
        <f t="shared" si="2"/>
        <v>0</v>
      </c>
      <c r="M10" s="210">
        <f t="shared" si="9"/>
        <v>0</v>
      </c>
      <c r="N10" s="210">
        <f t="shared" si="3"/>
        <v>0</v>
      </c>
    </row>
    <row r="11" spans="1:14" x14ac:dyDescent="0.35">
      <c r="A11" s="376">
        <v>165280</v>
      </c>
      <c r="B11" s="210">
        <v>70754</v>
      </c>
      <c r="C11" s="210">
        <v>1.1912117879078137</v>
      </c>
      <c r="D11" s="377">
        <v>69409</v>
      </c>
      <c r="E11" s="210">
        <f t="shared" si="4"/>
        <v>84282.998841629451</v>
      </c>
      <c r="F11" s="210">
        <f t="shared" si="5"/>
        <v>290.31534379296841</v>
      </c>
      <c r="G11" s="210">
        <f t="shared" si="6"/>
        <v>0.45394568021068987</v>
      </c>
      <c r="H11" s="210">
        <f t="shared" si="0"/>
        <v>68.09185203160348</v>
      </c>
      <c r="I11" s="210">
        <f t="shared" si="7"/>
        <v>239.08140401114107</v>
      </c>
      <c r="J11" s="210">
        <f t="shared" si="8"/>
        <v>1</v>
      </c>
      <c r="K11" s="210">
        <f t="shared" si="1"/>
        <v>1</v>
      </c>
      <c r="L11" s="210">
        <f t="shared" si="2"/>
        <v>5899.7650000000003</v>
      </c>
      <c r="M11" s="210">
        <f t="shared" si="9"/>
        <v>1237.7839099237772</v>
      </c>
      <c r="N11" s="210">
        <f t="shared" si="3"/>
        <v>618.89195496188859</v>
      </c>
    </row>
    <row r="12" spans="1:14" x14ac:dyDescent="0.35">
      <c r="A12" s="376">
        <v>9912</v>
      </c>
      <c r="B12" s="210">
        <v>773</v>
      </c>
      <c r="C12" s="210">
        <v>1.5988534434623523</v>
      </c>
      <c r="D12" s="377">
        <v>21</v>
      </c>
      <c r="E12" s="210">
        <f t="shared" si="4"/>
        <v>1235.9137117963983</v>
      </c>
      <c r="F12" s="210">
        <f t="shared" si="5"/>
        <v>35.155564449975742</v>
      </c>
      <c r="G12" s="210">
        <f t="shared" si="6"/>
        <v>0</v>
      </c>
      <c r="H12" s="210">
        <f t="shared" si="0"/>
        <v>0</v>
      </c>
      <c r="I12" s="210">
        <f t="shared" si="7"/>
        <v>0.5973449816139843</v>
      </c>
      <c r="J12" s="210">
        <f t="shared" si="8"/>
        <v>24</v>
      </c>
      <c r="K12" s="210">
        <f t="shared" si="1"/>
        <v>0</v>
      </c>
      <c r="L12" s="210">
        <f t="shared" si="2"/>
        <v>0</v>
      </c>
      <c r="M12" s="210">
        <f t="shared" si="9"/>
        <v>0</v>
      </c>
      <c r="N12" s="210">
        <f t="shared" si="3"/>
        <v>0</v>
      </c>
    </row>
    <row r="13" spans="1:14" x14ac:dyDescent="0.35">
      <c r="A13" s="376">
        <v>254372</v>
      </c>
      <c r="B13" s="210">
        <v>1110</v>
      </c>
      <c r="C13" s="210">
        <v>1.4988434856536177</v>
      </c>
      <c r="D13" s="377">
        <v>38</v>
      </c>
      <c r="E13" s="210">
        <f t="shared" si="4"/>
        <v>1663.7162690755156</v>
      </c>
      <c r="F13" s="210">
        <f t="shared" si="5"/>
        <v>40.788678197209521</v>
      </c>
      <c r="G13" s="210">
        <f t="shared" si="6"/>
        <v>0</v>
      </c>
      <c r="H13" s="210">
        <f t="shared" si="0"/>
        <v>0</v>
      </c>
      <c r="I13" s="210">
        <f t="shared" si="7"/>
        <v>0.93163107213902552</v>
      </c>
      <c r="J13" s="210">
        <f t="shared" si="8"/>
        <v>23</v>
      </c>
      <c r="K13" s="210">
        <f t="shared" si="1"/>
        <v>0</v>
      </c>
      <c r="L13" s="210">
        <f t="shared" si="2"/>
        <v>0</v>
      </c>
      <c r="M13" s="210">
        <f t="shared" si="9"/>
        <v>0</v>
      </c>
      <c r="N13" s="210">
        <f t="shared" si="3"/>
        <v>0</v>
      </c>
    </row>
    <row r="14" spans="1:14" x14ac:dyDescent="0.35">
      <c r="A14" s="376">
        <v>755351</v>
      </c>
      <c r="B14" s="210">
        <v>6374</v>
      </c>
      <c r="C14" s="210">
        <v>0.60873975656483104</v>
      </c>
      <c r="D14" s="377">
        <v>3297</v>
      </c>
      <c r="E14" s="210">
        <f t="shared" si="4"/>
        <v>3880.1072083442332</v>
      </c>
      <c r="F14" s="210">
        <f t="shared" si="5"/>
        <v>62.290506566765316</v>
      </c>
      <c r="G14" s="210">
        <f t="shared" si="6"/>
        <v>9.7399283154263647E-2</v>
      </c>
      <c r="H14" s="210">
        <f t="shared" si="0"/>
        <v>14.609892473139547</v>
      </c>
      <c r="I14" s="210">
        <f t="shared" si="7"/>
        <v>52.929413833970848</v>
      </c>
      <c r="J14" s="210">
        <f t="shared" si="8"/>
        <v>5</v>
      </c>
      <c r="K14" s="210">
        <f t="shared" si="1"/>
        <v>1</v>
      </c>
      <c r="L14" s="210">
        <f t="shared" si="2"/>
        <v>280.245</v>
      </c>
      <c r="M14" s="210">
        <f t="shared" si="9"/>
        <v>265.58081898808319</v>
      </c>
      <c r="N14" s="210">
        <f t="shared" si="3"/>
        <v>132.7904094940416</v>
      </c>
    </row>
    <row r="15" spans="1:14" x14ac:dyDescent="0.35">
      <c r="A15" s="376">
        <v>419231</v>
      </c>
      <c r="B15" s="210">
        <v>229</v>
      </c>
      <c r="C15" s="210">
        <v>1.1515729746713501</v>
      </c>
      <c r="D15" s="377">
        <v>62</v>
      </c>
      <c r="E15" s="210">
        <f t="shared" si="4"/>
        <v>263.71021119973915</v>
      </c>
      <c r="F15" s="210">
        <f t="shared" si="5"/>
        <v>16.239156726866675</v>
      </c>
      <c r="G15" s="210">
        <f t="shared" si="6"/>
        <v>0</v>
      </c>
      <c r="H15" s="210">
        <f t="shared" si="0"/>
        <v>0</v>
      </c>
      <c r="I15" s="210">
        <f t="shared" si="7"/>
        <v>3.8179322388966699</v>
      </c>
      <c r="J15" s="210">
        <f t="shared" si="8"/>
        <v>19</v>
      </c>
      <c r="K15" s="210">
        <f t="shared" si="1"/>
        <v>0</v>
      </c>
      <c r="L15" s="210">
        <f t="shared" si="2"/>
        <v>0</v>
      </c>
      <c r="M15" s="210">
        <f t="shared" si="9"/>
        <v>0</v>
      </c>
      <c r="N15" s="210">
        <f t="shared" si="3"/>
        <v>0</v>
      </c>
    </row>
    <row r="16" spans="1:14" x14ac:dyDescent="0.35">
      <c r="A16" s="376">
        <v>473793</v>
      </c>
      <c r="B16" s="210">
        <v>1218</v>
      </c>
      <c r="C16" s="210">
        <v>0.83449712274934762</v>
      </c>
      <c r="D16" s="377">
        <v>494</v>
      </c>
      <c r="E16" s="210">
        <f t="shared" si="4"/>
        <v>1016.4174955087054</v>
      </c>
      <c r="F16" s="210">
        <f t="shared" si="5"/>
        <v>31.881303227890566</v>
      </c>
      <c r="G16" s="210">
        <f t="shared" si="6"/>
        <v>0</v>
      </c>
      <c r="H16" s="210">
        <f t="shared" si="0"/>
        <v>0</v>
      </c>
      <c r="I16" s="210">
        <f t="shared" si="7"/>
        <v>15.494975110297133</v>
      </c>
      <c r="J16" s="210">
        <f t="shared" si="8"/>
        <v>12</v>
      </c>
      <c r="K16" s="210">
        <f t="shared" si="1"/>
        <v>0</v>
      </c>
      <c r="L16" s="210">
        <f t="shared" si="2"/>
        <v>0</v>
      </c>
      <c r="M16" s="210">
        <f t="shared" si="9"/>
        <v>0</v>
      </c>
      <c r="N16" s="210">
        <f t="shared" si="3"/>
        <v>0</v>
      </c>
    </row>
    <row r="17" spans="1:14" x14ac:dyDescent="0.35">
      <c r="A17" s="376">
        <v>870954</v>
      </c>
      <c r="B17" s="210">
        <v>2428</v>
      </c>
      <c r="C17" s="210">
        <v>0.78308343274896741</v>
      </c>
      <c r="D17" s="377">
        <v>1613</v>
      </c>
      <c r="E17" s="210">
        <f t="shared" si="4"/>
        <v>1901.3265747144928</v>
      </c>
      <c r="F17" s="210">
        <f t="shared" si="5"/>
        <v>43.604203635824987</v>
      </c>
      <c r="G17" s="210">
        <f t="shared" si="6"/>
        <v>0</v>
      </c>
      <c r="H17" s="210">
        <f t="shared" si="0"/>
        <v>0</v>
      </c>
      <c r="I17" s="210">
        <f t="shared" si="7"/>
        <v>36.991846324531139</v>
      </c>
      <c r="J17" s="210">
        <f t="shared" si="8"/>
        <v>10</v>
      </c>
      <c r="K17" s="210">
        <f t="shared" si="1"/>
        <v>0</v>
      </c>
      <c r="L17" s="210">
        <f t="shared" si="2"/>
        <v>0</v>
      </c>
      <c r="M17" s="210">
        <f t="shared" si="9"/>
        <v>0</v>
      </c>
      <c r="N17" s="210">
        <f t="shared" si="3"/>
        <v>0</v>
      </c>
    </row>
    <row r="18" spans="1:14" x14ac:dyDescent="0.35">
      <c r="A18" s="376">
        <v>979674</v>
      </c>
      <c r="B18" s="210">
        <v>1651</v>
      </c>
      <c r="C18" s="210">
        <v>1.0339525590802019</v>
      </c>
      <c r="D18" s="377">
        <v>1592</v>
      </c>
      <c r="E18" s="210">
        <f t="shared" si="4"/>
        <v>1707.0556750414132</v>
      </c>
      <c r="F18" s="210">
        <f t="shared" si="5"/>
        <v>41.316530288026527</v>
      </c>
      <c r="G18" s="210">
        <f t="shared" si="6"/>
        <v>0</v>
      </c>
      <c r="H18" s="210">
        <f t="shared" si="0"/>
        <v>0</v>
      </c>
      <c r="I18" s="210">
        <f t="shared" si="7"/>
        <v>38.531793180642744</v>
      </c>
      <c r="J18" s="210">
        <f t="shared" si="8"/>
        <v>9</v>
      </c>
      <c r="K18" s="210">
        <f t="shared" si="1"/>
        <v>0</v>
      </c>
      <c r="L18" s="210">
        <f t="shared" si="2"/>
        <v>0</v>
      </c>
      <c r="M18" s="210">
        <f t="shared" si="9"/>
        <v>0</v>
      </c>
      <c r="N18" s="210">
        <f t="shared" si="3"/>
        <v>0</v>
      </c>
    </row>
    <row r="19" spans="1:14" x14ac:dyDescent="0.35">
      <c r="A19" s="376">
        <v>991110</v>
      </c>
      <c r="B19" s="210">
        <v>251</v>
      </c>
      <c r="C19" s="210">
        <v>1.118635035114254</v>
      </c>
      <c r="D19" s="377">
        <v>8</v>
      </c>
      <c r="E19" s="210">
        <f t="shared" si="4"/>
        <v>280.77739381367775</v>
      </c>
      <c r="F19" s="210">
        <f t="shared" si="5"/>
        <v>16.756413512851662</v>
      </c>
      <c r="G19" s="210">
        <f t="shared" si="6"/>
        <v>0</v>
      </c>
      <c r="H19" s="210">
        <f t="shared" si="0"/>
        <v>0</v>
      </c>
      <c r="I19" s="210">
        <f t="shared" si="7"/>
        <v>0.47742913445435337</v>
      </c>
      <c r="J19" s="210">
        <f t="shared" si="8"/>
        <v>25</v>
      </c>
      <c r="K19" s="210">
        <f t="shared" si="1"/>
        <v>0</v>
      </c>
      <c r="L19" s="210">
        <f t="shared" si="2"/>
        <v>0</v>
      </c>
      <c r="M19" s="210">
        <f t="shared" si="9"/>
        <v>0</v>
      </c>
      <c r="N19" s="210">
        <f t="shared" si="3"/>
        <v>0</v>
      </c>
    </row>
    <row r="20" spans="1:14" x14ac:dyDescent="0.35">
      <c r="A20" s="376">
        <v>959011</v>
      </c>
      <c r="B20" s="210">
        <v>13415</v>
      </c>
      <c r="C20" s="210">
        <v>1.1072743554333138</v>
      </c>
      <c r="D20" s="377">
        <v>7279</v>
      </c>
      <c r="E20" s="210">
        <f t="shared" si="4"/>
        <v>14854.085478137904</v>
      </c>
      <c r="F20" s="210">
        <f t="shared" si="5"/>
        <v>121.87733783660481</v>
      </c>
      <c r="G20" s="210">
        <f t="shared" si="6"/>
        <v>0.19057101944277477</v>
      </c>
      <c r="H20" s="210">
        <f t="shared" si="0"/>
        <v>28.585652916416215</v>
      </c>
      <c r="I20" s="210">
        <f t="shared" si="7"/>
        <v>59.723982564819487</v>
      </c>
      <c r="J20" s="210">
        <f t="shared" si="8"/>
        <v>2</v>
      </c>
      <c r="K20" s="210">
        <f t="shared" si="1"/>
        <v>1</v>
      </c>
      <c r="L20" s="210">
        <f t="shared" si="2"/>
        <v>618.71500000000003</v>
      </c>
      <c r="M20" s="210">
        <f t="shared" si="9"/>
        <v>519.63429072517272</v>
      </c>
      <c r="N20" s="210">
        <f t="shared" si="3"/>
        <v>259.81714536258636</v>
      </c>
    </row>
    <row r="21" spans="1:14" x14ac:dyDescent="0.35">
      <c r="A21" s="376">
        <v>156565</v>
      </c>
      <c r="B21" s="210">
        <v>5743</v>
      </c>
      <c r="C21" s="210">
        <v>0.91438973413191638</v>
      </c>
      <c r="D21" s="377">
        <v>3750</v>
      </c>
      <c r="E21" s="210">
        <f t="shared" si="4"/>
        <v>5251.3402431195955</v>
      </c>
      <c r="F21" s="210">
        <f t="shared" si="5"/>
        <v>72.466131696949262</v>
      </c>
      <c r="G21" s="210">
        <f t="shared" si="6"/>
        <v>0</v>
      </c>
      <c r="H21" s="210">
        <f t="shared" si="0"/>
        <v>0</v>
      </c>
      <c r="I21" s="210">
        <f t="shared" si="7"/>
        <v>51.748312103678508</v>
      </c>
      <c r="J21" s="210">
        <f t="shared" si="8"/>
        <v>6</v>
      </c>
      <c r="K21" s="210">
        <f t="shared" si="1"/>
        <v>0</v>
      </c>
      <c r="L21" s="210">
        <f t="shared" si="2"/>
        <v>0</v>
      </c>
      <c r="M21" s="210">
        <f t="shared" si="9"/>
        <v>0</v>
      </c>
      <c r="N21" s="210">
        <f t="shared" si="3"/>
        <v>0</v>
      </c>
    </row>
    <row r="22" spans="1:14" x14ac:dyDescent="0.35">
      <c r="A22" s="376">
        <v>521514</v>
      </c>
      <c r="B22" s="210">
        <v>183</v>
      </c>
      <c r="C22" s="210">
        <v>0.99221098697061205</v>
      </c>
      <c r="D22" s="377">
        <v>134</v>
      </c>
      <c r="E22" s="210">
        <f t="shared" si="4"/>
        <v>181.57461061562199</v>
      </c>
      <c r="F22" s="210">
        <f t="shared" si="5"/>
        <v>13.474962360452885</v>
      </c>
      <c r="G22" s="210">
        <f t="shared" si="6"/>
        <v>0</v>
      </c>
      <c r="H22" s="210">
        <f t="shared" si="0"/>
        <v>0</v>
      </c>
      <c r="I22" s="210">
        <f t="shared" si="7"/>
        <v>9.944369150393408</v>
      </c>
      <c r="J22" s="210">
        <f t="shared" si="8"/>
        <v>14</v>
      </c>
      <c r="K22" s="210">
        <f t="shared" si="1"/>
        <v>0</v>
      </c>
      <c r="L22" s="210">
        <f t="shared" si="2"/>
        <v>0</v>
      </c>
      <c r="M22" s="210">
        <f t="shared" si="9"/>
        <v>0</v>
      </c>
      <c r="N22" s="210">
        <f t="shared" si="3"/>
        <v>0</v>
      </c>
    </row>
    <row r="23" spans="1:14" x14ac:dyDescent="0.35">
      <c r="A23" s="376">
        <v>979759</v>
      </c>
      <c r="B23" s="210">
        <v>124</v>
      </c>
      <c r="C23" s="210">
        <v>1.0962655480969379</v>
      </c>
      <c r="D23" s="377">
        <v>119</v>
      </c>
      <c r="E23" s="210">
        <f t="shared" si="4"/>
        <v>135.9369279640203</v>
      </c>
      <c r="F23" s="210">
        <f t="shared" si="5"/>
        <v>11.659199284857442</v>
      </c>
      <c r="G23" s="210">
        <f t="shared" si="6"/>
        <v>0</v>
      </c>
      <c r="H23" s="210">
        <f t="shared" si="0"/>
        <v>0</v>
      </c>
      <c r="I23" s="210">
        <f t="shared" si="7"/>
        <v>10.206532806635616</v>
      </c>
      <c r="J23" s="210">
        <f t="shared" si="8"/>
        <v>13</v>
      </c>
      <c r="K23" s="210">
        <f t="shared" si="1"/>
        <v>0</v>
      </c>
      <c r="L23" s="210">
        <f t="shared" si="2"/>
        <v>0</v>
      </c>
      <c r="M23" s="210">
        <f t="shared" si="9"/>
        <v>0</v>
      </c>
      <c r="N23" s="210">
        <f t="shared" si="3"/>
        <v>0</v>
      </c>
    </row>
    <row r="24" spans="1:14" x14ac:dyDescent="0.35">
      <c r="A24" s="376">
        <v>526968</v>
      </c>
      <c r="B24" s="210">
        <v>28</v>
      </c>
      <c r="C24" s="210">
        <v>1.0194647913919177</v>
      </c>
      <c r="D24" s="377">
        <v>26</v>
      </c>
      <c r="E24" s="210">
        <f t="shared" si="4"/>
        <v>28.545014158973697</v>
      </c>
      <c r="F24" s="210">
        <f t="shared" si="5"/>
        <v>5.3427534248712707</v>
      </c>
      <c r="G24" s="210">
        <f t="shared" si="6"/>
        <v>0</v>
      </c>
      <c r="H24" s="210">
        <f t="shared" si="0"/>
        <v>0</v>
      </c>
      <c r="I24" s="210">
        <f t="shared" si="7"/>
        <v>4.8664046292996295</v>
      </c>
      <c r="J24" s="210">
        <f t="shared" si="8"/>
        <v>18</v>
      </c>
      <c r="K24" s="210">
        <f t="shared" si="1"/>
        <v>0</v>
      </c>
      <c r="L24" s="210">
        <f t="shared" si="2"/>
        <v>0</v>
      </c>
      <c r="M24" s="210">
        <f t="shared" si="9"/>
        <v>0</v>
      </c>
      <c r="N24" s="210">
        <f t="shared" si="3"/>
        <v>0</v>
      </c>
    </row>
    <row r="25" spans="1:14" x14ac:dyDescent="0.35">
      <c r="A25" s="376">
        <v>350306</v>
      </c>
      <c r="B25" s="210">
        <v>3079</v>
      </c>
      <c r="C25" s="210">
        <v>0.6786323364418837</v>
      </c>
      <c r="D25" s="377">
        <v>716</v>
      </c>
      <c r="E25" s="210">
        <f t="shared" si="4"/>
        <v>2089.50896390456</v>
      </c>
      <c r="F25" s="210">
        <f t="shared" si="5"/>
        <v>45.711147042100791</v>
      </c>
      <c r="G25" s="210">
        <f t="shared" si="6"/>
        <v>0</v>
      </c>
      <c r="H25" s="210">
        <f t="shared" si="0"/>
        <v>0</v>
      </c>
      <c r="I25" s="210">
        <f t="shared" si="7"/>
        <v>15.663575436874316</v>
      </c>
      <c r="J25" s="210">
        <f t="shared" si="8"/>
        <v>11</v>
      </c>
      <c r="K25" s="210">
        <f t="shared" si="1"/>
        <v>0</v>
      </c>
      <c r="L25" s="210">
        <f t="shared" si="2"/>
        <v>0</v>
      </c>
      <c r="M25" s="210">
        <f t="shared" si="9"/>
        <v>0</v>
      </c>
      <c r="N25" s="210">
        <f t="shared" si="3"/>
        <v>0</v>
      </c>
    </row>
    <row r="26" spans="1:14" ht="15" thickBot="1" x14ac:dyDescent="0.4">
      <c r="A26" s="378">
        <v>616972</v>
      </c>
      <c r="B26" s="379">
        <v>114</v>
      </c>
      <c r="C26" s="379">
        <v>1.1206982137366777</v>
      </c>
      <c r="D26" s="380">
        <v>85</v>
      </c>
      <c r="E26" s="210">
        <f t="shared" si="4"/>
        <v>127.75959636598125</v>
      </c>
      <c r="F26" s="210">
        <f t="shared" si="5"/>
        <v>11.303079065722811</v>
      </c>
      <c r="G26" s="210">
        <f t="shared" si="6"/>
        <v>0</v>
      </c>
      <c r="H26" s="210">
        <f t="shared" si="0"/>
        <v>0</v>
      </c>
      <c r="I26" s="210">
        <f t="shared" si="7"/>
        <v>7.5200747960586272</v>
      </c>
      <c r="J26" s="210">
        <f t="shared" si="8"/>
        <v>15</v>
      </c>
      <c r="K26" s="210">
        <f t="shared" si="1"/>
        <v>0</v>
      </c>
      <c r="L26" s="210">
        <f t="shared" si="2"/>
        <v>0</v>
      </c>
      <c r="M26" s="210">
        <f t="shared" si="9"/>
        <v>0</v>
      </c>
      <c r="N26" s="210">
        <f t="shared" si="3"/>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8A271-7024-4057-9ECA-C32C3E1D6F90}">
  <dimension ref="A1:N30"/>
  <sheetViews>
    <sheetView zoomScale="114" workbookViewId="0"/>
  </sheetViews>
  <sheetFormatPr defaultRowHeight="14.5" x14ac:dyDescent="0.35"/>
  <cols>
    <col min="1" max="1" width="24.5" style="210" bestFit="1" customWidth="1"/>
    <col min="2" max="5" width="8.6640625" style="210"/>
    <col min="6" max="6" width="17.5" style="210" bestFit="1" customWidth="1"/>
    <col min="7" max="16384" width="8.6640625" style="210"/>
  </cols>
  <sheetData>
    <row r="1" spans="1:14" x14ac:dyDescent="0.35">
      <c r="F1" s="210" t="s">
        <v>2567</v>
      </c>
      <c r="G1" s="210">
        <f>MAX(G6:G30)</f>
        <v>6076.2057335463869</v>
      </c>
      <c r="H1" s="210">
        <f t="shared" ref="H1:M1" si="0">MAX(H6:H30)</f>
        <v>6185.488739078557</v>
      </c>
      <c r="I1" s="210">
        <f t="shared" si="0"/>
        <v>6151.4636921069623</v>
      </c>
      <c r="J1" s="210">
        <f t="shared" si="0"/>
        <v>5989.3352202358474</v>
      </c>
      <c r="K1" s="210">
        <f t="shared" si="0"/>
        <v>5735.3376835298732</v>
      </c>
      <c r="L1" s="210">
        <f t="shared" si="0"/>
        <v>5412.5805086972669</v>
      </c>
      <c r="M1" s="210">
        <f t="shared" si="0"/>
        <v>5051.0766951101077</v>
      </c>
      <c r="N1" s="210">
        <f>MAX(G1:M1)</f>
        <v>6185.488739078557</v>
      </c>
    </row>
    <row r="2" spans="1:14" x14ac:dyDescent="0.35">
      <c r="F2" s="210" t="s">
        <v>2568</v>
      </c>
      <c r="G2" s="210">
        <f>_xlfn.XLOOKUP(G1,G6:G30,$F$6:$F$30,,0)</f>
        <v>3</v>
      </c>
      <c r="H2" s="210">
        <f t="shared" ref="H2:M2" si="1">_xlfn.XLOOKUP(H1,H6:H30,$F$6:$F$30,,0)</f>
        <v>5</v>
      </c>
      <c r="I2" s="210">
        <f t="shared" si="1"/>
        <v>7</v>
      </c>
      <c r="J2" s="210">
        <f t="shared" si="1"/>
        <v>8</v>
      </c>
      <c r="K2" s="210">
        <f t="shared" si="1"/>
        <v>8</v>
      </c>
      <c r="L2" s="210">
        <f t="shared" si="1"/>
        <v>9</v>
      </c>
      <c r="M2" s="210">
        <f t="shared" si="1"/>
        <v>9</v>
      </c>
    </row>
    <row r="3" spans="1:14" x14ac:dyDescent="0.35">
      <c r="A3" s="210" t="s">
        <v>2569</v>
      </c>
      <c r="B3" s="210">
        <v>150</v>
      </c>
    </row>
    <row r="4" spans="1:14" x14ac:dyDescent="0.35">
      <c r="A4" s="210" t="s">
        <v>2570</v>
      </c>
      <c r="B4" s="210">
        <v>0.15</v>
      </c>
    </row>
    <row r="5" spans="1:14" x14ac:dyDescent="0.35">
      <c r="A5" s="210" t="s">
        <v>2571</v>
      </c>
      <c r="B5" s="210">
        <f>0.15+0.0001*(B3-1000)</f>
        <v>6.4999999999999988E-2</v>
      </c>
      <c r="F5" s="210">
        <f>B15</f>
        <v>6185.488739078557</v>
      </c>
      <c r="G5" s="210">
        <v>100</v>
      </c>
      <c r="H5" s="210">
        <v>150</v>
      </c>
      <c r="I5" s="210">
        <v>200</v>
      </c>
      <c r="J5" s="210">
        <v>250</v>
      </c>
      <c r="K5" s="210">
        <v>300</v>
      </c>
      <c r="L5" s="210">
        <v>350</v>
      </c>
      <c r="M5" s="210">
        <v>400</v>
      </c>
    </row>
    <row r="6" spans="1:14" x14ac:dyDescent="0.35">
      <c r="A6" s="210" t="s">
        <v>2572</v>
      </c>
      <c r="B6" s="210">
        <f>B4-B5</f>
        <v>8.5000000000000006E-2</v>
      </c>
      <c r="F6" s="210">
        <v>1</v>
      </c>
      <c r="G6" s="210">
        <f t="dataTable" ref="G6:M30" dt2D="1" dtr="1" r1="B3" r2="B9"/>
        <v>5825.3950057918528</v>
      </c>
      <c r="H6" s="210">
        <v>5618.8216705279019</v>
      </c>
      <c r="I6" s="210">
        <v>5342.0125028959264</v>
      </c>
      <c r="J6" s="210">
        <v>5037.1090023167417</v>
      </c>
      <c r="K6" s="210">
        <v>4718.1583352639509</v>
      </c>
      <c r="L6" s="210">
        <v>4391.1807159405298</v>
      </c>
      <c r="M6" s="210">
        <v>4059.1862514479631</v>
      </c>
    </row>
    <row r="7" spans="1:14" x14ac:dyDescent="0.35">
      <c r="A7" s="210" t="s">
        <v>2573</v>
      </c>
      <c r="B7" s="210">
        <v>0.5</v>
      </c>
      <c r="F7" s="210">
        <v>2</v>
      </c>
      <c r="G7" s="210">
        <v>6052.4059660551065</v>
      </c>
      <c r="H7" s="210">
        <v>5952.1373107034051</v>
      </c>
      <c r="I7" s="210">
        <v>5710.2829830275532</v>
      </c>
      <c r="J7" s="210">
        <v>5411.7943864220433</v>
      </c>
      <c r="K7" s="210">
        <v>5084.9886553517017</v>
      </c>
      <c r="L7" s="210">
        <v>4742.0017045871737</v>
      </c>
      <c r="M7" s="210">
        <v>4388.9014915137759</v>
      </c>
    </row>
    <row r="8" spans="1:14" x14ac:dyDescent="0.35">
      <c r="F8" s="210">
        <v>3</v>
      </c>
      <c r="G8" s="210">
        <v>6076.2057335463869</v>
      </c>
      <c r="H8" s="210">
        <v>6087.0538223642588</v>
      </c>
      <c r="I8" s="210">
        <v>5888.8528667731935</v>
      </c>
      <c r="J8" s="210">
        <v>5607.0322934185551</v>
      </c>
      <c r="K8" s="210">
        <v>5283.401911182129</v>
      </c>
      <c r="L8" s="210">
        <v>4935.8802095846822</v>
      </c>
      <c r="M8" s="210">
        <v>4573.4264333865967</v>
      </c>
    </row>
    <row r="9" spans="1:14" x14ac:dyDescent="0.35">
      <c r="A9" s="210" t="s">
        <v>2574</v>
      </c>
      <c r="B9" s="210">
        <v>5</v>
      </c>
      <c r="F9" s="210">
        <v>4</v>
      </c>
      <c r="G9" s="210">
        <v>6030.0988010582387</v>
      </c>
      <c r="H9" s="210">
        <v>6157.8908673721598</v>
      </c>
      <c r="I9" s="210">
        <v>6008.0044005291193</v>
      </c>
      <c r="J9" s="210">
        <v>5747.046520423296</v>
      </c>
      <c r="K9" s="210">
        <v>5430.5529336860791</v>
      </c>
      <c r="L9" s="210">
        <v>5082.3246574452114</v>
      </c>
      <c r="M9" s="210">
        <v>4714.2622002645594</v>
      </c>
    </row>
    <row r="10" spans="1:14" x14ac:dyDescent="0.35">
      <c r="F10" s="210">
        <v>5</v>
      </c>
      <c r="G10" s="210">
        <v>5947.8581086178365</v>
      </c>
      <c r="H10" s="210">
        <v>6185.488739078557</v>
      </c>
      <c r="I10" s="210">
        <v>6082.2790543089177</v>
      </c>
      <c r="J10" s="210">
        <v>5842.7332434471336</v>
      </c>
      <c r="K10" s="210">
        <v>5535.0193695392782</v>
      </c>
      <c r="L10" s="210">
        <v>5188.3523167479534</v>
      </c>
      <c r="M10" s="210">
        <v>4817.3395271544578</v>
      </c>
    </row>
    <row r="11" spans="1:14" x14ac:dyDescent="0.35">
      <c r="F11" s="210">
        <v>6</v>
      </c>
      <c r="G11" s="210">
        <v>5795.6532272767663</v>
      </c>
      <c r="H11" s="210">
        <v>6177.7688181845106</v>
      </c>
      <c r="I11" s="210">
        <v>6137.4266136383831</v>
      </c>
      <c r="J11" s="210">
        <v>5928.1012909107067</v>
      </c>
      <c r="K11" s="210">
        <v>5634.2844090922554</v>
      </c>
      <c r="L11" s="210">
        <v>5292.1866363647905</v>
      </c>
      <c r="M11" s="210">
        <v>4919.9133068191904</v>
      </c>
    </row>
    <row r="12" spans="1:14" x14ac:dyDescent="0.35">
      <c r="A12" s="210" t="s">
        <v>2575</v>
      </c>
      <c r="B12" s="210">
        <f>SUM('Data (2)'!L2:L26)</f>
        <v>7548.85</v>
      </c>
      <c r="F12" s="210">
        <v>7</v>
      </c>
      <c r="G12" s="210">
        <v>5509.2173842139255</v>
      </c>
      <c r="H12" s="210">
        <v>6099.136589475951</v>
      </c>
      <c r="I12" s="210">
        <v>6151.4636921069623</v>
      </c>
      <c r="J12" s="210">
        <v>5988.7539536855693</v>
      </c>
      <c r="K12" s="210">
        <v>5718.525794737975</v>
      </c>
      <c r="L12" s="210">
        <v>5386.8585383468362</v>
      </c>
      <c r="M12" s="210">
        <v>5016.7918460534811</v>
      </c>
    </row>
    <row r="13" spans="1:14" x14ac:dyDescent="0.35">
      <c r="A13" s="210" t="s">
        <v>2576</v>
      </c>
      <c r="B13" s="210">
        <f>SUM('Data (2)'!N2:N26)</f>
        <v>1363.3612609214435</v>
      </c>
      <c r="F13" s="210">
        <v>8</v>
      </c>
      <c r="G13" s="210">
        <v>5298.4130505896192</v>
      </c>
      <c r="H13" s="210">
        <v>6013.0253670597449</v>
      </c>
      <c r="I13" s="210">
        <v>6122.2565252948098</v>
      </c>
      <c r="J13" s="210">
        <v>5989.3352202358474</v>
      </c>
      <c r="K13" s="210">
        <v>5735.3376835298732</v>
      </c>
      <c r="L13" s="210">
        <v>5412.1537287398914</v>
      </c>
      <c r="M13" s="210">
        <v>5045.7282626474043</v>
      </c>
    </row>
    <row r="14" spans="1:14" x14ac:dyDescent="0.35">
      <c r="F14" s="210">
        <v>9</v>
      </c>
      <c r="G14" s="210">
        <v>5081.0067804404307</v>
      </c>
      <c r="H14" s="210">
        <v>5907.8878536269531</v>
      </c>
      <c r="I14" s="210">
        <v>6069.2733902202162</v>
      </c>
      <c r="J14" s="210">
        <v>5964.4607121761719</v>
      </c>
      <c r="K14" s="210">
        <v>5726.548926813477</v>
      </c>
      <c r="L14" s="210">
        <v>5412.5805086972669</v>
      </c>
      <c r="M14" s="210">
        <v>5051.0766951101077</v>
      </c>
    </row>
    <row r="15" spans="1:14" x14ac:dyDescent="0.35">
      <c r="A15" s="210" t="s">
        <v>2577</v>
      </c>
      <c r="B15" s="210">
        <f>B12-B13</f>
        <v>6185.488739078557</v>
      </c>
      <c r="F15" s="210">
        <v>10</v>
      </c>
      <c r="G15" s="210">
        <v>4827.0050068505798</v>
      </c>
      <c r="H15" s="210">
        <v>5778.8783379003862</v>
      </c>
      <c r="I15" s="210">
        <v>5998.7275034252889</v>
      </c>
      <c r="J15" s="210">
        <v>5925.7670027402319</v>
      </c>
      <c r="K15" s="210">
        <v>5706.4016689501932</v>
      </c>
      <c r="L15" s="210">
        <v>5403.3764305287377</v>
      </c>
      <c r="M15" s="210">
        <v>5048.0637517126443</v>
      </c>
    </row>
    <row r="16" spans="1:14" x14ac:dyDescent="0.35">
      <c r="F16" s="210">
        <v>11</v>
      </c>
      <c r="G16" s="210">
        <v>4452.5718247506957</v>
      </c>
      <c r="H16" s="210">
        <v>5547.1562165004634</v>
      </c>
      <c r="I16" s="210">
        <v>5836.5709123753468</v>
      </c>
      <c r="J16" s="210">
        <v>5803.9177299002777</v>
      </c>
      <c r="K16" s="210">
        <v>5610.2306082502309</v>
      </c>
      <c r="L16" s="210">
        <v>5324.5240927859131</v>
      </c>
      <c r="M16" s="210">
        <v>4981.3054561876725</v>
      </c>
    </row>
    <row r="17" spans="6:13" x14ac:dyDescent="0.35">
      <c r="F17" s="210">
        <v>12</v>
      </c>
      <c r="G17" s="210">
        <v>4178.5703699100804</v>
      </c>
      <c r="H17" s="210">
        <v>5376.838579940053</v>
      </c>
      <c r="I17" s="210">
        <v>5716.8601849550396</v>
      </c>
      <c r="J17" s="210">
        <v>5713.583147964031</v>
      </c>
      <c r="K17" s="210">
        <v>5538.6567899700258</v>
      </c>
      <c r="L17" s="210">
        <v>5265.6451056885944</v>
      </c>
      <c r="M17" s="210">
        <v>4931.3300924775194</v>
      </c>
    </row>
    <row r="18" spans="6:13" x14ac:dyDescent="0.35">
      <c r="F18" s="210">
        <v>13</v>
      </c>
      <c r="G18" s="210">
        <v>4070.2787142312573</v>
      </c>
      <c r="H18" s="210">
        <v>5307.6191428208385</v>
      </c>
      <c r="I18" s="210">
        <v>5666.8793571156293</v>
      </c>
      <c r="J18" s="210">
        <v>5674.9074856925035</v>
      </c>
      <c r="K18" s="210">
        <v>5507.3195714104186</v>
      </c>
      <c r="L18" s="210">
        <v>5239.3796326375023</v>
      </c>
      <c r="M18" s="210">
        <v>4908.7196785578144</v>
      </c>
    </row>
    <row r="19" spans="6:13" x14ac:dyDescent="0.35">
      <c r="F19" s="210">
        <v>14</v>
      </c>
      <c r="G19" s="210">
        <v>3943.1107458919787</v>
      </c>
      <c r="H19" s="210">
        <v>5226.1904972613202</v>
      </c>
      <c r="I19" s="210">
        <v>5607.9853729459901</v>
      </c>
      <c r="J19" s="210">
        <v>5629.2662983567916</v>
      </c>
      <c r="K19" s="210">
        <v>5470.2902486306593</v>
      </c>
      <c r="L19" s="210">
        <v>5208.310213111994</v>
      </c>
      <c r="M19" s="210">
        <v>4881.9526864729951</v>
      </c>
    </row>
    <row r="20" spans="6:13" x14ac:dyDescent="0.35">
      <c r="F20" s="210">
        <v>15</v>
      </c>
      <c r="G20" s="210">
        <v>3832.57308559584</v>
      </c>
      <c r="H20" s="210">
        <v>5154.6237237305613</v>
      </c>
      <c r="I20" s="210">
        <v>5555.6915427979202</v>
      </c>
      <c r="J20" s="210">
        <v>5588.3662342383368</v>
      </c>
      <c r="K20" s="210">
        <v>5436.84436186528</v>
      </c>
      <c r="L20" s="210">
        <v>5180.0673101702396</v>
      </c>
      <c r="M20" s="210">
        <v>4857.5057713989609</v>
      </c>
    </row>
    <row r="21" spans="6:13" x14ac:dyDescent="0.35">
      <c r="F21" s="210">
        <v>16</v>
      </c>
      <c r="G21" s="210">
        <v>3672.729830497693</v>
      </c>
      <c r="H21" s="210">
        <v>5050.5365536651316</v>
      </c>
      <c r="I21" s="210">
        <v>5479.2349152488478</v>
      </c>
      <c r="J21" s="210">
        <v>5528.2899321990772</v>
      </c>
      <c r="K21" s="210">
        <v>5387.5232768325641</v>
      </c>
      <c r="L21" s="210">
        <v>5138.2870944279111</v>
      </c>
      <c r="M21" s="210">
        <v>4821.2574576244242</v>
      </c>
    </row>
    <row r="22" spans="6:13" x14ac:dyDescent="0.35">
      <c r="F22" s="210">
        <v>17</v>
      </c>
      <c r="G22" s="210">
        <v>3087.9881600366052</v>
      </c>
      <c r="H22" s="210">
        <v>4669.3587733577378</v>
      </c>
      <c r="I22" s="210">
        <v>5198.9740800183026</v>
      </c>
      <c r="J22" s="210">
        <v>5307.8872640146419</v>
      </c>
      <c r="K22" s="210">
        <v>5206.4493866788671</v>
      </c>
      <c r="L22" s="210">
        <v>4984.8109028676008</v>
      </c>
      <c r="M22" s="210">
        <v>4688.0470400091517</v>
      </c>
    </row>
    <row r="23" spans="6:13" x14ac:dyDescent="0.35">
      <c r="F23" s="210">
        <v>18</v>
      </c>
      <c r="G23" s="210">
        <v>3030.163069014041</v>
      </c>
      <c r="H23" s="210">
        <v>4631.4587126760262</v>
      </c>
      <c r="I23" s="210">
        <v>5170.9715345070199</v>
      </c>
      <c r="J23" s="210">
        <v>5285.7712276056163</v>
      </c>
      <c r="K23" s="210">
        <v>5188.2143563380123</v>
      </c>
      <c r="L23" s="210">
        <v>4969.3108768611528</v>
      </c>
      <c r="M23" s="210">
        <v>4674.5657672535108</v>
      </c>
    </row>
    <row r="24" spans="6:13" x14ac:dyDescent="0.35">
      <c r="F24" s="210">
        <v>19</v>
      </c>
      <c r="G24" s="210">
        <v>2851.1205172837608</v>
      </c>
      <c r="H24" s="210">
        <v>4513.6470115225084</v>
      </c>
      <c r="I24" s="210">
        <v>5083.6202586418804</v>
      </c>
      <c r="J24" s="210">
        <v>5216.5722069135045</v>
      </c>
      <c r="K24" s="210">
        <v>5131.0135057612533</v>
      </c>
      <c r="L24" s="210">
        <v>4920.5915763667872</v>
      </c>
      <c r="M24" s="210">
        <v>4632.1301293209408</v>
      </c>
    </row>
    <row r="25" spans="6:13" x14ac:dyDescent="0.35">
      <c r="F25" s="210">
        <v>20</v>
      </c>
      <c r="G25" s="210">
        <v>2682.2283238249656</v>
      </c>
      <c r="H25" s="210">
        <v>4402.0272158833104</v>
      </c>
      <c r="I25" s="210">
        <v>5000.539161912483</v>
      </c>
      <c r="J25" s="210">
        <v>5150.5363295299867</v>
      </c>
      <c r="K25" s="210">
        <v>5076.2761079416541</v>
      </c>
      <c r="L25" s="210">
        <v>4873.8688068071324</v>
      </c>
      <c r="M25" s="210">
        <v>4591.3695809562432</v>
      </c>
    </row>
    <row r="26" spans="6:13" x14ac:dyDescent="0.35">
      <c r="F26" s="210">
        <v>21</v>
      </c>
      <c r="G26" s="210">
        <v>2557.5917651850095</v>
      </c>
      <c r="H26" s="210">
        <v>4319.3861767900062</v>
      </c>
      <c r="I26" s="210">
        <v>4938.8508825925055</v>
      </c>
      <c r="J26" s="210">
        <v>5101.3837060740043</v>
      </c>
      <c r="K26" s="210">
        <v>5035.4505883950023</v>
      </c>
      <c r="L26" s="210">
        <v>4838.9655043385737</v>
      </c>
      <c r="M26" s="210">
        <v>4560.8854412962537</v>
      </c>
    </row>
    <row r="27" spans="6:13" x14ac:dyDescent="0.35">
      <c r="F27" s="210">
        <v>22</v>
      </c>
      <c r="G27" s="210">
        <v>2274.7031053715291</v>
      </c>
      <c r="H27" s="210">
        <v>4131.7687369143514</v>
      </c>
      <c r="I27" s="210">
        <v>4798.7715526857655</v>
      </c>
      <c r="J27" s="210">
        <v>4989.7492421486113</v>
      </c>
      <c r="K27" s="210">
        <v>4942.7143684571747</v>
      </c>
      <c r="L27" s="210">
        <v>4759.6723158204359</v>
      </c>
      <c r="M27" s="210">
        <v>4491.6257763428839</v>
      </c>
    </row>
    <row r="28" spans="6:13" x14ac:dyDescent="0.35">
      <c r="F28" s="210">
        <v>23</v>
      </c>
      <c r="G28" s="210">
        <v>1782.3712217801067</v>
      </c>
      <c r="H28" s="210">
        <v>3804.4974811867378</v>
      </c>
      <c r="I28" s="210">
        <v>4553.9356108900538</v>
      </c>
      <c r="J28" s="210">
        <v>4794.2984887120419</v>
      </c>
      <c r="K28" s="210">
        <v>4780.123740593368</v>
      </c>
      <c r="L28" s="210">
        <v>4620.4989205086003</v>
      </c>
      <c r="M28" s="210">
        <v>4369.9678054450278</v>
      </c>
    </row>
    <row r="29" spans="6:13" x14ac:dyDescent="0.35">
      <c r="F29" s="210">
        <v>24</v>
      </c>
      <c r="G29" s="210">
        <v>1343.6257575989102</v>
      </c>
      <c r="H29" s="210">
        <v>3512.5255050659398</v>
      </c>
      <c r="I29" s="210">
        <v>4335.2978787994543</v>
      </c>
      <c r="J29" s="210">
        <v>4619.6193030395625</v>
      </c>
      <c r="K29" s="210">
        <v>4634.7152525329693</v>
      </c>
      <c r="L29" s="210">
        <v>4495.9680735996862</v>
      </c>
      <c r="M29" s="210">
        <v>4261.0689393997282</v>
      </c>
    </row>
    <row r="30" spans="6:13" x14ac:dyDescent="0.35">
      <c r="F30" s="210">
        <v>25</v>
      </c>
      <c r="G30" s="210">
        <v>1129.9736657527355</v>
      </c>
      <c r="H30" s="210">
        <v>3370.2907771684904</v>
      </c>
      <c r="I30" s="210">
        <v>4228.751832876369</v>
      </c>
      <c r="J30" s="210">
        <v>4534.4704663010934</v>
      </c>
      <c r="K30" s="210">
        <v>4563.8178885842444</v>
      </c>
      <c r="L30" s="210">
        <v>4435.2389045007803</v>
      </c>
      <c r="M30" s="210">
        <v>4207.9559164381844</v>
      </c>
    </row>
  </sheetData>
  <conditionalFormatting sqref="G6:M30">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8</vt:i4>
      </vt:variant>
    </vt:vector>
  </HeadingPairs>
  <TitlesOfParts>
    <vt:vector size="28" baseType="lpstr">
      <vt:lpstr>Set 1</vt:lpstr>
      <vt:lpstr>IF</vt:lpstr>
      <vt:lpstr>Grades</vt:lpstr>
      <vt:lpstr>IFS</vt:lpstr>
      <vt:lpstr>XLookup</vt:lpstr>
      <vt:lpstr>VLookup</vt:lpstr>
      <vt:lpstr>slicers</vt:lpstr>
      <vt:lpstr>Data</vt:lpstr>
      <vt:lpstr>pivot</vt:lpstr>
      <vt:lpstr>finance</vt:lpstr>
      <vt:lpstr>Log</vt:lpstr>
      <vt:lpstr>VBA</vt:lpstr>
      <vt:lpstr>Text</vt:lpstr>
      <vt:lpstr>VBA code</vt:lpstr>
      <vt:lpstr>weighted average forecast</vt:lpstr>
      <vt:lpstr>exer1</vt:lpstr>
      <vt:lpstr>exer2</vt:lpstr>
      <vt:lpstr>exer3</vt:lpstr>
      <vt:lpstr>Data (2)</vt:lpstr>
      <vt:lpstr>Parameters and Calculations</vt:lpstr>
      <vt:lpstr>Employee</vt:lpstr>
      <vt:lpstr>Forwardsize</vt:lpstr>
      <vt:lpstr>numSKU</vt:lpstr>
      <vt:lpstr>Period</vt:lpstr>
      <vt:lpstr>Products</vt:lpstr>
      <vt:lpstr>replcost</vt:lpstr>
      <vt:lpstr>savingsperpick</vt:lpstr>
      <vt:lpstr>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GANESH</dc:creator>
  <cp:lastModifiedBy>V GANESH</cp:lastModifiedBy>
  <dcterms:created xsi:type="dcterms:W3CDTF">2025-11-11T04:48:34Z</dcterms:created>
  <dcterms:modified xsi:type="dcterms:W3CDTF">2025-11-11T05:13:20Z</dcterms:modified>
</cp:coreProperties>
</file>